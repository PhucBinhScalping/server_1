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pivotCache/pivotCacheDefinition20.xml" ContentType="application/vnd.openxmlformats-officedocument.spreadsheetml.pivotCacheDefinition+xml"/>
  <Override PartName="/xl/pivotCache/pivotCacheRecords20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ivotTables/pivotTable5.xml" ContentType="application/vnd.openxmlformats-officedocument.spreadsheetml.pivotTab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6.xml" ContentType="application/vnd.openxmlformats-officedocument.spreadsheetml.pivotTable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pivotTables/pivotTable7.xml" ContentType="application/vnd.openxmlformats-officedocument.spreadsheetml.pivotTable+xml"/>
  <Override PartName="/xl/drawings/drawing9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ivotTables/pivotTable8.xml" ContentType="application/vnd.openxmlformats-officedocument.spreadsheetml.pivotTable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9.xml" ContentType="application/vnd.openxmlformats-officedocument.spreadsheetml.pivotTable+xml"/>
  <Override PartName="/xl/drawings/drawing11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10.xml" ContentType="application/vnd.openxmlformats-officedocument.spreadsheetml.pivotTab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11.xml" ContentType="application/vnd.openxmlformats-officedocument.spreadsheetml.pivotTable+xml"/>
  <Override PartName="/xl/drawings/drawing13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12.xml" ContentType="application/vnd.openxmlformats-officedocument.spreadsheetml.pivotTable+xml"/>
  <Override PartName="/xl/drawings/drawing14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13.xml" ContentType="application/vnd.openxmlformats-officedocument.spreadsheetml.pivotTable+xml"/>
  <Override PartName="/xl/drawings/drawing15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14.xml" ContentType="application/vnd.openxmlformats-officedocument.spreadsheetml.pivotTable+xml"/>
  <Override PartName="/xl/drawings/drawing16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ivotTables/pivotTable15.xml" ContentType="application/vnd.openxmlformats-officedocument.spreadsheetml.pivotTable+xml"/>
  <Override PartName="/xl/drawings/drawing17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pivotTables/pivotTable16.xml" ContentType="application/vnd.openxmlformats-officedocument.spreadsheetml.pivotTable+xml"/>
  <Override PartName="/xl/drawings/drawing18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pivotTables/pivotTable17.xml" ContentType="application/vnd.openxmlformats-officedocument.spreadsheetml.pivotTable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pivotTables/pivotTable18.xml" ContentType="application/vnd.openxmlformats-officedocument.spreadsheetml.pivotTable+xml"/>
  <Override PartName="/xl/drawings/drawing20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pivotTables/pivotTable19.xml" ContentType="application/vnd.openxmlformats-officedocument.spreadsheetml.pivotTable+xml"/>
  <Override PartName="/xl/drawings/drawing21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pivotTables/pivotTable20.xml" ContentType="application/vnd.openxmlformats-officedocument.spreadsheetml.pivotTab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G:\Chung Khoan\function\"/>
    </mc:Choice>
  </mc:AlternateContent>
  <xr:revisionPtr revIDLastSave="0" documentId="13_ncr:1_{4451419C-C460-4C95-A465-A2B399A1B2E4}" xr6:coauthVersionLast="47" xr6:coauthVersionMax="47" xr10:uidLastSave="{00000000-0000-0000-0000-000000000000}"/>
  <bookViews>
    <workbookView xWindow="-120" yWindow="-120" windowWidth="29040" windowHeight="15720" tabRatio="627" firstSheet="8" activeTab="10" xr2:uid="{00000000-000D-0000-FFFF-FFFF00000000}"/>
  </bookViews>
  <sheets>
    <sheet name="LIST_COMPANY" sheetId="32" r:id="rId1"/>
    <sheet name="Ratio" sheetId="63" r:id="rId2"/>
    <sheet name="CF_BCTC" sheetId="29" r:id="rId3"/>
    <sheet name="PL_BCTC" sheetId="28" r:id="rId4"/>
    <sheet name="BS_BCTC" sheetId="22" r:id="rId5"/>
    <sheet name="CW" sheetId="69" r:id="rId6"/>
    <sheet name="BCNHANH" sheetId="67" r:id="rId7"/>
    <sheet name="VN30F" sheetId="62" r:id="rId8"/>
    <sheet name="CANSLIM" sheetId="27" r:id="rId9"/>
    <sheet name="Chart" sheetId="66" r:id="rId10"/>
    <sheet name="Tổng Quan" sheetId="51" r:id="rId11"/>
    <sheet name="VN30" sheetId="38" r:id="rId12"/>
    <sheet name="VN100" sheetId="71" r:id="rId13"/>
    <sheet name="NGÂN HÀNG" sheetId="36" r:id="rId14"/>
    <sheet name="VINGROUP" sheetId="70" r:id="rId15"/>
    <sheet name="CHỨNG KHOÁN" sheetId="40" r:id="rId16"/>
    <sheet name=" DẦU -KHÍ ĐỐT" sheetId="42" r:id="rId17"/>
    <sheet name="CÔNG NGHỆ" sheetId="45" r:id="rId18"/>
    <sheet name="BẢO HIỂM - DV TÀI CHÍNH" sheetId="60" r:id="rId19"/>
    <sheet name="BÁN LẺ" sheetId="48" r:id="rId20"/>
    <sheet name="DỆT MAY" sheetId="52" r:id="rId21"/>
    <sheet name="THÉP" sheetId="47" r:id="rId22"/>
    <sheet name="NĂNG LƯỢNG - TB ĐIỆN" sheetId="44" r:id="rId23"/>
    <sheet name="CÔNG NGHIỆP - KCN" sheetId="53" r:id="rId24"/>
    <sheet name="HÓA CHẤT -NHỰA" sheetId="58" r:id="rId25"/>
    <sheet name="Y TẾ - DƯỢC" sheetId="54" r:id="rId26"/>
    <sheet name="BĐS" sheetId="39" r:id="rId27"/>
    <sheet name="THỰC PHẨM-THỦY SẢN" sheetId="49" r:id="rId28"/>
    <sheet name="VẬN TẢI - Logistics" sheetId="43" r:id="rId29"/>
    <sheet name="VLXD-NỘI THẤT" sheetId="57" r:id="rId30"/>
    <sheet name="ĐTC" sheetId="46" r:id="rId31"/>
    <sheet name="INFO" sheetId="34" r:id="rId32"/>
    <sheet name="Nơi chứ dữ liệu" sheetId="35" r:id="rId33"/>
    <sheet name="Hướng dẫn" sheetId="25" r:id="rId34"/>
    <sheet name="_xlwings.conf" sheetId="2" r:id="rId35"/>
  </sheets>
  <functionGroups builtInGroupCount="19">
    <functionGroup name="xlwings"/>
  </functionGroups>
  <externalReferences>
    <externalReference r:id="rId36"/>
  </externalReferences>
  <definedNames>
    <definedName name="_xlnm._FilterDatabase" localSheetId="0" hidden="1">LIST_COMPANY!$A$1:$I$1608</definedName>
    <definedName name="_xlnm._FilterDatabase" localSheetId="32" hidden="1">'Nơi chứ dữ liệu'!$A$1:$F$6</definedName>
    <definedName name="_xlcn.WorksheetConnection_BanggiaCPB1G311" hidden="1">'[1]Bang gia CP'!$B$1:$G$31</definedName>
    <definedName name="_xlcn.WorksheetConnection_BanggiaCPEG1" hidden="1">'[1]Bang gia CP'!$E:$G</definedName>
    <definedName name="_xlnm.Criteria" localSheetId="16">' DẦU -KHÍ ĐỐT'!#REF!</definedName>
    <definedName name="_xlnm.Criteria" localSheetId="19">'BÁN LẺ'!#REF!</definedName>
    <definedName name="_xlnm.Criteria" localSheetId="18">'BẢO HIỂM - DV TÀI CHÍNH'!#REF!</definedName>
    <definedName name="_xlnm.Criteria" localSheetId="26">BĐS!#REF!</definedName>
    <definedName name="_xlnm.Criteria" localSheetId="17">'CÔNG NGHỆ'!#REF!</definedName>
    <definedName name="_xlnm.Criteria" localSheetId="23">'CÔNG NGHIỆP - KCN'!#REF!</definedName>
    <definedName name="_xlnm.Criteria" localSheetId="15">'CHỨNG KHOÁN'!#REF!</definedName>
    <definedName name="_xlnm.Criteria" localSheetId="20">'DỆT MAY'!#REF!</definedName>
    <definedName name="_xlnm.Criteria" localSheetId="30">ĐTC!#REF!</definedName>
    <definedName name="_xlnm.Criteria" localSheetId="24">'HÓA CHẤT -NHỰA'!#REF!</definedName>
    <definedName name="_xlnm.Criteria" localSheetId="0">LIST_COMPANY!$J$22</definedName>
    <definedName name="_xlnm.Criteria" localSheetId="22">'NĂNG LƯỢNG - TB ĐIỆN'!#REF!</definedName>
    <definedName name="_xlnm.Criteria" localSheetId="13">'NGÂN HÀNG'!#REF!</definedName>
    <definedName name="_xlnm.Criteria" localSheetId="21">THÉP!#REF!</definedName>
    <definedName name="_xlnm.Criteria" localSheetId="27">'THỰC PHẨM-THỦY SẢN'!#REF!</definedName>
    <definedName name="_xlnm.Criteria" localSheetId="28">'VẬN TẢI - Logistics'!#REF!</definedName>
    <definedName name="_xlnm.Criteria" localSheetId="14">VINGROUP!#REF!</definedName>
    <definedName name="_xlnm.Criteria" localSheetId="29">'VLXD-NỘI THẤT'!#REF!</definedName>
    <definedName name="_xlnm.Criteria" localSheetId="25">'Y TẾ - DƯỢC'!#REF!</definedName>
    <definedName name="_xlnm.Extract" localSheetId="16">' DẦU -KHÍ ĐỐT'!$G$19:$H$19</definedName>
    <definedName name="_xlnm.Extract" localSheetId="19">'BÁN LẺ'!$G$19:$H$19</definedName>
    <definedName name="_xlnm.Extract" localSheetId="18">'BẢO HIỂM - DV TÀI CHÍNH'!$G$19:$H$19</definedName>
    <definedName name="_xlnm.Extract" localSheetId="26">BĐS!$G$19:$H$19</definedName>
    <definedName name="_xlnm.Extract" localSheetId="17">'CÔNG NGHỆ'!$G$19:$H$19</definedName>
    <definedName name="_xlnm.Extract" localSheetId="23">'CÔNG NGHIỆP - KCN'!$G$19:$H$19</definedName>
    <definedName name="_xlnm.Extract" localSheetId="15">'CHỨNG KHOÁN'!$G$19:$H$19</definedName>
    <definedName name="_xlnm.Extract" localSheetId="20">'DỆT MAY'!$G$19:$H$19</definedName>
    <definedName name="_xlnm.Extract" localSheetId="30">ĐTC!$G$19:$H$19</definedName>
    <definedName name="_xlnm.Extract" localSheetId="24">'HÓA CHẤT -NHỰA'!$G$19:$H$19</definedName>
    <definedName name="_xlnm.Extract" localSheetId="22">'NĂNG LƯỢNG - TB ĐIỆN'!$G$19:$H$19</definedName>
    <definedName name="_xlnm.Extract" localSheetId="13">'NGÂN HÀNG'!$G$19:$H$19</definedName>
    <definedName name="_xlnm.Extract" localSheetId="21">THÉP!$G$19:$H$19</definedName>
    <definedName name="_xlnm.Extract" localSheetId="27">'THỰC PHẨM-THỦY SẢN'!$G$19:$H$19</definedName>
    <definedName name="_xlnm.Extract" localSheetId="28">'VẬN TẢI - Logistics'!$G$19:$H$19</definedName>
    <definedName name="_xlnm.Extract" localSheetId="14">VINGROUP!$G$19:$H$19</definedName>
    <definedName name="_xlnm.Extract" localSheetId="29">'VLXD-NỘI THẤT'!$G$19:$H$19</definedName>
    <definedName name="_xlnm.Extract" localSheetId="25">'Y TẾ - DƯỢC'!$G$19:$H$19</definedName>
    <definedName name="_xlnm.Print_Area" localSheetId="16">' DẦU -KHÍ ĐỐT'!$A$1:$P$22</definedName>
    <definedName name="_xlnm.Print_Area" localSheetId="19">'BÁN LẺ'!$A$1:$P$21</definedName>
    <definedName name="_xlnm.Print_Area" localSheetId="18">'BẢO HIỂM - DV TÀI CHÍNH'!$A$1:$P$22</definedName>
    <definedName name="_xlnm.Print_Area" localSheetId="26">BĐS!$A$1:$P$29</definedName>
    <definedName name="_xlnm.Print_Area" localSheetId="17">'CÔNG NGHỆ'!$A$1:$P$25</definedName>
    <definedName name="_xlnm.Print_Area" localSheetId="23">'CÔNG NGHIỆP - KCN'!$A$1:$P$21</definedName>
    <definedName name="_xlnm.Print_Area" localSheetId="15">'CHỨNG KHOÁN'!$A$1:$O$33</definedName>
    <definedName name="_xlnm.Print_Area" localSheetId="20">'DỆT MAY'!$A$1:$P$21</definedName>
    <definedName name="_xlnm.Print_Area" localSheetId="30">ĐTC!$A$1:$P$30</definedName>
    <definedName name="_xlnm.Print_Area" localSheetId="24">'HÓA CHẤT -NHỰA'!$A$1:$P$25</definedName>
    <definedName name="_xlnm.Print_Area" localSheetId="22">'NĂNG LƯỢNG - TB ĐIỆN'!$A$1:$P$24</definedName>
    <definedName name="_xlnm.Print_Area" localSheetId="13">'NGÂN HÀNG'!$A$1:$O$37</definedName>
    <definedName name="_xlnm.Print_Area" localSheetId="21">THÉP!$A$1:$P$23</definedName>
    <definedName name="_xlnm.Print_Area" localSheetId="27">'THỰC PHẨM-THỦY SẢN'!$A$1:$P$22</definedName>
    <definedName name="_xlnm.Print_Area" localSheetId="28">'VẬN TẢI - Logistics'!$A$1:$P$24</definedName>
    <definedName name="_xlnm.Print_Area" localSheetId="14">VINGROUP!$A$1:$O$23</definedName>
    <definedName name="_xlnm.Print_Area" localSheetId="29">'VLXD-NỘI THẤT'!$A$1:$P$21</definedName>
    <definedName name="_xlnm.Print_Area" localSheetId="25">'Y TẾ - DƯỢC'!$A$1:$P$26</definedName>
  </definedNames>
  <calcPr calcId="191029"/>
  <pivotCaches>
    <pivotCache cacheId="23" r:id="rId37"/>
    <pivotCache cacheId="27" r:id="rId38"/>
    <pivotCache cacheId="31" r:id="rId39"/>
    <pivotCache cacheId="35" r:id="rId40"/>
    <pivotCache cacheId="39" r:id="rId41"/>
    <pivotCache cacheId="43" r:id="rId42"/>
    <pivotCache cacheId="47" r:id="rId43"/>
    <pivotCache cacheId="51" r:id="rId44"/>
    <pivotCache cacheId="55" r:id="rId45"/>
    <pivotCache cacheId="59" r:id="rId46"/>
    <pivotCache cacheId="63" r:id="rId47"/>
    <pivotCache cacheId="67" r:id="rId48"/>
    <pivotCache cacheId="71" r:id="rId49"/>
    <pivotCache cacheId="75" r:id="rId50"/>
    <pivotCache cacheId="79" r:id="rId51"/>
    <pivotCache cacheId="83" r:id="rId52"/>
    <pivotCache cacheId="87" r:id="rId53"/>
    <pivotCache cacheId="91" r:id="rId54"/>
    <pivotCache cacheId="95" r:id="rId55"/>
    <pivotCache cacheId="99" r:id="rId56"/>
  </pivotCaches>
  <extLst>
    <ext xmlns:x14="http://schemas.microsoft.com/office/spreadsheetml/2009/9/main" uri="{8193D73E-4604-4355-AFF4-8A2333D13BE4}">
      <x14:definedNames>
        <x14:definedName name="baocaonhan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CW_info">
          <x14:argumentDescriptions count="1">
            <x14:argumentDescription index="0">Positional argument 1</x14:argumentDescription>
          </x14:argumentDescriptions>
        </x14:definedName>
        <x14:definedName name="chuyen_ngay">
          <x14:argumentDescriptions count="1">
            <x14:argumentDescription index="0">Positional argument 1</x14:argumentDescription>
          </x14:argumentDescriptions>
        </x14:definedName>
        <x14:definedName name="chuyen_ngay_21">
          <x14:argumentDescriptions count="1">
            <x14:argumentDescription index="0">Positional argument 1</x14:argumentDescription>
          </x14:argumentDescriptions>
        </x14:definedName>
        <x14:definedName name="chuyen_ngay_9">
          <x14:argumentDescriptions count="1">
            <x14:argumentDescription index="0">Positional argument 1</x14:argumentDescription>
          </x14:argumentDescriptions>
        </x14:definedName>
        <x14:definedName name="Date_auto">
          <x14:argumentDescriptions count="1">
            <x14:argumentDescription index="0">Positional argument 1</x14:argumentDescription>
          </x14:argumentDescriptions>
        </x14:definedName>
        <x14:definedName name="event_price_cp68">
          <x14:argumentDescriptions count="1">
            <x14:argumentDescription index="0">Positional argument 1</x14:argumentDescription>
          </x14:argumentDescriptions>
        </x14:definedName>
        <x14:definedName name="exchange_currenc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get_bla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data_history_cafe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info_cp">
          <x14:argumentDescriptions count="1">
            <x14:argumentDescription index="0">Positional argument 1</x14:argumentDescription>
          </x14:argumentDescriptions>
        </x14:definedName>
        <x14:definedName name="get_price_historical_cafe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price_historical_vn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price_history_cafe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CPI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iao_dich_khoi_ngoai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iao_dich_noi_bo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iao_dich_tu_doan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iao_dich_tu_doanh_cty_ck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iaodich_noibo">
          <x14:argumentDescriptions count="1">
            <x14:argumentDescription index="0">Positional argument 1</x14:argumentDescription>
          </x14:argumentDescriptions>
        </x14:definedName>
        <x14:definedName name="ham_tinh_BD_ve_chart_vn30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importstock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fo_company">
          <x14:argumentDescriptions count="1">
            <x14:argumentDescription index="0">Positional argument 1</x14:argumentDescription>
          </x14:argumentDescriptions>
        </x14:definedName>
        <x14:definedName name="key_id">
          <x14:argumentDescriptions count="1">
            <x14:argumentDescription index="0">Positional argument 1</x14:argumentDescription>
          </x14:argumentDescriptions>
        </x14:definedName>
        <x14:definedName name="key_id_excel">
          <x14:argumentDescriptions count="1">
            <x14:argumentDescription index="0">Positional argument 1</x14:argumentDescription>
          </x14:argumentDescriptions>
        </x14:definedName>
        <x14:definedName name="kich_hoat_id">
          <x14:argumentDescriptions count="1">
            <x14:argumentDescription index="0">Positional argument 1</x14:argumentDescription>
          </x14:argumentDescriptions>
        </x14:definedName>
        <x14:definedName name="kiemtra">
          <x14:argumentDescriptions count="1">
            <x14:argumentDescription index="0">Positional argument 1</x14:argumentDescription>
          </x14:argumentDescriptions>
        </x14:definedName>
        <x14:definedName name="laisuat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omentum_ck">
          <x14:argumentDescriptions count="1">
            <x14:argumentDescription index="0">Positional argument 1</x14:argumentDescription>
          </x14:argumentDescriptions>
        </x14:definedName>
        <x14:definedName name="repor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port_finance_cf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port_finance_cp68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port_finance_vnd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portio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olieu_banle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danso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FDI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GDP_vietstock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olieu_sanxuat_congnghie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tindung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XNK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B_bien_dong_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nh_du_lieu_cp">
          <x14:argumentDescriptions count="1">
            <x14:argumentDescription index="0">Positional argument 1</x14:argumentDescription>
          </x14:argumentDescriptions>
        </x14:definedName>
        <x14:definedName name="tinh_du_lieu_cp_bulk">
          <x14:argumentDescriptions count="1">
            <x14:argumentDescription index="0">Positional argument 1</x14:argumentDescription>
          </x14:argumentDescriptions>
        </x14:definedName>
        <x14:definedName name="tinh_phan_tra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oday">
          <x14:argumentDescriptions count="1">
            <x14:argumentDescription index="0">Positional argument 1</x14:argumentDescription>
          </x14:argumentDescriptions>
        </x14:definedName>
        <x14:definedName name="tygia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hoi_gian_CW">
          <x14:argumentDescriptions count="1">
            <x14:argumentDescription index="0">Positional argument 1</x14:argumentDescription>
          </x14:argumentDescriptions>
        </x14:definedName>
        <x14:definedName name="trung_binh_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Uoc_tin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update_company">
          <x14:argumentDescriptions count="1">
            <x14:argumentDescription index="0">Positional argument 1</x14:argumentDescription>
          </x14:argumentDescriptions>
        </x14:definedName>
        <x14:definedName name="xuly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FCE2AD5D-F65C-4FA6-A056-5C36A1767C68}">
      <x15:dataModel>
        <x15:modelTables>
          <x15:modelTable id="Range 1" name="Range 1" connection="WorksheetConnection_Bang gia CP!$E:$G"/>
          <x15:modelTable id="Range" name="Range" connection="WorksheetConnection_Bang gia CP!$B$1:$G$3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8" i="51" l="1" a="1"/>
  <c r="M38" i="51" s="1"/>
  <c r="J1" i="71" l="1"/>
  <c r="A1" i="71"/>
  <c r="B2" i="27"/>
  <c r="A1" i="27"/>
  <c r="C13" i="62"/>
  <c r="B10" i="62" s="1"/>
  <c r="P19" i="62"/>
  <c r="P21" i="62"/>
  <c r="P22" i="62"/>
  <c r="P23" i="62"/>
  <c r="P24" i="62"/>
  <c r="P25" i="62"/>
  <c r="P26" i="62"/>
  <c r="P27" i="62"/>
  <c r="P28" i="62"/>
  <c r="P29" i="62"/>
  <c r="P30" i="62"/>
  <c r="P31" i="62"/>
  <c r="P32" i="62"/>
  <c r="P33" i="62"/>
  <c r="P34" i="62"/>
  <c r="P35" i="62"/>
  <c r="P36" i="62"/>
  <c r="P37" i="62"/>
  <c r="P38" i="62"/>
  <c r="P39" i="62"/>
  <c r="P40" i="62"/>
  <c r="P41" i="62"/>
  <c r="P42" i="62"/>
  <c r="P43" i="62"/>
  <c r="P44" i="62"/>
  <c r="P45" i="62"/>
  <c r="P46" i="62"/>
  <c r="P47" i="62"/>
  <c r="P48" i="62"/>
  <c r="P49" i="62"/>
  <c r="P50" i="62"/>
  <c r="P51" i="62"/>
  <c r="P52" i="62"/>
  <c r="P53" i="62"/>
  <c r="P54" i="62"/>
  <c r="P55" i="62"/>
  <c r="P56" i="62"/>
  <c r="P57" i="62"/>
  <c r="P58" i="62"/>
  <c r="P59" i="62"/>
  <c r="P60" i="62"/>
  <c r="P61" i="62"/>
  <c r="P62" i="62"/>
  <c r="P63" i="62"/>
  <c r="P64" i="62"/>
  <c r="P65" i="62"/>
  <c r="P66" i="62"/>
  <c r="P67" i="62"/>
  <c r="P68" i="62"/>
  <c r="P69" i="62"/>
  <c r="P70" i="62"/>
  <c r="P71" i="62"/>
  <c r="P72" i="62"/>
  <c r="P73" i="62"/>
  <c r="P74" i="62"/>
  <c r="P75" i="62"/>
  <c r="P76" i="62"/>
  <c r="P77" i="62"/>
  <c r="P78" i="62"/>
  <c r="P20" i="62"/>
  <c r="N20" i="62"/>
  <c r="J20" i="62"/>
  <c r="G19" i="62"/>
  <c r="H19" i="62"/>
  <c r="I19" i="62"/>
  <c r="G21" i="62"/>
  <c r="H21" i="62"/>
  <c r="I21" i="62"/>
  <c r="G22" i="62"/>
  <c r="H22" i="62"/>
  <c r="I22" i="62"/>
  <c r="G23" i="62"/>
  <c r="H23" i="62"/>
  <c r="I23" i="62"/>
  <c r="G24" i="62"/>
  <c r="H24" i="62"/>
  <c r="I24" i="62"/>
  <c r="G25" i="62"/>
  <c r="H25" i="62"/>
  <c r="I25" i="62"/>
  <c r="G26" i="62"/>
  <c r="H26" i="62"/>
  <c r="I26" i="62"/>
  <c r="G27" i="62"/>
  <c r="H27" i="62"/>
  <c r="I27" i="62"/>
  <c r="G28" i="62"/>
  <c r="H28" i="62"/>
  <c r="I28" i="62"/>
  <c r="G29" i="62"/>
  <c r="H29" i="62"/>
  <c r="I29" i="62"/>
  <c r="G30" i="62"/>
  <c r="H30" i="62"/>
  <c r="I30" i="62"/>
  <c r="G31" i="62"/>
  <c r="H31" i="62"/>
  <c r="I31" i="62"/>
  <c r="G32" i="62"/>
  <c r="H32" i="62"/>
  <c r="I32" i="62"/>
  <c r="G33" i="62"/>
  <c r="H33" i="62"/>
  <c r="I33" i="62"/>
  <c r="G34" i="62"/>
  <c r="H34" i="62"/>
  <c r="I34" i="62"/>
  <c r="G35" i="62"/>
  <c r="H35" i="62"/>
  <c r="I35" i="62"/>
  <c r="G36" i="62"/>
  <c r="H36" i="62"/>
  <c r="I36" i="62"/>
  <c r="G37" i="62"/>
  <c r="H37" i="62"/>
  <c r="I37" i="62"/>
  <c r="G38" i="62"/>
  <c r="H38" i="62"/>
  <c r="I38" i="62"/>
  <c r="G39" i="62"/>
  <c r="H39" i="62"/>
  <c r="I39" i="62"/>
  <c r="G40" i="62"/>
  <c r="H40" i="62"/>
  <c r="I40" i="62"/>
  <c r="G41" i="62"/>
  <c r="H41" i="62"/>
  <c r="I41" i="62"/>
  <c r="G42" i="62"/>
  <c r="H42" i="62"/>
  <c r="I42" i="62"/>
  <c r="G43" i="62"/>
  <c r="H43" i="62"/>
  <c r="I43" i="62"/>
  <c r="G44" i="62"/>
  <c r="H44" i="62"/>
  <c r="I44" i="62"/>
  <c r="G45" i="62"/>
  <c r="H45" i="62"/>
  <c r="I45" i="62"/>
  <c r="G46" i="62"/>
  <c r="H46" i="62"/>
  <c r="I46" i="62"/>
  <c r="G47" i="62"/>
  <c r="H47" i="62"/>
  <c r="I47" i="62"/>
  <c r="G48" i="62"/>
  <c r="H48" i="62"/>
  <c r="I48" i="62"/>
  <c r="G49" i="62"/>
  <c r="H49" i="62"/>
  <c r="I49" i="62"/>
  <c r="G50" i="62"/>
  <c r="H50" i="62"/>
  <c r="I50" i="62"/>
  <c r="G51" i="62"/>
  <c r="H51" i="62"/>
  <c r="I51" i="62"/>
  <c r="G52" i="62"/>
  <c r="H52" i="62"/>
  <c r="I52" i="62"/>
  <c r="G53" i="62"/>
  <c r="H53" i="62"/>
  <c r="I53" i="62"/>
  <c r="G54" i="62"/>
  <c r="H54" i="62"/>
  <c r="I54" i="62"/>
  <c r="G55" i="62"/>
  <c r="H55" i="62"/>
  <c r="I55" i="62"/>
  <c r="G56" i="62"/>
  <c r="H56" i="62"/>
  <c r="I56" i="62"/>
  <c r="G57" i="62"/>
  <c r="H57" i="62"/>
  <c r="I57" i="62"/>
  <c r="G58" i="62"/>
  <c r="H58" i="62"/>
  <c r="I58" i="62"/>
  <c r="G59" i="62"/>
  <c r="H59" i="62"/>
  <c r="I59" i="62"/>
  <c r="G60" i="62"/>
  <c r="H60" i="62"/>
  <c r="I60" i="62"/>
  <c r="G61" i="62"/>
  <c r="H61" i="62"/>
  <c r="I61" i="62"/>
  <c r="G62" i="62"/>
  <c r="H62" i="62"/>
  <c r="I62" i="62"/>
  <c r="G63" i="62"/>
  <c r="H63" i="62"/>
  <c r="I63" i="62"/>
  <c r="G64" i="62"/>
  <c r="H64" i="62"/>
  <c r="I64" i="62"/>
  <c r="G65" i="62"/>
  <c r="H65" i="62"/>
  <c r="I65" i="62"/>
  <c r="G66" i="62"/>
  <c r="H66" i="62"/>
  <c r="I66" i="62"/>
  <c r="G67" i="62"/>
  <c r="H67" i="62"/>
  <c r="I67" i="62"/>
  <c r="G68" i="62"/>
  <c r="H68" i="62"/>
  <c r="I68" i="62"/>
  <c r="G69" i="62"/>
  <c r="H69" i="62"/>
  <c r="I69" i="62"/>
  <c r="G70" i="62"/>
  <c r="H70" i="62"/>
  <c r="I70" i="62"/>
  <c r="G71" i="62"/>
  <c r="H71" i="62"/>
  <c r="I71" i="62"/>
  <c r="G72" i="62"/>
  <c r="H72" i="62"/>
  <c r="I72" i="62"/>
  <c r="G73" i="62"/>
  <c r="H73" i="62"/>
  <c r="I73" i="62"/>
  <c r="G74" i="62"/>
  <c r="H74" i="62"/>
  <c r="I74" i="62"/>
  <c r="G75" i="62"/>
  <c r="H75" i="62"/>
  <c r="I75" i="62"/>
  <c r="G76" i="62"/>
  <c r="H76" i="62"/>
  <c r="I76" i="62"/>
  <c r="G77" i="62"/>
  <c r="H77" i="62"/>
  <c r="I77" i="62"/>
  <c r="G78" i="62"/>
  <c r="H78" i="62"/>
  <c r="I78" i="62"/>
  <c r="I20" i="62"/>
  <c r="H20" i="62"/>
  <c r="G20" i="62"/>
  <c r="K19" i="62"/>
  <c r="N26" i="69"/>
  <c r="M26" i="69" s="1"/>
  <c r="J13" i="69"/>
  <c r="X1" i="51"/>
  <c r="W1" i="51" s="1"/>
  <c r="I1" i="27"/>
  <c r="H1" i="27" s="1"/>
  <c r="H17" i="69"/>
  <c r="K12" i="69"/>
  <c r="H15" i="69"/>
  <c r="N18" i="38"/>
  <c r="N17" i="38"/>
  <c r="N16" i="38"/>
  <c r="R3" i="38"/>
  <c r="J1" i="38"/>
  <c r="A1" i="38"/>
  <c r="T32" i="51"/>
  <c r="S32" i="51"/>
  <c r="R32" i="51"/>
  <c r="Q32" i="51"/>
  <c r="P32" i="51"/>
  <c r="S31" i="51"/>
  <c r="U31" i="51" s="1"/>
  <c r="R31" i="51"/>
  <c r="Q31" i="51"/>
  <c r="P31" i="51"/>
  <c r="P30" i="51"/>
  <c r="R2" i="51" a="1"/>
  <c r="R2" i="51" s="1"/>
  <c r="R1" i="51" a="1"/>
  <c r="R1" i="51" s="1"/>
  <c r="O1" i="51" a="1"/>
  <c r="Q2" i="51" s="1"/>
  <c r="C6" i="66"/>
  <c r="A6" i="66"/>
  <c r="C5" i="66"/>
  <c r="A5" i="66"/>
  <c r="A4" i="66"/>
  <c r="F2" i="22"/>
  <c r="E2" i="22"/>
  <c r="C2" i="22"/>
  <c r="F2" i="28"/>
  <c r="E2" i="28"/>
  <c r="C2" i="28"/>
  <c r="F2" i="29"/>
  <c r="E2" i="29"/>
  <c r="C2" i="29"/>
  <c r="O78" i="62"/>
  <c r="N78" i="62"/>
  <c r="K78" i="62"/>
  <c r="J78" i="62"/>
  <c r="O77" i="62"/>
  <c r="N77" i="62"/>
  <c r="K77" i="62"/>
  <c r="J77" i="62"/>
  <c r="O76" i="62"/>
  <c r="N76" i="62"/>
  <c r="K76" i="62"/>
  <c r="J76" i="62"/>
  <c r="O75" i="62"/>
  <c r="N75" i="62"/>
  <c r="K75" i="62"/>
  <c r="J75" i="62"/>
  <c r="O74" i="62"/>
  <c r="N74" i="62"/>
  <c r="K74" i="62"/>
  <c r="J74" i="62"/>
  <c r="O73" i="62"/>
  <c r="N73" i="62"/>
  <c r="K73" i="62"/>
  <c r="J73" i="62"/>
  <c r="O72" i="62"/>
  <c r="N72" i="62"/>
  <c r="K72" i="62"/>
  <c r="J72" i="62"/>
  <c r="O71" i="62"/>
  <c r="N71" i="62"/>
  <c r="K71" i="62"/>
  <c r="J71" i="62"/>
  <c r="O70" i="62"/>
  <c r="N70" i="62"/>
  <c r="K70" i="62"/>
  <c r="J70" i="62"/>
  <c r="O69" i="62"/>
  <c r="N69" i="62"/>
  <c r="K69" i="62"/>
  <c r="J69" i="62"/>
  <c r="O68" i="62"/>
  <c r="N68" i="62"/>
  <c r="K68" i="62"/>
  <c r="J68" i="62"/>
  <c r="O67" i="62"/>
  <c r="N67" i="62"/>
  <c r="K67" i="62"/>
  <c r="J67" i="62"/>
  <c r="O66" i="62"/>
  <c r="N66" i="62"/>
  <c r="K66" i="62"/>
  <c r="J66" i="62"/>
  <c r="O65" i="62"/>
  <c r="N65" i="62"/>
  <c r="K65" i="62"/>
  <c r="O64" i="62"/>
  <c r="N64" i="62"/>
  <c r="K64" i="62"/>
  <c r="J64" i="62"/>
  <c r="O63" i="62"/>
  <c r="N63" i="62"/>
  <c r="K63" i="62"/>
  <c r="J63" i="62"/>
  <c r="O62" i="62"/>
  <c r="N62" i="62"/>
  <c r="K62" i="62"/>
  <c r="J62" i="62"/>
  <c r="O61" i="62"/>
  <c r="N61" i="62"/>
  <c r="K61" i="62"/>
  <c r="J61" i="62"/>
  <c r="O60" i="62"/>
  <c r="N60" i="62"/>
  <c r="K60" i="62"/>
  <c r="J60" i="62"/>
  <c r="O59" i="62"/>
  <c r="N59" i="62"/>
  <c r="K59" i="62"/>
  <c r="J59" i="62"/>
  <c r="O58" i="62"/>
  <c r="N58" i="62"/>
  <c r="K58" i="62"/>
  <c r="J58" i="62"/>
  <c r="O57" i="62"/>
  <c r="N57" i="62"/>
  <c r="K57" i="62"/>
  <c r="J57" i="62"/>
  <c r="O56" i="62"/>
  <c r="N56" i="62"/>
  <c r="K56" i="62"/>
  <c r="J56" i="62"/>
  <c r="O55" i="62"/>
  <c r="N55" i="62"/>
  <c r="K55" i="62"/>
  <c r="J55" i="62"/>
  <c r="O54" i="62"/>
  <c r="N54" i="62"/>
  <c r="K54" i="62"/>
  <c r="J54" i="62"/>
  <c r="O53" i="62"/>
  <c r="N53" i="62"/>
  <c r="K53" i="62"/>
  <c r="J53" i="62"/>
  <c r="O52" i="62"/>
  <c r="N52" i="62"/>
  <c r="K52" i="62"/>
  <c r="J52" i="62"/>
  <c r="O51" i="62"/>
  <c r="N51" i="62"/>
  <c r="K51" i="62"/>
  <c r="J51" i="62"/>
  <c r="O50" i="62"/>
  <c r="N50" i="62"/>
  <c r="K50" i="62"/>
  <c r="J50" i="62"/>
  <c r="O49" i="62"/>
  <c r="N49" i="62"/>
  <c r="K49" i="62"/>
  <c r="J49" i="62"/>
  <c r="O48" i="62"/>
  <c r="N48" i="62"/>
  <c r="K48" i="62"/>
  <c r="J48" i="62"/>
  <c r="O47" i="62"/>
  <c r="N47" i="62"/>
  <c r="K47" i="62"/>
  <c r="J47" i="62"/>
  <c r="O46" i="62"/>
  <c r="N46" i="62"/>
  <c r="K46" i="62"/>
  <c r="J46" i="62"/>
  <c r="O45" i="62"/>
  <c r="N45" i="62"/>
  <c r="K45" i="62"/>
  <c r="J45" i="62"/>
  <c r="O44" i="62"/>
  <c r="N44" i="62"/>
  <c r="K44" i="62"/>
  <c r="J44" i="62"/>
  <c r="O43" i="62"/>
  <c r="N43" i="62"/>
  <c r="K43" i="62"/>
  <c r="J43" i="62"/>
  <c r="O42" i="62"/>
  <c r="N42" i="62"/>
  <c r="K42" i="62"/>
  <c r="J42" i="62"/>
  <c r="O41" i="62"/>
  <c r="N41" i="62"/>
  <c r="K41" i="62"/>
  <c r="J41" i="62"/>
  <c r="O40" i="62"/>
  <c r="N40" i="62"/>
  <c r="K40" i="62"/>
  <c r="J40" i="62"/>
  <c r="O39" i="62"/>
  <c r="N39" i="62"/>
  <c r="K39" i="62"/>
  <c r="J39" i="62"/>
  <c r="O38" i="62"/>
  <c r="N38" i="62"/>
  <c r="K38" i="62"/>
  <c r="J38" i="62"/>
  <c r="O37" i="62"/>
  <c r="N37" i="62"/>
  <c r="K37" i="62"/>
  <c r="J37" i="62"/>
  <c r="O36" i="62"/>
  <c r="N36" i="62"/>
  <c r="K36" i="62"/>
  <c r="J36" i="62"/>
  <c r="O35" i="62"/>
  <c r="N35" i="62"/>
  <c r="K35" i="62"/>
  <c r="J35" i="62"/>
  <c r="O34" i="62"/>
  <c r="N34" i="62"/>
  <c r="K34" i="62"/>
  <c r="J34" i="62"/>
  <c r="O33" i="62"/>
  <c r="N33" i="62"/>
  <c r="K33" i="62"/>
  <c r="J33" i="62"/>
  <c r="O32" i="62"/>
  <c r="N32" i="62"/>
  <c r="K32" i="62"/>
  <c r="J32" i="62"/>
  <c r="O31" i="62"/>
  <c r="N31" i="62"/>
  <c r="K31" i="62"/>
  <c r="J31" i="62"/>
  <c r="O30" i="62"/>
  <c r="N30" i="62"/>
  <c r="K30" i="62"/>
  <c r="J30" i="62"/>
  <c r="O29" i="62"/>
  <c r="N29" i="62"/>
  <c r="K29" i="62"/>
  <c r="J29" i="62"/>
  <c r="O28" i="62"/>
  <c r="N28" i="62"/>
  <c r="K28" i="62"/>
  <c r="J28" i="62"/>
  <c r="O27" i="62"/>
  <c r="N27" i="62"/>
  <c r="K27" i="62"/>
  <c r="J27" i="62"/>
  <c r="O26" i="62"/>
  <c r="N26" i="62"/>
  <c r="K26" i="62"/>
  <c r="J26" i="62"/>
  <c r="O25" i="62"/>
  <c r="N25" i="62"/>
  <c r="K25" i="62"/>
  <c r="J25" i="62"/>
  <c r="O24" i="62"/>
  <c r="N24" i="62"/>
  <c r="K24" i="62"/>
  <c r="J24" i="62"/>
  <c r="O23" i="62"/>
  <c r="N23" i="62"/>
  <c r="K23" i="62"/>
  <c r="J23" i="62"/>
  <c r="O22" i="62"/>
  <c r="N22" i="62"/>
  <c r="K22" i="62"/>
  <c r="J22" i="62"/>
  <c r="O21" i="62"/>
  <c r="N21" i="62"/>
  <c r="K21" i="62"/>
  <c r="J21" i="62"/>
  <c r="O20" i="62"/>
  <c r="K20" i="62"/>
  <c r="O19" i="62"/>
  <c r="N19" i="62"/>
  <c r="J19" i="62"/>
  <c r="I15" i="62"/>
  <c r="G10" i="62" s="1"/>
  <c r="C15" i="62"/>
  <c r="C10" i="62" s="1"/>
  <c r="I14" i="62"/>
  <c r="G9" i="62" s="1"/>
  <c r="C14" i="62"/>
  <c r="C9" i="62" s="1"/>
  <c r="I13" i="62"/>
  <c r="F10" i="62" s="1"/>
  <c r="I12" i="62"/>
  <c r="C12" i="62"/>
  <c r="B9" i="62" s="1"/>
  <c r="F41" i="38" a="1"/>
  <c r="F47" i="38" a="1"/>
  <c r="F48" i="38" a="1"/>
  <c r="F51" i="38" a="1"/>
  <c r="F40" i="38" a="1"/>
  <c r="F33" i="38" a="1"/>
  <c r="F27" i="38" a="1"/>
  <c r="A37" i="51" a="1"/>
  <c r="F37" i="38" a="1"/>
  <c r="F43" i="38" a="1"/>
  <c r="F29" i="38" a="1"/>
  <c r="F38" i="38" a="1"/>
  <c r="F49" i="38" a="1"/>
  <c r="F44" i="38" a="1"/>
  <c r="F36" i="38" a="1"/>
  <c r="F35" i="38" a="1"/>
  <c r="N4" i="38" a="1"/>
  <c r="F26" i="38" a="1"/>
  <c r="C42" i="40" a="1"/>
  <c r="F34" i="38" a="1"/>
  <c r="F31" i="38" a="1"/>
  <c r="F52" i="38" a="1"/>
  <c r="F45" i="38" a="1"/>
  <c r="F32" i="38" a="1"/>
  <c r="F25" i="38" a="1"/>
  <c r="F28" i="38" a="1"/>
  <c r="F24" i="38" a="1"/>
  <c r="F42" i="38" a="1"/>
  <c r="F39" i="38" a="1"/>
  <c r="C43" i="40" a="1"/>
  <c r="F50" i="38" a="1"/>
  <c r="F53" i="38" a="1"/>
  <c r="F30" i="38" a="1"/>
  <c r="A70" i="51" a="1"/>
  <c r="F46" i="38" a="1"/>
  <c r="AF6" i="51" a="1"/>
  <c r="W6" i="51" a="1"/>
  <c r="N4" i="38" l="1"/>
  <c r="A37" i="51"/>
  <c r="R24" i="51"/>
  <c r="AF6" i="51"/>
  <c r="W6" i="51"/>
  <c r="J23" i="51"/>
  <c r="O43" i="40"/>
  <c r="P43" i="40" s="1"/>
  <c r="C43" i="40"/>
  <c r="O42" i="40"/>
  <c r="C42" i="40"/>
  <c r="M23" i="51"/>
  <c r="F53" i="38"/>
  <c r="F50" i="38"/>
  <c r="F47" i="38"/>
  <c r="F44" i="38"/>
  <c r="F41" i="38"/>
  <c r="F38" i="38"/>
  <c r="F32" i="38"/>
  <c r="F29" i="38"/>
  <c r="F26" i="38"/>
  <c r="F52" i="38"/>
  <c r="F49" i="38"/>
  <c r="F43" i="38"/>
  <c r="F40" i="38"/>
  <c r="F37" i="38"/>
  <c r="F34" i="38"/>
  <c r="F31" i="38"/>
  <c r="F28" i="38"/>
  <c r="F51" i="38"/>
  <c r="F48" i="38"/>
  <c r="F45" i="38"/>
  <c r="F42" i="38"/>
  <c r="F39" i="38"/>
  <c r="F36" i="38"/>
  <c r="F33" i="38"/>
  <c r="F30" i="38"/>
  <c r="F27" i="38"/>
  <c r="F35" i="38"/>
  <c r="F46" i="38"/>
  <c r="F25" i="38"/>
  <c r="F24" i="38"/>
  <c r="L1" i="51"/>
  <c r="A70" i="51"/>
  <c r="C4" i="66"/>
  <c r="A3" i="66"/>
  <c r="F13" i="62"/>
  <c r="N34" i="51"/>
  <c r="O34" i="51" s="1"/>
  <c r="L33" i="51"/>
  <c r="N31" i="51"/>
  <c r="O31" i="51" s="1"/>
  <c r="L30" i="51"/>
  <c r="J29" i="51"/>
  <c r="N27" i="51"/>
  <c r="O27" i="51" s="1"/>
  <c r="M26" i="51"/>
  <c r="J25" i="51"/>
  <c r="N35" i="51"/>
  <c r="O35" i="51" s="1"/>
  <c r="M34" i="51"/>
  <c r="J33" i="51"/>
  <c r="M31" i="51"/>
  <c r="J30" i="51"/>
  <c r="M27" i="51"/>
  <c r="L26" i="51"/>
  <c r="N23" i="51"/>
  <c r="O23" i="51" s="1"/>
  <c r="M35" i="51"/>
  <c r="L34" i="51"/>
  <c r="N32" i="51"/>
  <c r="O32" i="51" s="1"/>
  <c r="L31" i="51"/>
  <c r="N28" i="51"/>
  <c r="O28" i="51" s="1"/>
  <c r="L27" i="51"/>
  <c r="J26" i="51"/>
  <c r="N24" i="51"/>
  <c r="O24" i="51" s="1"/>
  <c r="L35" i="51"/>
  <c r="J34" i="51"/>
  <c r="M32" i="51"/>
  <c r="J31" i="51"/>
  <c r="N29" i="51"/>
  <c r="O29" i="51" s="1"/>
  <c r="M28" i="51"/>
  <c r="J27" i="51"/>
  <c r="N25" i="51"/>
  <c r="O25" i="51" s="1"/>
  <c r="M24" i="51"/>
  <c r="L23" i="51"/>
  <c r="J35" i="51"/>
  <c r="N33" i="51"/>
  <c r="O33" i="51" s="1"/>
  <c r="L32" i="51"/>
  <c r="N30" i="51"/>
  <c r="O30" i="51" s="1"/>
  <c r="M29" i="51"/>
  <c r="L28" i="51"/>
  <c r="M25" i="51"/>
  <c r="L24" i="51"/>
  <c r="M33" i="51"/>
  <c r="J32" i="51"/>
  <c r="M30" i="51"/>
  <c r="L29" i="51"/>
  <c r="J28" i="51"/>
  <c r="N26" i="51"/>
  <c r="O26" i="51" s="1"/>
  <c r="L25" i="51"/>
  <c r="J24" i="51"/>
  <c r="U32" i="51"/>
  <c r="K13" i="62"/>
  <c r="D10" i="62"/>
  <c r="F15" i="62"/>
  <c r="P2" i="51"/>
  <c r="K15" i="62"/>
  <c r="G15" i="62"/>
  <c r="O1" i="51"/>
  <c r="P3" i="51"/>
  <c r="O3" i="51"/>
  <c r="P1" i="51"/>
  <c r="Q3" i="51"/>
  <c r="H10" i="62"/>
  <c r="G13" i="62"/>
  <c r="Q1" i="51"/>
  <c r="O2" i="51"/>
  <c r="S32" i="38"/>
  <c r="S27" i="38"/>
  <c r="S38" i="38"/>
  <c r="S26" i="38"/>
  <c r="S50" i="38"/>
  <c r="S33" i="38"/>
  <c r="S44" i="38"/>
  <c r="S39" i="38"/>
  <c r="P15" i="38"/>
  <c r="S24" i="38"/>
  <c r="S30" i="38"/>
  <c r="S36" i="38"/>
  <c r="S42" i="38"/>
  <c r="S48" i="38"/>
  <c r="S25" i="38"/>
  <c r="S31" i="38"/>
  <c r="S37" i="38"/>
  <c r="S43" i="38"/>
  <c r="S49" i="38"/>
  <c r="S45" i="38"/>
  <c r="S51" i="38"/>
  <c r="S28" i="38"/>
  <c r="S34" i="38"/>
  <c r="S40" i="38"/>
  <c r="S46" i="38"/>
  <c r="S52" i="38"/>
  <c r="S29" i="38"/>
  <c r="S35" i="38"/>
  <c r="S41" i="38"/>
  <c r="S47" i="38"/>
  <c r="S53" i="38"/>
  <c r="D9" i="62"/>
  <c r="F9" i="62"/>
  <c r="H9" i="62" s="1"/>
  <c r="E13" i="62"/>
  <c r="E15" i="62"/>
  <c r="Q43" i="40" l="1"/>
  <c r="P42" i="40"/>
  <c r="Q42" i="40"/>
  <c r="A4" i="67"/>
  <c r="V47" i="38"/>
  <c r="U47" i="38"/>
  <c r="T47" i="38"/>
  <c r="V29" i="38"/>
  <c r="U29" i="38"/>
  <c r="T29" i="38"/>
  <c r="V46" i="38"/>
  <c r="U46" i="38"/>
  <c r="T46" i="38"/>
  <c r="V28" i="38"/>
  <c r="U28" i="38"/>
  <c r="T28" i="38"/>
  <c r="V51" i="38"/>
  <c r="T51" i="38"/>
  <c r="U51" i="38"/>
  <c r="U48" i="38"/>
  <c r="T48" i="38"/>
  <c r="V48" i="38"/>
  <c r="U50" i="38"/>
  <c r="T50" i="38"/>
  <c r="V50" i="38"/>
  <c r="T37" i="38"/>
  <c r="V37" i="38"/>
  <c r="U37" i="38"/>
  <c r="U42" i="38"/>
  <c r="T42" i="38"/>
  <c r="V42" i="38"/>
  <c r="U24" i="38"/>
  <c r="T24" i="38"/>
  <c r="V24" i="38"/>
  <c r="S23" i="38"/>
  <c r="N11" i="38" s="1"/>
  <c r="U44" i="38"/>
  <c r="T44" i="38"/>
  <c r="V44" i="38"/>
  <c r="V40" i="38"/>
  <c r="U40" i="38"/>
  <c r="T40" i="38"/>
  <c r="T49" i="38"/>
  <c r="V49" i="38"/>
  <c r="U49" i="38"/>
  <c r="T31" i="38"/>
  <c r="V31" i="38"/>
  <c r="U31" i="38"/>
  <c r="U36" i="38"/>
  <c r="T36" i="38"/>
  <c r="V36" i="38"/>
  <c r="U38" i="38"/>
  <c r="T38" i="38"/>
  <c r="V38" i="38"/>
  <c r="V53" i="38"/>
  <c r="U53" i="38"/>
  <c r="T53" i="38"/>
  <c r="V35" i="38"/>
  <c r="U35" i="38"/>
  <c r="T35" i="38"/>
  <c r="V52" i="38"/>
  <c r="U52" i="38"/>
  <c r="T52" i="38"/>
  <c r="V34" i="38"/>
  <c r="U34" i="38"/>
  <c r="T34" i="38"/>
  <c r="V41" i="38"/>
  <c r="U41" i="38"/>
  <c r="T41" i="38"/>
  <c r="V45" i="38"/>
  <c r="T45" i="38"/>
  <c r="U45" i="38"/>
  <c r="T39" i="38"/>
  <c r="V39" i="38"/>
  <c r="U39" i="38"/>
  <c r="T33" i="38"/>
  <c r="V33" i="38"/>
  <c r="U33" i="38"/>
  <c r="U26" i="38"/>
  <c r="T26" i="38"/>
  <c r="V26" i="38"/>
  <c r="T43" i="38"/>
  <c r="V43" i="38"/>
  <c r="U43" i="38"/>
  <c r="T25" i="38"/>
  <c r="V25" i="38"/>
  <c r="U25" i="38"/>
  <c r="U30" i="38"/>
  <c r="T30" i="38"/>
  <c r="V30" i="38"/>
  <c r="T27" i="38"/>
  <c r="V27" i="38"/>
  <c r="U27" i="38"/>
  <c r="U32" i="38"/>
  <c r="T32" i="38"/>
  <c r="V32" i="38"/>
  <c r="C37" i="46" a="1"/>
  <c r="C26" i="43" a="1"/>
  <c r="C36" i="40" a="1"/>
  <c r="C21" i="42" a="1"/>
  <c r="C37" i="40" a="1"/>
  <c r="C26" i="47" a="1"/>
  <c r="F72" i="71" a="1"/>
  <c r="C28" i="58" a="1"/>
  <c r="C31" i="57" a="1"/>
  <c r="C23" i="58" a="1"/>
  <c r="F119" i="71" a="1"/>
  <c r="C31" i="40" a="1"/>
  <c r="C30" i="46" a="1"/>
  <c r="C22" i="44" a="1"/>
  <c r="C23" i="44" a="1"/>
  <c r="C22" i="48" a="1"/>
  <c r="F120" i="71" a="1"/>
  <c r="C24" i="52" a="1"/>
  <c r="C21" i="57" a="1"/>
  <c r="C25" i="46" a="1"/>
  <c r="F33" i="71" a="1"/>
  <c r="C24" i="42" a="1"/>
  <c r="F38" i="71" a="1"/>
  <c r="F83" i="71" a="1"/>
  <c r="F61" i="71" a="1"/>
  <c r="F34" i="71" a="1"/>
  <c r="C25" i="45" a="1"/>
  <c r="C30" i="52" a="1"/>
  <c r="C36" i="36" a="1"/>
  <c r="C30" i="48" a="1"/>
  <c r="C21" i="39" a="1"/>
  <c r="C31" i="36" a="1"/>
  <c r="C51" i="39" a="1"/>
  <c r="C28" i="44" a="1"/>
  <c r="C28" i="39" a="1"/>
  <c r="C23" i="45" a="1"/>
  <c r="C23" i="42" a="1"/>
  <c r="C24" i="44" a="1"/>
  <c r="C31" i="39" a="1"/>
  <c r="C45" i="36" a="1"/>
  <c r="F51" i="71" a="1"/>
  <c r="C26" i="42" a="1"/>
  <c r="F113" i="71" a="1"/>
  <c r="C20" i="60" a="1"/>
  <c r="C21" i="58" a="1"/>
  <c r="C39" i="46" a="1"/>
  <c r="F68" i="71" a="1"/>
  <c r="C32" i="49" a="1"/>
  <c r="C33" i="46" a="1"/>
  <c r="F48" i="71" a="1"/>
  <c r="A4" i="22" a="1"/>
  <c r="F104" i="71" a="1"/>
  <c r="C21" i="52" a="1"/>
  <c r="F43" i="71" a="1"/>
  <c r="C23" i="60" a="1"/>
  <c r="F42" i="71" a="1"/>
  <c r="C30" i="49" a="1"/>
  <c r="C29" i="58" a="1"/>
  <c r="C39" i="36" a="1"/>
  <c r="C39" i="49" a="1"/>
  <c r="C29" i="53" a="1"/>
  <c r="C41" i="40" a="1"/>
  <c r="C29" i="42" a="1"/>
  <c r="C25" i="36" a="1"/>
  <c r="C30" i="58" a="1"/>
  <c r="C23" i="70" a="1"/>
  <c r="C30" i="43" a="1"/>
  <c r="C29" i="49" a="1"/>
  <c r="C35" i="53" a="1"/>
  <c r="C23" i="40" a="1"/>
  <c r="C33" i="44" a="1"/>
  <c r="F62" i="71" a="1"/>
  <c r="C20" i="48" a="1"/>
  <c r="F109" i="71" a="1"/>
  <c r="O1" i="34" a="1"/>
  <c r="F66" i="71" a="1"/>
  <c r="F36" i="71" a="1"/>
  <c r="C32" i="46" a="1"/>
  <c r="F58" i="71" a="1"/>
  <c r="C36" i="49" a="1"/>
  <c r="C20" i="45" a="1"/>
  <c r="C46" i="39" a="1"/>
  <c r="F45" i="71" a="1"/>
  <c r="C29" i="44" a="1"/>
  <c r="F77" i="71" a="1"/>
  <c r="C29" i="45" a="1"/>
  <c r="C21" i="49" a="1"/>
  <c r="F52" i="71" a="1"/>
  <c r="C32" i="44" a="1"/>
  <c r="C27" i="60" a="1"/>
  <c r="C24" i="40" a="1"/>
  <c r="C34" i="43" a="1"/>
  <c r="F75" i="71" a="1"/>
  <c r="C55" i="39" a="1"/>
  <c r="C20" i="54" a="1"/>
  <c r="C27" i="47" a="1"/>
  <c r="C21" i="45" a="1"/>
  <c r="C31" i="49" a="1"/>
  <c r="C23" i="36" a="1"/>
  <c r="F50" i="71" a="1"/>
  <c r="F49" i="71" a="1"/>
  <c r="C30" i="53" a="1"/>
  <c r="C22" i="58" a="1"/>
  <c r="C26" i="49" a="1"/>
  <c r="F115" i="71" a="1"/>
  <c r="C32" i="36" a="1"/>
  <c r="C27" i="42" a="1"/>
  <c r="C53" i="39" a="1"/>
  <c r="F28" i="71" a="1"/>
  <c r="C27" i="57" a="1"/>
  <c r="C25" i="48" a="1"/>
  <c r="F63" i="71" a="1"/>
  <c r="F85" i="71" a="1"/>
  <c r="C47" i="39" a="1"/>
  <c r="C32" i="40" a="1"/>
  <c r="C37" i="53" a="1"/>
  <c r="C37" i="43" a="1"/>
  <c r="F37" i="71" a="1"/>
  <c r="C21" i="40" a="1"/>
  <c r="C44" i="39" a="1"/>
  <c r="C27" i="44" a="1"/>
  <c r="C26" i="44" a="1"/>
  <c r="C35" i="44" a="1"/>
  <c r="C37" i="58" a="1"/>
  <c r="C20" i="44" a="1"/>
  <c r="C31" i="48" a="1"/>
  <c r="C26" i="58" a="1"/>
  <c r="F30" i="71" a="1"/>
  <c r="C44" i="36" a="1"/>
  <c r="C29" i="40" a="1"/>
  <c r="A1" i="69" a="1"/>
  <c r="C22" i="47" a="1"/>
  <c r="F32" i="71" a="1"/>
  <c r="F91" i="71" a="1"/>
  <c r="C37" i="39" a="1"/>
  <c r="F54" i="71" a="1"/>
  <c r="C43" i="39" a="1"/>
  <c r="F81" i="71" a="1"/>
  <c r="C26" i="60" a="1"/>
  <c r="C26" i="39" a="1"/>
  <c r="C40" i="49" a="1"/>
  <c r="C23" i="52" a="1"/>
  <c r="C26" i="54" a="1"/>
  <c r="C22" i="42" a="1"/>
  <c r="C28" i="40" a="1"/>
  <c r="C33" i="58" a="1"/>
  <c r="C21" i="70" a="1"/>
  <c r="C29" i="43" a="1"/>
  <c r="C21" i="44" a="1"/>
  <c r="C43" i="36" a="1"/>
  <c r="F25" i="71" a="1"/>
  <c r="C25" i="40" a="1"/>
  <c r="C25" i="49" a="1"/>
  <c r="C35" i="36" a="1"/>
  <c r="C21" i="36" a="1"/>
  <c r="C35" i="57" a="1"/>
  <c r="C23" i="54" a="1"/>
  <c r="C30" i="57" a="1"/>
  <c r="C56" i="39" a="1"/>
  <c r="C25" i="44" a="1"/>
  <c r="C20" i="40" a="1"/>
  <c r="C36" i="53" a="1"/>
  <c r="C33" i="40" a="1"/>
  <c r="C28" i="45" a="1"/>
  <c r="C23" i="49" a="1"/>
  <c r="C24" i="46" a="1"/>
  <c r="F29" i="71" a="1"/>
  <c r="C58" i="39" a="1"/>
  <c r="C26" i="57" a="1"/>
  <c r="C36" i="58" a="1"/>
  <c r="C39" i="40" a="1"/>
  <c r="F31" i="71" a="1"/>
  <c r="C42" i="39" a="1"/>
  <c r="C24" i="36" a="1"/>
  <c r="C28" i="49" a="1"/>
  <c r="C26" i="36" a="1"/>
  <c r="F47" i="71" a="1"/>
  <c r="C20" i="43" a="1"/>
  <c r="C30" i="40" a="1"/>
  <c r="C32" i="39" a="1"/>
  <c r="F86" i="71" a="1"/>
  <c r="C21" i="48" a="1"/>
  <c r="C20" i="46" a="1"/>
  <c r="C37" i="36" a="1"/>
  <c r="C26" i="40" a="1"/>
  <c r="C31" i="53" a="1"/>
  <c r="C20" i="53" a="1"/>
  <c r="F106" i="71" a="1"/>
  <c r="C22" i="53" a="1"/>
  <c r="C24" i="47" a="1"/>
  <c r="C34" i="57" a="1"/>
  <c r="C36" i="46" a="1"/>
  <c r="C45" i="39" a="1"/>
  <c r="C57" i="39" a="1"/>
  <c r="C39" i="58" a="1"/>
  <c r="C28" i="47" a="1"/>
  <c r="C27" i="45" a="1"/>
  <c r="C28" i="48" a="1"/>
  <c r="C40" i="36" a="1"/>
  <c r="C22" i="54" a="1"/>
  <c r="C23" i="47" a="1"/>
  <c r="C30" i="60" a="1"/>
  <c r="C35" i="43" a="1"/>
  <c r="F121" i="71" a="1"/>
  <c r="C25" i="53" a="1"/>
  <c r="C34" i="39" a="1"/>
  <c r="C35" i="49" a="1"/>
  <c r="C24" i="53" a="1"/>
  <c r="C38" i="58" a="1"/>
  <c r="C59" i="39" a="1"/>
  <c r="F65" i="71" a="1"/>
  <c r="C28" i="57" a="1"/>
  <c r="F110" i="71" a="1"/>
  <c r="C32" i="58" a="1"/>
  <c r="F117" i="71" a="1"/>
  <c r="F46" i="71" a="1"/>
  <c r="F94" i="71" a="1"/>
  <c r="F84" i="71" a="1"/>
  <c r="C35" i="40" a="1"/>
  <c r="C24" i="48" a="1"/>
  <c r="F74" i="71" a="1"/>
  <c r="F56" i="71" a="1"/>
  <c r="C25" i="54" a="1"/>
  <c r="C24" i="39" a="1"/>
  <c r="C21" i="46" a="1"/>
  <c r="C33" i="39" a="1"/>
  <c r="C24" i="45" a="1"/>
  <c r="C28" i="60" a="1"/>
  <c r="C31" i="58" a="1"/>
  <c r="F26" i="71" a="1"/>
  <c r="F93" i="71" a="1"/>
  <c r="C29" i="36" a="1"/>
  <c r="F88" i="71" a="1"/>
  <c r="C20" i="58" a="1"/>
  <c r="C41" i="46" a="1"/>
  <c r="C22" i="57" a="1"/>
  <c r="C21" i="54" a="1"/>
  <c r="F71" i="71" a="1"/>
  <c r="C46" i="36" a="1"/>
  <c r="F24" i="71" a="1"/>
  <c r="C20" i="49" a="1"/>
  <c r="C48" i="39" a="1"/>
  <c r="C27" i="52" a="1"/>
  <c r="C22" i="40" a="1"/>
  <c r="A4" i="28" a="1"/>
  <c r="C23" i="48" a="1"/>
  <c r="C21" i="47" a="1"/>
  <c r="C27" i="36" a="1"/>
  <c r="C27" i="39" a="1"/>
  <c r="C36" i="39" a="1"/>
  <c r="F67" i="71" a="1"/>
  <c r="C27" i="53" a="1"/>
  <c r="C29" i="52" a="1"/>
  <c r="C41" i="39" a="1"/>
  <c r="C22" i="49" a="1"/>
  <c r="C23" i="39" a="1"/>
  <c r="F114" i="71" a="1"/>
  <c r="F41" i="71" a="1"/>
  <c r="F69" i="71" a="1"/>
  <c r="F97" i="71" a="1"/>
  <c r="C36" i="43" a="1"/>
  <c r="C25" i="47" a="1"/>
  <c r="A4" i="29" a="1"/>
  <c r="C20" i="57" a="1"/>
  <c r="C22" i="39" a="1"/>
  <c r="F111" i="71" a="1"/>
  <c r="C25" i="52" a="1"/>
  <c r="C22" i="43" a="1"/>
  <c r="F108" i="71" a="1"/>
  <c r="C23" i="53" a="1"/>
  <c r="C25" i="43" a="1"/>
  <c r="F53" i="71" a="1"/>
  <c r="F107" i="71" a="1"/>
  <c r="C27" i="49" a="1"/>
  <c r="C38" i="40" a="1"/>
  <c r="C35" i="46" a="1"/>
  <c r="C34" i="46" a="1"/>
  <c r="C26" i="48" a="1"/>
  <c r="C37" i="49" a="1"/>
  <c r="C28" i="43" a="1"/>
  <c r="F60" i="71" a="1"/>
  <c r="F39" i="71" a="1"/>
  <c r="C34" i="36" a="1"/>
  <c r="C34" i="44" a="1"/>
  <c r="C35" i="39" a="1"/>
  <c r="C49" i="39" a="1"/>
  <c r="C20" i="39" a="1"/>
  <c r="C38" i="36" a="1"/>
  <c r="C40" i="40" a="1"/>
  <c r="C24" i="58" a="1"/>
  <c r="F105" i="71" a="1"/>
  <c r="C61" i="39" a="1"/>
  <c r="C20" i="47" a="1"/>
  <c r="C30" i="44" a="1"/>
  <c r="C25" i="39" a="1"/>
  <c r="C28" i="42" a="1"/>
  <c r="C25" i="58" a="1"/>
  <c r="C27" i="58" a="1"/>
  <c r="C27" i="43" a="1"/>
  <c r="C32" i="43" a="1"/>
  <c r="C22" i="45" a="1"/>
  <c r="C27" i="54" a="1"/>
  <c r="C28" i="53" a="1"/>
  <c r="F44" i="71" a="1"/>
  <c r="F79" i="71" a="1"/>
  <c r="C27" i="48" a="1"/>
  <c r="C36" i="57" a="1"/>
  <c r="C38" i="39" a="1"/>
  <c r="C24" i="43" a="1"/>
  <c r="C26" i="46" a="1"/>
  <c r="C31" i="44" a="1"/>
  <c r="F99" i="71" a="1"/>
  <c r="F70" i="71" a="1"/>
  <c r="C25" i="42" a="1"/>
  <c r="C33" i="43" a="1"/>
  <c r="C28" i="52" a="1"/>
  <c r="F55" i="71" a="1"/>
  <c r="C42" i="36" a="1"/>
  <c r="F73" i="71" a="1"/>
  <c r="C26" i="52" a="1"/>
  <c r="C22" i="60" a="1"/>
  <c r="C41" i="36" a="1"/>
  <c r="C40" i="39" a="1"/>
  <c r="C24" i="54" a="1"/>
  <c r="C54" i="39" a="1"/>
  <c r="C24" i="49" a="1"/>
  <c r="F27" i="71" a="1"/>
  <c r="F98" i="71" a="1"/>
  <c r="C29" i="46" a="1"/>
  <c r="C50" i="39" a="1"/>
  <c r="F87" i="71" a="1"/>
  <c r="F103" i="71" a="1"/>
  <c r="F101" i="71" a="1"/>
  <c r="C33" i="53" a="1"/>
  <c r="C22" i="46" a="1"/>
  <c r="F40" i="71" a="1"/>
  <c r="F80" i="71" a="1"/>
  <c r="F64" i="71" a="1"/>
  <c r="F112" i="71" a="1"/>
  <c r="C33" i="49" a="1"/>
  <c r="F35" i="71" a="1"/>
  <c r="C25" i="57" a="1"/>
  <c r="C30" i="39" a="1"/>
  <c r="C24" i="60" a="1"/>
  <c r="F57" i="71" a="1"/>
  <c r="F116" i="71" a="1"/>
  <c r="F78" i="71" a="1"/>
  <c r="F95" i="71" a="1"/>
  <c r="F89" i="71" a="1"/>
  <c r="C34" i="49" a="1"/>
  <c r="F82" i="71" a="1"/>
  <c r="C38" i="49" a="1"/>
  <c r="C21" i="53" a="1"/>
  <c r="C35" i="58" a="1"/>
  <c r="C21" i="60" a="1"/>
  <c r="C33" i="57" a="1"/>
  <c r="C29" i="57" a="1"/>
  <c r="F96" i="71" a="1"/>
  <c r="C27" i="46" a="1"/>
  <c r="C40" i="46" a="1"/>
  <c r="F102" i="71" a="1"/>
  <c r="C22" i="52" a="1"/>
  <c r="C22" i="36" a="1"/>
  <c r="C39" i="39" a="1"/>
  <c r="C24" i="57" a="1"/>
  <c r="C30" i="36" a="1"/>
  <c r="F59" i="71" a="1"/>
  <c r="C20" i="42" a="1"/>
  <c r="C26" i="53" a="1"/>
  <c r="C28" i="46" a="1"/>
  <c r="F76" i="71" a="1"/>
  <c r="C38" i="46" a="1"/>
  <c r="C20" i="52" a="1"/>
  <c r="C34" i="53" a="1"/>
  <c r="C29" i="48" a="1"/>
  <c r="C25" i="60" a="1"/>
  <c r="C31" i="43" a="1"/>
  <c r="C23" i="57" a="1"/>
  <c r="C40" i="58" a="1"/>
  <c r="C31" i="46" a="1"/>
  <c r="C32" i="53" a="1"/>
  <c r="C52" i="39" a="1"/>
  <c r="C32" i="57" a="1"/>
  <c r="C21" i="43" a="1"/>
  <c r="R13" i="38" a="1"/>
  <c r="C60" i="39" a="1"/>
  <c r="C27" i="40" a="1"/>
  <c r="C26" i="45" a="1"/>
  <c r="C29" i="60" a="1"/>
  <c r="C28" i="36" a="1"/>
  <c r="F100" i="71" a="1"/>
  <c r="C34" i="40" a="1"/>
  <c r="F90" i="71" a="1"/>
  <c r="F92" i="71" a="1"/>
  <c r="F118" i="71" a="1"/>
  <c r="C34" i="58" a="1"/>
  <c r="C29" i="39" a="1"/>
  <c r="C20" i="36" a="1"/>
  <c r="C23" i="43" a="1"/>
  <c r="C23" i="46" a="1"/>
  <c r="C22" i="70" a="1"/>
  <c r="C20" i="70" a="1"/>
  <c r="C33" i="36" a="1"/>
  <c r="A1" i="34" a="1"/>
  <c r="K1" i="69" a="1"/>
  <c r="E16" i="40" l="1"/>
  <c r="F16" i="40"/>
  <c r="C4" i="27"/>
  <c r="F5" i="27"/>
  <c r="J3" i="22"/>
  <c r="I9" i="27" s="1"/>
  <c r="O23" i="36"/>
  <c r="O23" i="44"/>
  <c r="O28" i="49"/>
  <c r="O31" i="58"/>
  <c r="O27" i="57"/>
  <c r="O38" i="46"/>
  <c r="O37" i="43"/>
  <c r="R25" i="71"/>
  <c r="R115" i="71"/>
  <c r="O25" i="46"/>
  <c r="O23" i="42"/>
  <c r="R86" i="71"/>
  <c r="R113" i="71"/>
  <c r="O36" i="43"/>
  <c r="O34" i="43"/>
  <c r="R88" i="71"/>
  <c r="O33" i="36"/>
  <c r="R49" i="71"/>
  <c r="R29" i="71"/>
  <c r="O35" i="39"/>
  <c r="O30" i="48"/>
  <c r="R44" i="71"/>
  <c r="O22" i="39"/>
  <c r="O23" i="70"/>
  <c r="O22" i="46"/>
  <c r="O26" i="47"/>
  <c r="O28" i="60"/>
  <c r="O51" i="39"/>
  <c r="O36" i="40"/>
  <c r="R30" i="71"/>
  <c r="O28" i="40"/>
  <c r="O23" i="53"/>
  <c r="O33" i="46"/>
  <c r="O35" i="46"/>
  <c r="O28" i="57"/>
  <c r="O27" i="36"/>
  <c r="R105" i="71"/>
  <c r="R112" i="71"/>
  <c r="O20" i="60"/>
  <c r="O37" i="46"/>
  <c r="O29" i="39"/>
  <c r="O23" i="58"/>
  <c r="O25" i="39"/>
  <c r="O38" i="39"/>
  <c r="O28" i="45"/>
  <c r="O25" i="53"/>
  <c r="O21" i="70"/>
  <c r="O44" i="36"/>
  <c r="O24" i="44"/>
  <c r="O27" i="45"/>
  <c r="R81" i="71"/>
  <c r="R114" i="71"/>
  <c r="O56" i="39"/>
  <c r="R90" i="71"/>
  <c r="O31" i="57"/>
  <c r="O34" i="53"/>
  <c r="O43" i="39"/>
  <c r="R41" i="71"/>
  <c r="R91" i="71"/>
  <c r="O37" i="53"/>
  <c r="O27" i="39"/>
  <c r="O36" i="46"/>
  <c r="R103" i="71"/>
  <c r="O23" i="48"/>
  <c r="O60" i="39"/>
  <c r="O35" i="36"/>
  <c r="R55" i="71"/>
  <c r="R53" i="71"/>
  <c r="O34" i="46"/>
  <c r="O33" i="43"/>
  <c r="R37" i="71"/>
  <c r="O22" i="52"/>
  <c r="O20" i="40"/>
  <c r="O20" i="70"/>
  <c r="F16" i="70"/>
  <c r="E16" i="70"/>
  <c r="R118" i="71"/>
  <c r="O24" i="36"/>
  <c r="O41" i="39"/>
  <c r="O53" i="39"/>
  <c r="O36" i="53"/>
  <c r="O29" i="49"/>
  <c r="O24" i="46"/>
  <c r="O20" i="36"/>
  <c r="F16" i="36"/>
  <c r="E16" i="36"/>
  <c r="O33" i="44"/>
  <c r="O30" i="60"/>
  <c r="O28" i="39"/>
  <c r="O26" i="40"/>
  <c r="O25" i="60"/>
  <c r="O22" i="70"/>
  <c r="R116" i="71"/>
  <c r="F8" i="69"/>
  <c r="F6" i="69"/>
  <c r="F7" i="69"/>
  <c r="F12" i="69"/>
  <c r="F13" i="69" s="1"/>
  <c r="F5" i="69"/>
  <c r="R70" i="71"/>
  <c r="R32" i="71"/>
  <c r="O24" i="53"/>
  <c r="O26" i="46"/>
  <c r="R66" i="71"/>
  <c r="R36" i="71"/>
  <c r="O29" i="53"/>
  <c r="O22" i="60"/>
  <c r="O25" i="44"/>
  <c r="O22" i="53"/>
  <c r="R59" i="71"/>
  <c r="R95" i="71"/>
  <c r="O31" i="36"/>
  <c r="O32" i="43"/>
  <c r="O30" i="36"/>
  <c r="O40" i="58"/>
  <c r="O59" i="39"/>
  <c r="O58" i="39"/>
  <c r="R35" i="71"/>
  <c r="R31" i="71"/>
  <c r="R63" i="71"/>
  <c r="F16" i="42"/>
  <c r="O20" i="42"/>
  <c r="G16" i="42"/>
  <c r="O24" i="39"/>
  <c r="O32" i="53"/>
  <c r="O31" i="39"/>
  <c r="R33" i="71"/>
  <c r="O21" i="44"/>
  <c r="O32" i="57"/>
  <c r="E30" i="27"/>
  <c r="B20" i="27"/>
  <c r="E8" i="63"/>
  <c r="G20" i="27"/>
  <c r="C30" i="27"/>
  <c r="F20" i="27"/>
  <c r="D3" i="22"/>
  <c r="C9" i="27" s="1"/>
  <c r="F22" i="27"/>
  <c r="I3" i="22"/>
  <c r="H9" i="27" s="1"/>
  <c r="E26" i="27"/>
  <c r="E18" i="27"/>
  <c r="G7" i="63"/>
  <c r="D18" i="27"/>
  <c r="I26" i="27"/>
  <c r="I18" i="27"/>
  <c r="H24" i="27"/>
  <c r="H16" i="27"/>
  <c r="D30" i="27"/>
  <c r="G16" i="27"/>
  <c r="C26" i="27"/>
  <c r="C18" i="27"/>
  <c r="C8" i="63"/>
  <c r="C5" i="67"/>
  <c r="B24" i="27"/>
  <c r="B16" i="27"/>
  <c r="D26" i="27"/>
  <c r="D14" i="27"/>
  <c r="F24" i="27"/>
  <c r="F16" i="27"/>
  <c r="B14" i="27"/>
  <c r="H20" i="27"/>
  <c r="F3" i="22"/>
  <c r="E9" i="27" s="1"/>
  <c r="D22" i="27"/>
  <c r="I30" i="27"/>
  <c r="G8" i="63"/>
  <c r="F7" i="63"/>
  <c r="C14" i="27"/>
  <c r="B18" i="27"/>
  <c r="G18" i="27"/>
  <c r="G3" i="22"/>
  <c r="F9" i="27" s="1"/>
  <c r="I8" i="63"/>
  <c r="E16" i="27"/>
  <c r="D16" i="27"/>
  <c r="C7" i="63"/>
  <c r="G26" i="27"/>
  <c r="C20" i="27"/>
  <c r="E7" i="63"/>
  <c r="G14" i="27"/>
  <c r="H22" i="27"/>
  <c r="I22" i="27"/>
  <c r="H30" i="27"/>
  <c r="B22" i="27"/>
  <c r="C3" i="22"/>
  <c r="D24" i="27"/>
  <c r="H3" i="22"/>
  <c r="G9" i="27" s="1"/>
  <c r="D8" i="63"/>
  <c r="I20" i="27"/>
  <c r="I13" i="27" s="1"/>
  <c r="H7" i="63"/>
  <c r="C22" i="27"/>
  <c r="B30" i="27"/>
  <c r="E20" i="27"/>
  <c r="H8" i="63"/>
  <c r="G22" i="27"/>
  <c r="C24" i="27"/>
  <c r="C16" i="27"/>
  <c r="F18" i="27"/>
  <c r="E22" i="27"/>
  <c r="I14" i="27"/>
  <c r="H26" i="27"/>
  <c r="H18" i="27"/>
  <c r="B8" i="63"/>
  <c r="D20" i="27"/>
  <c r="F8" i="63"/>
  <c r="I7" i="63"/>
  <c r="E14" i="27"/>
  <c r="B26" i="27"/>
  <c r="D7" i="63"/>
  <c r="B7" i="63"/>
  <c r="F14" i="27"/>
  <c r="G24" i="27"/>
  <c r="E24" i="27"/>
  <c r="G30" i="27"/>
  <c r="F26" i="27"/>
  <c r="I24" i="27"/>
  <c r="E3" i="22"/>
  <c r="D9" i="27" s="1"/>
  <c r="H14" i="27"/>
  <c r="I16" i="27"/>
  <c r="F30" i="27"/>
  <c r="R104" i="71"/>
  <c r="O31" i="48"/>
  <c r="H36" i="27"/>
  <c r="B28" i="27"/>
  <c r="G40" i="27"/>
  <c r="H9" i="63"/>
  <c r="C34" i="27"/>
  <c r="E44" i="27"/>
  <c r="E28" i="27"/>
  <c r="D36" i="27"/>
  <c r="E9" i="63"/>
  <c r="C36" i="27"/>
  <c r="D9" i="63"/>
  <c r="C6" i="63"/>
  <c r="B36" i="27"/>
  <c r="G10" i="63"/>
  <c r="G36" i="27"/>
  <c r="B9" i="63"/>
  <c r="F32" i="27"/>
  <c r="E40" i="27"/>
  <c r="D10" i="63"/>
  <c r="G34" i="27"/>
  <c r="I36" i="27"/>
  <c r="H6" i="63"/>
  <c r="C44" i="27"/>
  <c r="B6" i="63"/>
  <c r="H44" i="27"/>
  <c r="E34" i="27"/>
  <c r="I9" i="63"/>
  <c r="D34" i="27"/>
  <c r="F44" i="27"/>
  <c r="F28" i="27"/>
  <c r="E36" i="27"/>
  <c r="F9" i="63"/>
  <c r="D32" i="27"/>
  <c r="C32" i="27"/>
  <c r="I32" i="27"/>
  <c r="F34" i="27"/>
  <c r="B44" i="27"/>
  <c r="H32" i="27"/>
  <c r="C9" i="63"/>
  <c r="G32" i="27"/>
  <c r="F40" i="27"/>
  <c r="E10" i="63"/>
  <c r="H34" i="27"/>
  <c r="F6" i="63"/>
  <c r="D28" i="27"/>
  <c r="I28" i="27"/>
  <c r="I44" i="27"/>
  <c r="H10" i="63"/>
  <c r="B40" i="27"/>
  <c r="H28" i="27"/>
  <c r="G44" i="27"/>
  <c r="F10" i="63"/>
  <c r="I34" i="27"/>
  <c r="G6" i="63"/>
  <c r="E32" i="27"/>
  <c r="D40" i="27"/>
  <c r="C10" i="63"/>
  <c r="I40" i="27"/>
  <c r="E6" i="63"/>
  <c r="B10" i="63"/>
  <c r="F36" i="27"/>
  <c r="G9" i="63"/>
  <c r="H40" i="27"/>
  <c r="B32" i="27"/>
  <c r="D44" i="27"/>
  <c r="I6" i="63"/>
  <c r="I10" i="63"/>
  <c r="G28" i="27"/>
  <c r="C28" i="27"/>
  <c r="C40" i="27"/>
  <c r="D6" i="63"/>
  <c r="B34" i="27"/>
  <c r="O21" i="45"/>
  <c r="O36" i="58"/>
  <c r="O48" i="39"/>
  <c r="R69" i="71"/>
  <c r="R106" i="71"/>
  <c r="O37" i="58"/>
  <c r="R120" i="71"/>
  <c r="U9" i="38"/>
  <c r="U6" i="38"/>
  <c r="U5" i="38"/>
  <c r="U8" i="38"/>
  <c r="U7" i="38"/>
  <c r="O30" i="39"/>
  <c r="R101" i="71"/>
  <c r="R51" i="71"/>
  <c r="O25" i="47"/>
  <c r="O24" i="57"/>
  <c r="O45" i="36"/>
  <c r="O23" i="45"/>
  <c r="R94" i="71"/>
  <c r="R48" i="71"/>
  <c r="O29" i="46"/>
  <c r="O33" i="57"/>
  <c r="R34" i="71"/>
  <c r="O31" i="44"/>
  <c r="R119" i="71"/>
  <c r="O31" i="43"/>
  <c r="O30" i="57"/>
  <c r="R80" i="71"/>
  <c r="R71" i="71"/>
  <c r="R64" i="71"/>
  <c r="R65" i="71"/>
  <c r="R78" i="71"/>
  <c r="R56" i="71"/>
  <c r="O37" i="36"/>
  <c r="O40" i="49"/>
  <c r="R62" i="71"/>
  <c r="O30" i="46"/>
  <c r="O23" i="39"/>
  <c r="O26" i="36"/>
  <c r="O36" i="57"/>
  <c r="O32" i="40"/>
  <c r="O24" i="60"/>
  <c r="O21" i="42"/>
  <c r="O35" i="53"/>
  <c r="R82" i="71"/>
  <c r="R67" i="71"/>
  <c r="O27" i="48"/>
  <c r="O50" i="39"/>
  <c r="O32" i="39"/>
  <c r="R110" i="71"/>
  <c r="O21" i="58"/>
  <c r="O30" i="52"/>
  <c r="R27" i="71"/>
  <c r="O38" i="36"/>
  <c r="O32" i="44"/>
  <c r="R50" i="71"/>
  <c r="R40" i="71"/>
  <c r="O27" i="46"/>
  <c r="R45" i="71"/>
  <c r="O40" i="39"/>
  <c r="O43" i="36"/>
  <c r="R39" i="71"/>
  <c r="R26" i="71"/>
  <c r="O36" i="39"/>
  <c r="O41" i="36"/>
  <c r="O35" i="58"/>
  <c r="O38" i="40"/>
  <c r="R72" i="71"/>
  <c r="R117" i="71"/>
  <c r="O31" i="46"/>
  <c r="O40" i="46"/>
  <c r="O41" i="46"/>
  <c r="F16" i="39"/>
  <c r="G16" i="39"/>
  <c r="O20" i="39"/>
  <c r="O28" i="36"/>
  <c r="P27" i="51"/>
  <c r="T23" i="51"/>
  <c r="U23" i="51" s="1"/>
  <c r="T27" i="51"/>
  <c r="U27" i="51" s="1"/>
  <c r="P25" i="51"/>
  <c r="S25" i="51"/>
  <c r="P23" i="51"/>
  <c r="R27" i="51"/>
  <c r="S24" i="51"/>
  <c r="P24" i="51"/>
  <c r="S27" i="51"/>
  <c r="R26" i="51"/>
  <c r="S23" i="51"/>
  <c r="R28" i="51"/>
  <c r="S26" i="51"/>
  <c r="T24" i="51"/>
  <c r="U24" i="51" s="1"/>
  <c r="T26" i="51"/>
  <c r="U26" i="51" s="1"/>
  <c r="T25" i="51"/>
  <c r="U25" i="51" s="1"/>
  <c r="P28" i="51"/>
  <c r="R23" i="51"/>
  <c r="S28" i="51"/>
  <c r="R25" i="51"/>
  <c r="T28" i="51"/>
  <c r="U28" i="51" s="1"/>
  <c r="P26" i="51"/>
  <c r="O29" i="44"/>
  <c r="R57" i="71"/>
  <c r="O20" i="53"/>
  <c r="O33" i="40"/>
  <c r="F6" i="27"/>
  <c r="F7" i="27"/>
  <c r="F4" i="27"/>
  <c r="F3" i="27"/>
  <c r="R109" i="71"/>
  <c r="O29" i="42"/>
  <c r="O20" i="52"/>
  <c r="O21" i="46"/>
  <c r="O22" i="44"/>
  <c r="O38" i="58"/>
  <c r="O39" i="58"/>
  <c r="O34" i="40"/>
  <c r="R84" i="71"/>
  <c r="R74" i="71"/>
  <c r="O28" i="53"/>
  <c r="O26" i="60"/>
  <c r="R98" i="71"/>
  <c r="O35" i="43"/>
  <c r="O35" i="57"/>
  <c r="R38" i="71"/>
  <c r="O23" i="40"/>
  <c r="R52" i="71"/>
  <c r="O34" i="44"/>
  <c r="R85" i="71"/>
  <c r="O34" i="36"/>
  <c r="O21" i="39"/>
  <c r="R42" i="71"/>
  <c r="O35" i="40"/>
  <c r="O27" i="40"/>
  <c r="R121" i="71"/>
  <c r="R102" i="71"/>
  <c r="O30" i="40"/>
  <c r="R97" i="71"/>
  <c r="O20" i="45"/>
  <c r="R24" i="71"/>
  <c r="O37" i="40"/>
  <c r="O29" i="36"/>
  <c r="O29" i="52"/>
  <c r="O22" i="42"/>
  <c r="O25" i="36"/>
  <c r="R54" i="71"/>
  <c r="O23" i="47"/>
  <c r="O20" i="49"/>
  <c r="R99" i="71"/>
  <c r="O20" i="43"/>
  <c r="O23" i="46"/>
  <c r="O52" i="39"/>
  <c r="O22" i="45"/>
  <c r="O39" i="39"/>
  <c r="O32" i="36"/>
  <c r="R73" i="71"/>
  <c r="R47" i="71"/>
  <c r="O54" i="39"/>
  <c r="O28" i="46"/>
  <c r="O30" i="49"/>
  <c r="O27" i="53"/>
  <c r="O20" i="54"/>
  <c r="O31" i="53"/>
  <c r="O22" i="36"/>
  <c r="O33" i="39"/>
  <c r="R75" i="71"/>
  <c r="R58" i="71"/>
  <c r="R96" i="71"/>
  <c r="R93" i="71"/>
  <c r="R76" i="71"/>
  <c r="O32" i="46"/>
  <c r="O24" i="58"/>
  <c r="R92" i="71"/>
  <c r="R46" i="71"/>
  <c r="O24" i="42"/>
  <c r="R108" i="71"/>
  <c r="O57" i="39"/>
  <c r="O24" i="40"/>
  <c r="O21" i="40"/>
  <c r="O21" i="48"/>
  <c r="O61" i="39"/>
  <c r="R77" i="71"/>
  <c r="O28" i="42"/>
  <c r="R79" i="71"/>
  <c r="O26" i="48"/>
  <c r="O34" i="57"/>
  <c r="R89" i="71"/>
  <c r="O20" i="46"/>
  <c r="G16" i="46"/>
  <c r="F16" i="46"/>
  <c r="O33" i="53"/>
  <c r="O46" i="36"/>
  <c r="O29" i="60"/>
  <c r="O26" i="53"/>
  <c r="R60" i="71"/>
  <c r="O26" i="57"/>
  <c r="O44" i="39"/>
  <c r="R100" i="71"/>
  <c r="R43" i="71"/>
  <c r="O26" i="42"/>
  <c r="O30" i="53"/>
  <c r="R111" i="71"/>
  <c r="O39" i="40"/>
  <c r="O45" i="39"/>
  <c r="O25" i="40"/>
  <c r="R87" i="71"/>
  <c r="O22" i="47"/>
  <c r="O55" i="39"/>
  <c r="O36" i="36"/>
  <c r="O29" i="57"/>
  <c r="O26" i="44"/>
  <c r="O20" i="58"/>
  <c r="R83" i="71"/>
  <c r="O40" i="36"/>
  <c r="O21" i="47"/>
  <c r="O47" i="39"/>
  <c r="O46" i="39"/>
  <c r="O21" i="36"/>
  <c r="R61" i="71"/>
  <c r="O30" i="44"/>
  <c r="O42" i="39"/>
  <c r="O40" i="40"/>
  <c r="O28" i="43"/>
  <c r="O42" i="36"/>
  <c r="R107" i="71"/>
  <c r="O28" i="48"/>
  <c r="O34" i="39"/>
  <c r="O23" i="52"/>
  <c r="O41" i="40"/>
  <c r="O29" i="48"/>
  <c r="O27" i="60"/>
  <c r="O29" i="40"/>
  <c r="O39" i="36"/>
  <c r="O26" i="39"/>
  <c r="O39" i="46"/>
  <c r="O35" i="44"/>
  <c r="O20" i="47"/>
  <c r="O22" i="48"/>
  <c r="O20" i="48"/>
  <c r="O22" i="58"/>
  <c r="O28" i="44"/>
  <c r="O27" i="42"/>
  <c r="O27" i="44"/>
  <c r="O37" i="39"/>
  <c r="O25" i="42"/>
  <c r="O31" i="40"/>
  <c r="O21" i="52"/>
  <c r="R28" i="71"/>
  <c r="R68" i="71"/>
  <c r="O24" i="47"/>
  <c r="O29" i="45"/>
  <c r="I42" i="27"/>
  <c r="H38" i="27"/>
  <c r="C42" i="27"/>
  <c r="B38" i="27"/>
  <c r="E42" i="27"/>
  <c r="I38" i="27"/>
  <c r="G42" i="27"/>
  <c r="E38" i="27"/>
  <c r="C38" i="27"/>
  <c r="G38" i="27"/>
  <c r="D38" i="27"/>
  <c r="B42" i="27"/>
  <c r="F38" i="27"/>
  <c r="D42" i="27"/>
  <c r="H42" i="27"/>
  <c r="F42" i="27"/>
  <c r="O49" i="39"/>
  <c r="C33" i="40"/>
  <c r="G24" i="48"/>
  <c r="J24" i="48"/>
  <c r="E24" i="48"/>
  <c r="F24" i="48"/>
  <c r="I24" i="48"/>
  <c r="L24" i="48"/>
  <c r="K24" i="48"/>
  <c r="M24" i="48"/>
  <c r="H24" i="48"/>
  <c r="D24" i="48"/>
  <c r="C24" i="48"/>
  <c r="C41" i="39"/>
  <c r="C21" i="54"/>
  <c r="H21" i="54"/>
  <c r="F21" i="54"/>
  <c r="M21" i="54"/>
  <c r="E21" i="54"/>
  <c r="D21" i="54"/>
  <c r="J21" i="54"/>
  <c r="I21" i="54"/>
  <c r="G21" i="54"/>
  <c r="K21" i="54"/>
  <c r="L21" i="54"/>
  <c r="F48" i="71"/>
  <c r="F78" i="71"/>
  <c r="O1" i="34"/>
  <c r="F80" i="71"/>
  <c r="F27" i="47"/>
  <c r="J27" i="47"/>
  <c r="K27" i="47"/>
  <c r="D27" i="47"/>
  <c r="I27" i="47"/>
  <c r="E27" i="47"/>
  <c r="M27" i="47"/>
  <c r="H27" i="47"/>
  <c r="C27" i="47"/>
  <c r="L27" i="47"/>
  <c r="G27" i="47"/>
  <c r="M22" i="57"/>
  <c r="J22" i="57"/>
  <c r="C22" i="57"/>
  <c r="H22" i="57"/>
  <c r="I22" i="57"/>
  <c r="E22" i="57"/>
  <c r="O22" i="57" s="1"/>
  <c r="F22" i="57"/>
  <c r="G22" i="57"/>
  <c r="D22" i="57"/>
  <c r="K22" i="57"/>
  <c r="L22" i="57"/>
  <c r="C53" i="39"/>
  <c r="F56" i="71"/>
  <c r="F109" i="71"/>
  <c r="C23" i="36"/>
  <c r="F33" i="71"/>
  <c r="L30" i="58"/>
  <c r="K30" i="58"/>
  <c r="G30" i="58"/>
  <c r="F30" i="58"/>
  <c r="J30" i="58"/>
  <c r="E30" i="58"/>
  <c r="O30" i="58" s="1"/>
  <c r="M30" i="58"/>
  <c r="D30" i="58"/>
  <c r="C30" i="58"/>
  <c r="I30" i="58"/>
  <c r="H30" i="58"/>
  <c r="K27" i="49"/>
  <c r="H27" i="49"/>
  <c r="M27" i="49"/>
  <c r="L27" i="49"/>
  <c r="J27" i="49"/>
  <c r="E27" i="49"/>
  <c r="O27" i="49" s="1"/>
  <c r="F27" i="49"/>
  <c r="G27" i="49"/>
  <c r="I27" i="49"/>
  <c r="C27" i="49"/>
  <c r="D27" i="49"/>
  <c r="C37" i="36"/>
  <c r="C29" i="42"/>
  <c r="F81" i="71"/>
  <c r="F26" i="54"/>
  <c r="E26" i="54"/>
  <c r="O26" i="54" s="1"/>
  <c r="H26" i="54"/>
  <c r="M26" i="54"/>
  <c r="D26" i="54"/>
  <c r="G26" i="54"/>
  <c r="C26" i="54"/>
  <c r="I26" i="54"/>
  <c r="K26" i="54"/>
  <c r="L26" i="54"/>
  <c r="J26" i="54"/>
  <c r="K22" i="43"/>
  <c r="L22" i="43"/>
  <c r="M22" i="43"/>
  <c r="D22" i="43"/>
  <c r="G22" i="43"/>
  <c r="E22" i="43"/>
  <c r="O22" i="43" s="1"/>
  <c r="F22" i="43"/>
  <c r="J22" i="43"/>
  <c r="H22" i="43"/>
  <c r="I22" i="43"/>
  <c r="C22" i="43"/>
  <c r="C29" i="46"/>
  <c r="C40" i="49"/>
  <c r="C20" i="52"/>
  <c r="F71" i="71"/>
  <c r="C27" i="58"/>
  <c r="G27" i="58"/>
  <c r="H27" i="58"/>
  <c r="K27" i="58"/>
  <c r="I27" i="58"/>
  <c r="F27" i="58"/>
  <c r="M27" i="58"/>
  <c r="E27" i="58"/>
  <c r="O27" i="58" s="1"/>
  <c r="L27" i="58"/>
  <c r="D27" i="58"/>
  <c r="J27" i="58"/>
  <c r="F114" i="71"/>
  <c r="C36" i="53"/>
  <c r="F62" i="71"/>
  <c r="Q24" i="38"/>
  <c r="C21" i="46"/>
  <c r="A4" i="28"/>
  <c r="C37" i="58"/>
  <c r="F64" i="71"/>
  <c r="C36" i="40"/>
  <c r="C30" i="46"/>
  <c r="K39" i="49"/>
  <c r="F39" i="49"/>
  <c r="I39" i="49"/>
  <c r="D39" i="49"/>
  <c r="C39" i="49"/>
  <c r="M39" i="49"/>
  <c r="J39" i="49"/>
  <c r="H39" i="49"/>
  <c r="G39" i="49"/>
  <c r="L39" i="49"/>
  <c r="E39" i="49"/>
  <c r="O39" i="49" s="1"/>
  <c r="Q44" i="38"/>
  <c r="C56" i="39"/>
  <c r="C29" i="49"/>
  <c r="C23" i="44"/>
  <c r="F115" i="71"/>
  <c r="C23" i="39"/>
  <c r="Q32" i="38"/>
  <c r="C22" i="44"/>
  <c r="C34" i="43"/>
  <c r="I25" i="43"/>
  <c r="C25" i="43"/>
  <c r="L25" i="43"/>
  <c r="F25" i="43"/>
  <c r="M25" i="43"/>
  <c r="E25" i="43"/>
  <c r="O25" i="43" s="1"/>
  <c r="G25" i="43"/>
  <c r="D25" i="43"/>
  <c r="K25" i="43"/>
  <c r="H25" i="43"/>
  <c r="J25" i="43"/>
  <c r="F90" i="71"/>
  <c r="C24" i="46"/>
  <c r="C26" i="36"/>
  <c r="C38" i="58"/>
  <c r="C21" i="45"/>
  <c r="C58" i="39"/>
  <c r="F101" i="71"/>
  <c r="C25" i="47"/>
  <c r="I25" i="58"/>
  <c r="C25" i="58"/>
  <c r="E25" i="58"/>
  <c r="O25" i="58" s="1"/>
  <c r="F25" i="58"/>
  <c r="H25" i="58"/>
  <c r="J25" i="58"/>
  <c r="M25" i="58"/>
  <c r="L25" i="58"/>
  <c r="D25" i="58"/>
  <c r="K25" i="58"/>
  <c r="G25" i="58"/>
  <c r="C39" i="58"/>
  <c r="H31" i="49"/>
  <c r="K31" i="49"/>
  <c r="G31" i="49"/>
  <c r="L31" i="49"/>
  <c r="I31" i="49"/>
  <c r="E31" i="49"/>
  <c r="O31" i="49" s="1"/>
  <c r="J31" i="49"/>
  <c r="C31" i="49"/>
  <c r="F31" i="49"/>
  <c r="M31" i="49"/>
  <c r="D31" i="49"/>
  <c r="C20" i="36"/>
  <c r="C24" i="39"/>
  <c r="F35" i="71"/>
  <c r="C36" i="57"/>
  <c r="C34" i="40"/>
  <c r="E25" i="48"/>
  <c r="O25" i="48" s="1"/>
  <c r="I25" i="48"/>
  <c r="D25" i="48"/>
  <c r="H25" i="48"/>
  <c r="F25" i="48"/>
  <c r="G25" i="48"/>
  <c r="C25" i="48"/>
  <c r="L25" i="48"/>
  <c r="K25" i="48"/>
  <c r="J25" i="48"/>
  <c r="M25" i="48"/>
  <c r="F30" i="71"/>
  <c r="C31" i="57"/>
  <c r="C33" i="44"/>
  <c r="C32" i="40"/>
  <c r="F84" i="71"/>
  <c r="C36" i="58"/>
  <c r="M26" i="43"/>
  <c r="D26" i="43"/>
  <c r="I26" i="43"/>
  <c r="L26" i="43"/>
  <c r="J26" i="43"/>
  <c r="K26" i="43"/>
  <c r="H26" i="43"/>
  <c r="E26" i="43"/>
  <c r="O26" i="43" s="1"/>
  <c r="F26" i="43"/>
  <c r="C26" i="43"/>
  <c r="G26" i="43"/>
  <c r="J24" i="45"/>
  <c r="L24" i="45"/>
  <c r="M24" i="45"/>
  <c r="C24" i="45"/>
  <c r="H24" i="45"/>
  <c r="E24" i="45"/>
  <c r="G24" i="45"/>
  <c r="K24" i="45"/>
  <c r="F24" i="45"/>
  <c r="D24" i="45"/>
  <c r="I24" i="45"/>
  <c r="C28" i="40"/>
  <c r="C24" i="60"/>
  <c r="F74" i="71"/>
  <c r="C34" i="53"/>
  <c r="C30" i="60"/>
  <c r="Q36" i="38"/>
  <c r="D33" i="49"/>
  <c r="E33" i="49"/>
  <c r="O33" i="49" s="1"/>
  <c r="H33" i="49"/>
  <c r="G33" i="49"/>
  <c r="C33" i="49"/>
  <c r="J33" i="49"/>
  <c r="K33" i="49"/>
  <c r="I33" i="49"/>
  <c r="M33" i="49"/>
  <c r="F33" i="49"/>
  <c r="L33" i="49"/>
  <c r="C33" i="57"/>
  <c r="A1" i="34"/>
  <c r="C21" i="42"/>
  <c r="C28" i="53"/>
  <c r="F88" i="71"/>
  <c r="C23" i="53"/>
  <c r="C43" i="39"/>
  <c r="C28" i="39"/>
  <c r="C35" i="53"/>
  <c r="C26" i="60"/>
  <c r="C28" i="49"/>
  <c r="F31" i="71"/>
  <c r="I27" i="43"/>
  <c r="F27" i="43"/>
  <c r="G27" i="43"/>
  <c r="D27" i="43"/>
  <c r="M27" i="43"/>
  <c r="C27" i="43"/>
  <c r="K27" i="43"/>
  <c r="L27" i="43"/>
  <c r="H27" i="43"/>
  <c r="E27" i="43"/>
  <c r="O27" i="43" s="1"/>
  <c r="J27" i="43"/>
  <c r="C33" i="46"/>
  <c r="F82" i="71"/>
  <c r="F98" i="71"/>
  <c r="F41" i="71"/>
  <c r="C26" i="40"/>
  <c r="C48" i="39"/>
  <c r="C25" i="46"/>
  <c r="F67" i="71"/>
  <c r="Q40" i="38"/>
  <c r="C35" i="43"/>
  <c r="F65" i="71"/>
  <c r="C35" i="46"/>
  <c r="F91" i="71"/>
  <c r="C25" i="60"/>
  <c r="C27" i="48"/>
  <c r="C35" i="57"/>
  <c r="Q28" i="38"/>
  <c r="C31" i="58"/>
  <c r="F34" i="71"/>
  <c r="C33" i="36"/>
  <c r="C28" i="57"/>
  <c r="C50" i="39"/>
  <c r="F38" i="71"/>
  <c r="C37" i="53"/>
  <c r="C22" i="70"/>
  <c r="C24" i="57"/>
  <c r="F120" i="71"/>
  <c r="C32" i="39"/>
  <c r="C23" i="40"/>
  <c r="F51" i="71"/>
  <c r="C27" i="36"/>
  <c r="Q47" i="38"/>
  <c r="C27" i="39"/>
  <c r="Q46" i="38"/>
  <c r="F116" i="71"/>
  <c r="F110" i="71"/>
  <c r="F52" i="71"/>
  <c r="G32" i="58"/>
  <c r="C32" i="58"/>
  <c r="D32" i="58"/>
  <c r="E32" i="58"/>
  <c r="O32" i="58" s="1"/>
  <c r="P32" i="58" s="1"/>
  <c r="J32" i="58"/>
  <c r="I32" i="58"/>
  <c r="L32" i="58"/>
  <c r="H32" i="58"/>
  <c r="K32" i="58"/>
  <c r="M32" i="58"/>
  <c r="F32" i="58"/>
  <c r="C21" i="44"/>
  <c r="F49" i="71"/>
  <c r="F105" i="71"/>
  <c r="C21" i="58"/>
  <c r="C34" i="44"/>
  <c r="C36" i="46"/>
  <c r="A1" i="69"/>
  <c r="F69" i="71"/>
  <c r="Q51" i="38"/>
  <c r="C23" i="42"/>
  <c r="D24" i="52"/>
  <c r="H24" i="52"/>
  <c r="E24" i="52"/>
  <c r="J24" i="52"/>
  <c r="I24" i="52"/>
  <c r="C24" i="52"/>
  <c r="G24" i="52"/>
  <c r="F24" i="52"/>
  <c r="K24" i="52"/>
  <c r="M24" i="52"/>
  <c r="L24" i="52"/>
  <c r="F85" i="71"/>
  <c r="A4" i="22"/>
  <c r="F112" i="71"/>
  <c r="F103" i="71"/>
  <c r="F70" i="71"/>
  <c r="Q25" i="38"/>
  <c r="C30" i="52"/>
  <c r="C34" i="36"/>
  <c r="C45" i="36"/>
  <c r="F29" i="71"/>
  <c r="C20" i="60"/>
  <c r="F27" i="71"/>
  <c r="Q27" i="38"/>
  <c r="C21" i="39"/>
  <c r="C23" i="48"/>
  <c r="F32" i="71"/>
  <c r="C27" i="57"/>
  <c r="C31" i="44"/>
  <c r="C38" i="36"/>
  <c r="F42" i="71"/>
  <c r="C35" i="39"/>
  <c r="C37" i="46"/>
  <c r="C60" i="39"/>
  <c r="C24" i="53"/>
  <c r="C32" i="44"/>
  <c r="C35" i="40"/>
  <c r="C31" i="36"/>
  <c r="F63" i="71"/>
  <c r="F34" i="58"/>
  <c r="I34" i="58"/>
  <c r="G34" i="58"/>
  <c r="D34" i="58"/>
  <c r="E34" i="58"/>
  <c r="O34" i="58" s="1"/>
  <c r="K34" i="58"/>
  <c r="J34" i="58"/>
  <c r="H34" i="58"/>
  <c r="L34" i="58"/>
  <c r="M34" i="58"/>
  <c r="C34" i="58"/>
  <c r="C30" i="43"/>
  <c r="E30" i="43"/>
  <c r="O30" i="43" s="1"/>
  <c r="J30" i="43"/>
  <c r="L30" i="43"/>
  <c r="H30" i="43"/>
  <c r="G30" i="43"/>
  <c r="D30" i="43"/>
  <c r="M30" i="43"/>
  <c r="I30" i="43"/>
  <c r="F30" i="43"/>
  <c r="K30" i="43"/>
  <c r="C22" i="40"/>
  <c r="C27" i="40"/>
  <c r="C35" i="36"/>
  <c r="C26" i="46"/>
  <c r="C40" i="58"/>
  <c r="F86" i="71"/>
  <c r="F50" i="71"/>
  <c r="F121" i="71"/>
  <c r="C30" i="48"/>
  <c r="C29" i="39"/>
  <c r="F55" i="71"/>
  <c r="F66" i="71"/>
  <c r="F40" i="71"/>
  <c r="D21" i="53"/>
  <c r="I21" i="53"/>
  <c r="G21" i="53"/>
  <c r="H21" i="53"/>
  <c r="L21" i="53"/>
  <c r="M21" i="53"/>
  <c r="E21" i="53"/>
  <c r="C21" i="53"/>
  <c r="F21" i="53"/>
  <c r="G16" i="53" s="1"/>
  <c r="J21" i="53"/>
  <c r="K21" i="53"/>
  <c r="Q48" i="38"/>
  <c r="Q38" i="38"/>
  <c r="C23" i="45"/>
  <c r="F119" i="71"/>
  <c r="C21" i="49"/>
  <c r="K21" i="49"/>
  <c r="D21" i="49"/>
  <c r="G21" i="49"/>
  <c r="H21" i="49"/>
  <c r="J21" i="49"/>
  <c r="M21" i="49"/>
  <c r="L21" i="49"/>
  <c r="I21" i="49"/>
  <c r="E21" i="49"/>
  <c r="F21" i="49"/>
  <c r="C23" i="58"/>
  <c r="C27" i="46"/>
  <c r="F102" i="71"/>
  <c r="F53" i="71"/>
  <c r="F36" i="71"/>
  <c r="C38" i="46"/>
  <c r="C26" i="45"/>
  <c r="D26" i="45"/>
  <c r="F26" i="45"/>
  <c r="K26" i="45"/>
  <c r="G26" i="45"/>
  <c r="J26" i="45"/>
  <c r="H26" i="45"/>
  <c r="E26" i="45"/>
  <c r="O26" i="45" s="1"/>
  <c r="L26" i="45"/>
  <c r="M26" i="45"/>
  <c r="I26" i="45"/>
  <c r="Q42" i="38"/>
  <c r="F45" i="71"/>
  <c r="C30" i="40"/>
  <c r="F44" i="71"/>
  <c r="L23" i="57"/>
  <c r="I23" i="57"/>
  <c r="E23" i="57"/>
  <c r="O23" i="57" s="1"/>
  <c r="M23" i="57"/>
  <c r="F23" i="57"/>
  <c r="K23" i="57"/>
  <c r="G23" i="57"/>
  <c r="C23" i="57"/>
  <c r="D23" i="57"/>
  <c r="H23" i="57"/>
  <c r="J23" i="57"/>
  <c r="C25" i="39"/>
  <c r="C34" i="46"/>
  <c r="C40" i="39"/>
  <c r="F97" i="71"/>
  <c r="C29" i="53"/>
  <c r="C24" i="40"/>
  <c r="C32" i="53"/>
  <c r="E23" i="43"/>
  <c r="O23" i="43" s="1"/>
  <c r="J23" i="43"/>
  <c r="K23" i="43"/>
  <c r="L23" i="43"/>
  <c r="G23" i="43"/>
  <c r="I23" i="43"/>
  <c r="F23" i="43"/>
  <c r="D23" i="43"/>
  <c r="C23" i="43"/>
  <c r="M23" i="43"/>
  <c r="H23" i="43"/>
  <c r="C43" i="36"/>
  <c r="C20" i="45"/>
  <c r="F104" i="71"/>
  <c r="C21" i="40"/>
  <c r="Q29" i="38"/>
  <c r="C38" i="39"/>
  <c r="C33" i="43"/>
  <c r="F39" i="71"/>
  <c r="F24" i="71"/>
  <c r="C22" i="60"/>
  <c r="C21" i="48"/>
  <c r="C59" i="39"/>
  <c r="I24" i="54"/>
  <c r="H24" i="54"/>
  <c r="G24" i="54"/>
  <c r="F24" i="54"/>
  <c r="C24" i="54"/>
  <c r="K24" i="54"/>
  <c r="L24" i="54"/>
  <c r="M24" i="54"/>
  <c r="E24" i="54"/>
  <c r="O24" i="54" s="1"/>
  <c r="J24" i="54"/>
  <c r="D24" i="54"/>
  <c r="F26" i="71"/>
  <c r="C37" i="40"/>
  <c r="C22" i="54"/>
  <c r="M22" i="54"/>
  <c r="H22" i="54"/>
  <c r="D22" i="54"/>
  <c r="L22" i="54"/>
  <c r="K22" i="54"/>
  <c r="J22" i="54"/>
  <c r="E22" i="54"/>
  <c r="O22" i="54" s="1"/>
  <c r="I22" i="54"/>
  <c r="G22" i="54"/>
  <c r="F22" i="54"/>
  <c r="C61" i="39"/>
  <c r="C28" i="45"/>
  <c r="F37" i="71"/>
  <c r="C36" i="39"/>
  <c r="C29" i="36"/>
  <c r="C25" i="44"/>
  <c r="F77" i="71"/>
  <c r="F106" i="71"/>
  <c r="C31" i="43"/>
  <c r="C41" i="36"/>
  <c r="K25" i="49"/>
  <c r="D25" i="49"/>
  <c r="L25" i="49"/>
  <c r="H25" i="49"/>
  <c r="I25" i="49"/>
  <c r="M25" i="49"/>
  <c r="G25" i="49"/>
  <c r="J25" i="49"/>
  <c r="C25" i="49"/>
  <c r="F25" i="49"/>
  <c r="E25" i="49"/>
  <c r="O25" i="49" s="1"/>
  <c r="C22" i="39"/>
  <c r="C28" i="42"/>
  <c r="F28" i="47"/>
  <c r="C28" i="47"/>
  <c r="D28" i="47"/>
  <c r="L28" i="47"/>
  <c r="I28" i="47"/>
  <c r="J28" i="47"/>
  <c r="K28" i="47"/>
  <c r="E28" i="47"/>
  <c r="O28" i="47" s="1"/>
  <c r="H28" i="47"/>
  <c r="M28" i="47"/>
  <c r="G28" i="47"/>
  <c r="Q26" i="38"/>
  <c r="Q31" i="38"/>
  <c r="C22" i="52"/>
  <c r="C35" i="58"/>
  <c r="E23" i="49"/>
  <c r="O23" i="49" s="1"/>
  <c r="M23" i="49"/>
  <c r="F23" i="49"/>
  <c r="K23" i="49"/>
  <c r="J23" i="49"/>
  <c r="L23" i="49"/>
  <c r="D23" i="49"/>
  <c r="C23" i="49"/>
  <c r="G23" i="49"/>
  <c r="H23" i="49"/>
  <c r="I23" i="49"/>
  <c r="M21" i="60"/>
  <c r="L21" i="60"/>
  <c r="F21" i="60"/>
  <c r="E21" i="60"/>
  <c r="H21" i="60"/>
  <c r="I21" i="60"/>
  <c r="J21" i="60"/>
  <c r="C21" i="60"/>
  <c r="G21" i="60"/>
  <c r="D21" i="60"/>
  <c r="K21" i="60"/>
  <c r="L26" i="52"/>
  <c r="I26" i="52"/>
  <c r="K26" i="52"/>
  <c r="J26" i="52"/>
  <c r="G26" i="52"/>
  <c r="H26" i="52"/>
  <c r="M26" i="52"/>
  <c r="C26" i="52"/>
  <c r="D26" i="52"/>
  <c r="F26" i="52"/>
  <c r="E26" i="52"/>
  <c r="O26" i="52" s="1"/>
  <c r="P26" i="52" s="1"/>
  <c r="C37" i="43"/>
  <c r="F113" i="71"/>
  <c r="C41" i="40"/>
  <c r="M26" i="58"/>
  <c r="C26" i="58"/>
  <c r="I26" i="58"/>
  <c r="D26" i="58"/>
  <c r="K26" i="58"/>
  <c r="E26" i="58"/>
  <c r="O26" i="58" s="1"/>
  <c r="L26" i="58"/>
  <c r="H26" i="58"/>
  <c r="G26" i="58"/>
  <c r="J26" i="58"/>
  <c r="F26" i="58"/>
  <c r="C23" i="70"/>
  <c r="F23" i="54"/>
  <c r="M23" i="54"/>
  <c r="H23" i="54"/>
  <c r="L23" i="54"/>
  <c r="K23" i="54"/>
  <c r="E23" i="54"/>
  <c r="O23" i="54" s="1"/>
  <c r="D23" i="54"/>
  <c r="I23" i="54"/>
  <c r="G23" i="54"/>
  <c r="J23" i="54"/>
  <c r="C23" i="54"/>
  <c r="C25" i="53"/>
  <c r="I21" i="57"/>
  <c r="L21" i="57"/>
  <c r="E21" i="57"/>
  <c r="O21" i="57" s="1"/>
  <c r="J21" i="57"/>
  <c r="D21" i="57"/>
  <c r="H21" i="57"/>
  <c r="F21" i="57"/>
  <c r="K21" i="57"/>
  <c r="M21" i="57"/>
  <c r="G21" i="57"/>
  <c r="C21" i="57"/>
  <c r="C38" i="40"/>
  <c r="C29" i="52"/>
  <c r="M28" i="58"/>
  <c r="J28" i="58"/>
  <c r="I28" i="58"/>
  <c r="G28" i="58"/>
  <c r="D28" i="58"/>
  <c r="F28" i="58"/>
  <c r="C28" i="58"/>
  <c r="E28" i="58"/>
  <c r="O28" i="58" s="1"/>
  <c r="H28" i="58"/>
  <c r="K28" i="58"/>
  <c r="L28" i="58"/>
  <c r="F79" i="71"/>
  <c r="F94" i="71"/>
  <c r="Q33" i="38"/>
  <c r="C32" i="57"/>
  <c r="F72" i="71"/>
  <c r="H32" i="49"/>
  <c r="G32" i="49"/>
  <c r="C32" i="49"/>
  <c r="L32" i="49"/>
  <c r="E32" i="49"/>
  <c r="O32" i="49" s="1"/>
  <c r="D32" i="49"/>
  <c r="M32" i="49"/>
  <c r="K32" i="49"/>
  <c r="F32" i="49"/>
  <c r="J32" i="49"/>
  <c r="I32" i="49"/>
  <c r="C27" i="53"/>
  <c r="C26" i="48"/>
  <c r="Q49" i="38"/>
  <c r="C22" i="46"/>
  <c r="C21" i="70"/>
  <c r="F117" i="71"/>
  <c r="K28" i="52"/>
  <c r="D28" i="52"/>
  <c r="H28" i="52"/>
  <c r="G28" i="52"/>
  <c r="C28" i="52"/>
  <c r="F28" i="52"/>
  <c r="I28" i="52"/>
  <c r="E28" i="52"/>
  <c r="O28" i="52" s="1"/>
  <c r="M28" i="52"/>
  <c r="L28" i="52"/>
  <c r="J28" i="52"/>
  <c r="C20" i="54"/>
  <c r="C34" i="57"/>
  <c r="C20" i="40"/>
  <c r="E24" i="49"/>
  <c r="O24" i="49" s="1"/>
  <c r="G24" i="49"/>
  <c r="L24" i="49"/>
  <c r="I24" i="49"/>
  <c r="D24" i="49"/>
  <c r="F24" i="49"/>
  <c r="H24" i="49"/>
  <c r="K24" i="49"/>
  <c r="M24" i="49"/>
  <c r="C24" i="49"/>
  <c r="J24" i="49"/>
  <c r="C31" i="46"/>
  <c r="C22" i="42"/>
  <c r="Q41" i="38"/>
  <c r="D21" i="43"/>
  <c r="J21" i="43"/>
  <c r="E21" i="43"/>
  <c r="H21" i="43"/>
  <c r="G21" i="43"/>
  <c r="I21" i="43"/>
  <c r="F21" i="43"/>
  <c r="L21" i="43"/>
  <c r="M21" i="43"/>
  <c r="C21" i="43"/>
  <c r="K21" i="43"/>
  <c r="F89" i="71"/>
  <c r="F25" i="71"/>
  <c r="C30" i="39"/>
  <c r="C40" i="46"/>
  <c r="C25" i="36"/>
  <c r="C31" i="53"/>
  <c r="C20" i="46"/>
  <c r="C26" i="47"/>
  <c r="C44" i="36"/>
  <c r="C29" i="48"/>
  <c r="F54" i="71"/>
  <c r="C22" i="36"/>
  <c r="Q35" i="38"/>
  <c r="C33" i="53"/>
  <c r="C20" i="70"/>
  <c r="C22" i="53"/>
  <c r="C27" i="60"/>
  <c r="C23" i="47"/>
  <c r="C33" i="39"/>
  <c r="C46" i="36"/>
  <c r="C31" i="39"/>
  <c r="C36" i="43"/>
  <c r="C29" i="40"/>
  <c r="C20" i="49"/>
  <c r="F75" i="71"/>
  <c r="Q50" i="38"/>
  <c r="C29" i="60"/>
  <c r="C28" i="60"/>
  <c r="C24" i="44"/>
  <c r="C41" i="46"/>
  <c r="Q43" i="38"/>
  <c r="F99" i="71"/>
  <c r="R17" i="38"/>
  <c r="R13" i="38"/>
  <c r="T16" i="38"/>
  <c r="S13" i="38"/>
  <c r="S14" i="38"/>
  <c r="T13" i="38"/>
  <c r="S18" i="38"/>
  <c r="S17" i="38"/>
  <c r="S16" i="38"/>
  <c r="R14" i="38"/>
  <c r="R15" i="38"/>
  <c r="S15" i="38"/>
  <c r="T14" i="38"/>
  <c r="T15" i="38"/>
  <c r="R16" i="38"/>
  <c r="T18" i="38"/>
  <c r="T17" i="38"/>
  <c r="R18" i="38"/>
  <c r="C26" i="53"/>
  <c r="F118" i="71"/>
  <c r="F59" i="71"/>
  <c r="C39" i="36"/>
  <c r="C20" i="43"/>
  <c r="Q45" i="38"/>
  <c r="F58" i="71"/>
  <c r="F60" i="71"/>
  <c r="C32" i="43"/>
  <c r="C30" i="57"/>
  <c r="C26" i="39"/>
  <c r="C23" i="46"/>
  <c r="H23" i="60"/>
  <c r="K23" i="60"/>
  <c r="I23" i="60"/>
  <c r="J23" i="60"/>
  <c r="M23" i="60"/>
  <c r="L23" i="60"/>
  <c r="G23" i="60"/>
  <c r="C23" i="60"/>
  <c r="D23" i="60"/>
  <c r="F23" i="60"/>
  <c r="E23" i="60"/>
  <c r="O23" i="60" s="1"/>
  <c r="K27" i="52"/>
  <c r="F27" i="52"/>
  <c r="G27" i="52"/>
  <c r="C27" i="52"/>
  <c r="J27" i="52"/>
  <c r="D27" i="52"/>
  <c r="I27" i="52"/>
  <c r="L27" i="52"/>
  <c r="H27" i="52"/>
  <c r="M27" i="52"/>
  <c r="E27" i="52"/>
  <c r="O27" i="52" s="1"/>
  <c r="C55" i="39"/>
  <c r="C51" i="39"/>
  <c r="C20" i="39"/>
  <c r="C52" i="39"/>
  <c r="F96" i="71"/>
  <c r="I38" i="49"/>
  <c r="H38" i="49"/>
  <c r="L38" i="49"/>
  <c r="F38" i="49"/>
  <c r="E38" i="49"/>
  <c r="O38" i="49" s="1"/>
  <c r="G38" i="49"/>
  <c r="J38" i="49"/>
  <c r="C38" i="49"/>
  <c r="D38" i="49"/>
  <c r="M38" i="49"/>
  <c r="K38" i="49"/>
  <c r="C36" i="36"/>
  <c r="C27" i="45"/>
  <c r="C20" i="57"/>
  <c r="G20" i="57"/>
  <c r="M20" i="57"/>
  <c r="F20" i="57"/>
  <c r="K20" i="57"/>
  <c r="I20" i="57"/>
  <c r="J20" i="57"/>
  <c r="E20" i="57"/>
  <c r="D20" i="57"/>
  <c r="L20" i="57"/>
  <c r="H20" i="57"/>
  <c r="C22" i="45"/>
  <c r="F93" i="71"/>
  <c r="C26" i="57"/>
  <c r="C29" i="57"/>
  <c r="C24" i="36"/>
  <c r="C28" i="36"/>
  <c r="C39" i="39"/>
  <c r="I33" i="58"/>
  <c r="D33" i="58"/>
  <c r="L33" i="58"/>
  <c r="C33" i="58"/>
  <c r="E33" i="58"/>
  <c r="O33" i="58" s="1"/>
  <c r="G33" i="58"/>
  <c r="F33" i="58"/>
  <c r="H33" i="58"/>
  <c r="K33" i="58"/>
  <c r="J33" i="58"/>
  <c r="M33" i="58"/>
  <c r="C44" i="39"/>
  <c r="C26" i="44"/>
  <c r="F95" i="71"/>
  <c r="C22" i="58"/>
  <c r="C39" i="46"/>
  <c r="L25" i="57"/>
  <c r="J25" i="57"/>
  <c r="G25" i="57"/>
  <c r="I25" i="57"/>
  <c r="E25" i="57"/>
  <c r="O25" i="57" s="1"/>
  <c r="K25" i="57"/>
  <c r="H25" i="57"/>
  <c r="C25" i="57"/>
  <c r="M25" i="57"/>
  <c r="D25" i="57"/>
  <c r="F25" i="57"/>
  <c r="F76" i="71"/>
  <c r="F100" i="71"/>
  <c r="C20" i="58"/>
  <c r="C28" i="44"/>
  <c r="C30" i="36"/>
  <c r="C35" i="44"/>
  <c r="C32" i="36"/>
  <c r="L35" i="49"/>
  <c r="D35" i="49"/>
  <c r="J35" i="49"/>
  <c r="I35" i="49"/>
  <c r="C35" i="49"/>
  <c r="K35" i="49"/>
  <c r="G35" i="49"/>
  <c r="F35" i="49"/>
  <c r="H35" i="49"/>
  <c r="E35" i="49"/>
  <c r="O35" i="49" s="1"/>
  <c r="M35" i="49"/>
  <c r="F43" i="71"/>
  <c r="C27" i="42"/>
  <c r="F83" i="71"/>
  <c r="C20" i="42"/>
  <c r="C20" i="47"/>
  <c r="L24" i="43"/>
  <c r="M24" i="43"/>
  <c r="D24" i="43"/>
  <c r="H24" i="43"/>
  <c r="J24" i="43"/>
  <c r="G24" i="43"/>
  <c r="F24" i="43"/>
  <c r="E24" i="43"/>
  <c r="O24" i="43" s="1"/>
  <c r="I24" i="43"/>
  <c r="K24" i="43"/>
  <c r="C24" i="43"/>
  <c r="L25" i="52"/>
  <c r="J25" i="52"/>
  <c r="K25" i="52"/>
  <c r="H25" i="52"/>
  <c r="M25" i="52"/>
  <c r="D25" i="52"/>
  <c r="E25" i="52"/>
  <c r="O25" i="52" s="1"/>
  <c r="I25" i="52"/>
  <c r="G25" i="52"/>
  <c r="C25" i="52"/>
  <c r="F25" i="52"/>
  <c r="Q30" i="38"/>
  <c r="C27" i="44"/>
  <c r="Q53" i="38"/>
  <c r="C26" i="42"/>
  <c r="J29" i="58"/>
  <c r="M29" i="58"/>
  <c r="G29" i="58"/>
  <c r="K29" i="58"/>
  <c r="I29" i="58"/>
  <c r="L29" i="58"/>
  <c r="D29" i="58"/>
  <c r="F29" i="58"/>
  <c r="H29" i="58"/>
  <c r="C29" i="58"/>
  <c r="E29" i="58"/>
  <c r="O29" i="58" s="1"/>
  <c r="C31" i="48"/>
  <c r="C22" i="48"/>
  <c r="F73" i="71"/>
  <c r="Q34" i="38"/>
  <c r="C37" i="39"/>
  <c r="C32" i="46"/>
  <c r="C30" i="53"/>
  <c r="C40" i="36"/>
  <c r="C40" i="40"/>
  <c r="H27" i="54"/>
  <c r="F27" i="54"/>
  <c r="M27" i="54"/>
  <c r="K27" i="54"/>
  <c r="E27" i="54"/>
  <c r="O27" i="54" s="1"/>
  <c r="P27" i="54" s="1"/>
  <c r="I27" i="54"/>
  <c r="J27" i="54"/>
  <c r="G27" i="54"/>
  <c r="L27" i="54"/>
  <c r="D27" i="54"/>
  <c r="C27" i="54"/>
  <c r="C25" i="42"/>
  <c r="D22" i="49"/>
  <c r="L22" i="49"/>
  <c r="J22" i="49"/>
  <c r="E22" i="49"/>
  <c r="O22" i="49" s="1"/>
  <c r="I22" i="49"/>
  <c r="M22" i="49"/>
  <c r="G22" i="49"/>
  <c r="F22" i="49"/>
  <c r="H22" i="49"/>
  <c r="K22" i="49"/>
  <c r="C22" i="49"/>
  <c r="C24" i="58"/>
  <c r="F111" i="71"/>
  <c r="C21" i="47"/>
  <c r="K1" i="69"/>
  <c r="C28" i="43"/>
  <c r="C31" i="40"/>
  <c r="H20" i="44"/>
  <c r="K20" i="44"/>
  <c r="M20" i="44"/>
  <c r="C20" i="44"/>
  <c r="L20" i="44"/>
  <c r="I20" i="44"/>
  <c r="J20" i="44"/>
  <c r="D20" i="44"/>
  <c r="E20" i="44"/>
  <c r="F20" i="44"/>
  <c r="G16" i="44" s="1"/>
  <c r="G20" i="44"/>
  <c r="F47" i="71"/>
  <c r="F92" i="71"/>
  <c r="C39" i="40"/>
  <c r="C47" i="39"/>
  <c r="C21" i="52"/>
  <c r="C42" i="36"/>
  <c r="Q39" i="38"/>
  <c r="C54" i="39"/>
  <c r="F46" i="71"/>
  <c r="D37" i="49"/>
  <c r="H37" i="49"/>
  <c r="I37" i="49"/>
  <c r="C37" i="49"/>
  <c r="J37" i="49"/>
  <c r="M37" i="49"/>
  <c r="F37" i="49"/>
  <c r="K37" i="49"/>
  <c r="L37" i="49"/>
  <c r="G37" i="49"/>
  <c r="E37" i="49"/>
  <c r="O37" i="49" s="1"/>
  <c r="F28" i="71"/>
  <c r="C46" i="39"/>
  <c r="F107" i="71"/>
  <c r="C29" i="44"/>
  <c r="C28" i="46"/>
  <c r="K26" i="49"/>
  <c r="E26" i="49"/>
  <c r="O26" i="49" s="1"/>
  <c r="F26" i="49"/>
  <c r="C26" i="49"/>
  <c r="D26" i="49"/>
  <c r="L26" i="49"/>
  <c r="J26" i="49"/>
  <c r="M26" i="49"/>
  <c r="G26" i="49"/>
  <c r="I26" i="49"/>
  <c r="H26" i="49"/>
  <c r="F68" i="71"/>
  <c r="C45" i="39"/>
  <c r="Q37" i="38"/>
  <c r="C21" i="36"/>
  <c r="C28" i="48"/>
  <c r="C20" i="48"/>
  <c r="E25" i="45"/>
  <c r="O25" i="45" s="1"/>
  <c r="I25" i="45"/>
  <c r="H25" i="45"/>
  <c r="M25" i="45"/>
  <c r="K25" i="45"/>
  <c r="J25" i="45"/>
  <c r="C25" i="45"/>
  <c r="F25" i="45"/>
  <c r="D25" i="45"/>
  <c r="G25" i="45"/>
  <c r="L25" i="45"/>
  <c r="C24" i="47"/>
  <c r="C24" i="42"/>
  <c r="C25" i="40"/>
  <c r="F61" i="71"/>
  <c r="F29" i="43"/>
  <c r="L29" i="43"/>
  <c r="I29" i="43"/>
  <c r="D29" i="43"/>
  <c r="E29" i="43"/>
  <c r="O29" i="43" s="1"/>
  <c r="K29" i="43"/>
  <c r="M29" i="43"/>
  <c r="G29" i="43"/>
  <c r="C29" i="43"/>
  <c r="H29" i="43"/>
  <c r="J29" i="43"/>
  <c r="F57" i="71"/>
  <c r="C29" i="45"/>
  <c r="C30" i="49"/>
  <c r="F108" i="71"/>
  <c r="F87" i="71"/>
  <c r="C30" i="44"/>
  <c r="C34" i="39"/>
  <c r="A4" i="29"/>
  <c r="C25" i="54"/>
  <c r="F25" i="54"/>
  <c r="J25" i="54"/>
  <c r="L25" i="54"/>
  <c r="G25" i="54"/>
  <c r="I25" i="54"/>
  <c r="M25" i="54"/>
  <c r="K25" i="54"/>
  <c r="H25" i="54"/>
  <c r="E25" i="54"/>
  <c r="O25" i="54" s="1"/>
  <c r="D25" i="54"/>
  <c r="D34" i="49"/>
  <c r="K34" i="49"/>
  <c r="E34" i="49"/>
  <c r="O34" i="49" s="1"/>
  <c r="H34" i="49"/>
  <c r="L34" i="49"/>
  <c r="J34" i="49"/>
  <c r="F34" i="49"/>
  <c r="C34" i="49"/>
  <c r="M34" i="49"/>
  <c r="I34" i="49"/>
  <c r="G34" i="49"/>
  <c r="C57" i="39"/>
  <c r="C22" i="47"/>
  <c r="C42" i="39"/>
  <c r="C49" i="39"/>
  <c r="Q52" i="38"/>
  <c r="C23" i="52"/>
  <c r="C20" i="53"/>
  <c r="E36" i="49"/>
  <c r="O36" i="49" s="1"/>
  <c r="G36" i="49"/>
  <c r="I36" i="49"/>
  <c r="M36" i="49"/>
  <c r="L36" i="49"/>
  <c r="H36" i="49"/>
  <c r="J36" i="49"/>
  <c r="D36" i="49"/>
  <c r="F36" i="49"/>
  <c r="C36" i="49"/>
  <c r="K36" i="49"/>
  <c r="V23" i="38"/>
  <c r="P18" i="38" s="1"/>
  <c r="T23" i="38"/>
  <c r="P16" i="38" s="1"/>
  <c r="U23" i="38"/>
  <c r="P17" i="38" s="1"/>
  <c r="O19" i="40" l="1"/>
  <c r="F14" i="69"/>
  <c r="J16" i="69" s="1"/>
  <c r="J17" i="69" s="1"/>
  <c r="M39" i="51" a="1"/>
  <c r="M39" i="51" s="1"/>
  <c r="G16" i="47"/>
  <c r="D13" i="27"/>
  <c r="G18" i="63"/>
  <c r="C18" i="63"/>
  <c r="M40" i="51" a="1"/>
  <c r="M40" i="51" s="1"/>
  <c r="Q32" i="58"/>
  <c r="M41" i="51" a="1"/>
  <c r="M41" i="51" s="1"/>
  <c r="M54" i="51" a="1"/>
  <c r="M54" i="51" s="1"/>
  <c r="E18" i="63"/>
  <c r="Q27" i="54"/>
  <c r="E13" i="27"/>
  <c r="D16" i="63"/>
  <c r="H18" i="63"/>
  <c r="E16" i="63"/>
  <c r="C13" i="27"/>
  <c r="B16" i="63"/>
  <c r="G16" i="48"/>
  <c r="M50" i="51" a="1"/>
  <c r="M50" i="51" s="1"/>
  <c r="G35" i="27"/>
  <c r="F16" i="58"/>
  <c r="I35" i="27"/>
  <c r="G16" i="63"/>
  <c r="H16" i="63"/>
  <c r="Q26" i="52"/>
  <c r="U28" i="71"/>
  <c r="T28" i="71"/>
  <c r="S28" i="71"/>
  <c r="P27" i="42"/>
  <c r="Q27" i="42"/>
  <c r="Q35" i="44"/>
  <c r="P35" i="44"/>
  <c r="Q29" i="48"/>
  <c r="P29" i="48"/>
  <c r="Q42" i="36"/>
  <c r="P42" i="36"/>
  <c r="Q21" i="36"/>
  <c r="P21" i="36"/>
  <c r="O19" i="36"/>
  <c r="A14" i="36" s="1"/>
  <c r="P20" i="58"/>
  <c r="Q20" i="58"/>
  <c r="U87" i="71"/>
  <c r="S87" i="71"/>
  <c r="T87" i="71"/>
  <c r="P26" i="42"/>
  <c r="Q26" i="42"/>
  <c r="P26" i="53"/>
  <c r="Q26" i="53"/>
  <c r="Q20" i="46"/>
  <c r="P20" i="46"/>
  <c r="O19" i="46"/>
  <c r="A14" i="46" s="1"/>
  <c r="U77" i="71"/>
  <c r="T77" i="71"/>
  <c r="S77" i="71"/>
  <c r="T108" i="71"/>
  <c r="S108" i="71"/>
  <c r="U108" i="71"/>
  <c r="T76" i="71"/>
  <c r="U76" i="71"/>
  <c r="S76" i="71"/>
  <c r="Q22" i="36"/>
  <c r="P22" i="36"/>
  <c r="Q54" i="39"/>
  <c r="P54" i="39"/>
  <c r="Q52" i="39"/>
  <c r="P52" i="39"/>
  <c r="T54" i="71"/>
  <c r="U54" i="71"/>
  <c r="S54" i="71"/>
  <c r="R23" i="71"/>
  <c r="T24" i="71"/>
  <c r="S24" i="71"/>
  <c r="U24" i="71"/>
  <c r="Q27" i="40"/>
  <c r="P27" i="40"/>
  <c r="Q34" i="44"/>
  <c r="P34" i="44"/>
  <c r="S98" i="71"/>
  <c r="U98" i="71"/>
  <c r="T98" i="71"/>
  <c r="Q39" i="58"/>
  <c r="P39" i="58"/>
  <c r="S109" i="71"/>
  <c r="T109" i="71"/>
  <c r="U109" i="71"/>
  <c r="P20" i="53"/>
  <c r="Q20" i="53"/>
  <c r="P38" i="40"/>
  <c r="Q38" i="40"/>
  <c r="Q43" i="36"/>
  <c r="P43" i="36"/>
  <c r="P32" i="44"/>
  <c r="Q32" i="44"/>
  <c r="Q32" i="39"/>
  <c r="P32" i="39"/>
  <c r="P21" i="42"/>
  <c r="Q21" i="42"/>
  <c r="Q30" i="46"/>
  <c r="P30" i="46"/>
  <c r="U65" i="71"/>
  <c r="S65" i="71"/>
  <c r="T65" i="71"/>
  <c r="T119" i="71"/>
  <c r="S119" i="71"/>
  <c r="U119" i="71"/>
  <c r="T94" i="71"/>
  <c r="U94" i="71"/>
  <c r="S94" i="71"/>
  <c r="U101" i="71"/>
  <c r="S101" i="71"/>
  <c r="T101" i="71"/>
  <c r="P36" i="58"/>
  <c r="Q36" i="58"/>
  <c r="G10" i="27"/>
  <c r="H10" i="27"/>
  <c r="E21" i="63"/>
  <c r="E22" i="63"/>
  <c r="E20" i="63"/>
  <c r="E17" i="63"/>
  <c r="F16" i="63"/>
  <c r="B10" i="27"/>
  <c r="H23" i="63"/>
  <c r="H19" i="63"/>
  <c r="B23" i="63"/>
  <c r="B19" i="63"/>
  <c r="F41" i="27"/>
  <c r="F25" i="27"/>
  <c r="F19" i="27"/>
  <c r="F33" i="27"/>
  <c r="F43" i="27"/>
  <c r="F27" i="27"/>
  <c r="F21" i="27"/>
  <c r="F15" i="27"/>
  <c r="F37" i="27"/>
  <c r="F45" i="27"/>
  <c r="F29" i="27"/>
  <c r="F39" i="27"/>
  <c r="F23" i="27"/>
  <c r="F31" i="27"/>
  <c r="F17" i="27"/>
  <c r="D12" i="27"/>
  <c r="D11" i="27"/>
  <c r="C11" i="27"/>
  <c r="C12" i="27"/>
  <c r="I12" i="27"/>
  <c r="I11" i="27"/>
  <c r="B13" i="27"/>
  <c r="P32" i="53"/>
  <c r="Q32" i="53"/>
  <c r="S31" i="71"/>
  <c r="U31" i="71"/>
  <c r="T31" i="71"/>
  <c r="P32" i="43"/>
  <c r="Q32" i="43"/>
  <c r="Q22" i="60"/>
  <c r="P22" i="60"/>
  <c r="U32" i="71"/>
  <c r="T32" i="71"/>
  <c r="S32" i="71"/>
  <c r="Q30" i="60"/>
  <c r="P30" i="60"/>
  <c r="P29" i="49"/>
  <c r="Q29" i="49"/>
  <c r="Q22" i="52"/>
  <c r="P22" i="52"/>
  <c r="Q35" i="36"/>
  <c r="P35" i="36"/>
  <c r="P37" i="53"/>
  <c r="Q37" i="53"/>
  <c r="U90" i="71"/>
  <c r="T90" i="71"/>
  <c r="S90" i="71"/>
  <c r="P44" i="36"/>
  <c r="Q44" i="36"/>
  <c r="Q23" i="58"/>
  <c r="P23" i="58"/>
  <c r="Q27" i="36"/>
  <c r="P27" i="36"/>
  <c r="T30" i="71"/>
  <c r="S30" i="71"/>
  <c r="U30" i="71"/>
  <c r="Q23" i="70"/>
  <c r="P23" i="70"/>
  <c r="S49" i="71"/>
  <c r="U49" i="71"/>
  <c r="T49" i="71"/>
  <c r="T86" i="71"/>
  <c r="U86" i="71"/>
  <c r="S86" i="71"/>
  <c r="P38" i="46"/>
  <c r="Q38" i="46"/>
  <c r="P21" i="52"/>
  <c r="Q21" i="52"/>
  <c r="P28" i="44"/>
  <c r="Q28" i="44"/>
  <c r="P39" i="46"/>
  <c r="Q39" i="46"/>
  <c r="Q41" i="40"/>
  <c r="P41" i="40"/>
  <c r="P28" i="43"/>
  <c r="Q28" i="43"/>
  <c r="Q46" i="39"/>
  <c r="P46" i="39"/>
  <c r="P26" i="44"/>
  <c r="Q26" i="44"/>
  <c r="Q25" i="40"/>
  <c r="P25" i="40"/>
  <c r="S43" i="71"/>
  <c r="U43" i="71"/>
  <c r="T43" i="71"/>
  <c r="P29" i="60"/>
  <c r="Q29" i="60"/>
  <c r="T89" i="71"/>
  <c r="S89" i="71"/>
  <c r="U89" i="71"/>
  <c r="P61" i="39"/>
  <c r="Q61" i="39"/>
  <c r="P24" i="42"/>
  <c r="Q24" i="42"/>
  <c r="U93" i="71"/>
  <c r="T93" i="71"/>
  <c r="S93" i="71"/>
  <c r="P31" i="53"/>
  <c r="Q31" i="53"/>
  <c r="U47" i="71"/>
  <c r="T47" i="71"/>
  <c r="S47" i="71"/>
  <c r="P23" i="46"/>
  <c r="Q23" i="46"/>
  <c r="Q25" i="36"/>
  <c r="P25" i="36"/>
  <c r="P20" i="45"/>
  <c r="Q20" i="45"/>
  <c r="P35" i="40"/>
  <c r="Q35" i="40"/>
  <c r="U52" i="71"/>
  <c r="T52" i="71"/>
  <c r="S52" i="71"/>
  <c r="Q26" i="60"/>
  <c r="P26" i="60"/>
  <c r="Q38" i="58"/>
  <c r="P38" i="58"/>
  <c r="U57" i="71"/>
  <c r="S57" i="71"/>
  <c r="T57" i="71"/>
  <c r="Q41" i="46"/>
  <c r="P41" i="46"/>
  <c r="Q35" i="58"/>
  <c r="P35" i="58"/>
  <c r="Q40" i="39"/>
  <c r="P40" i="39"/>
  <c r="Q38" i="36"/>
  <c r="P38" i="36"/>
  <c r="P50" i="39"/>
  <c r="Q50" i="39"/>
  <c r="Q24" i="60"/>
  <c r="P24" i="60"/>
  <c r="U62" i="71"/>
  <c r="T62" i="71"/>
  <c r="S62" i="71"/>
  <c r="U64" i="71"/>
  <c r="S64" i="71"/>
  <c r="T64" i="71"/>
  <c r="P31" i="44"/>
  <c r="Q31" i="44"/>
  <c r="P23" i="45"/>
  <c r="Q23" i="45"/>
  <c r="Q30" i="39"/>
  <c r="P30" i="39"/>
  <c r="T120" i="71"/>
  <c r="U120" i="71"/>
  <c r="S120" i="71"/>
  <c r="Q21" i="45"/>
  <c r="P21" i="45"/>
  <c r="H35" i="27"/>
  <c r="C16" i="63"/>
  <c r="E10" i="27"/>
  <c r="E39" i="27"/>
  <c r="E23" i="27"/>
  <c r="E31" i="27"/>
  <c r="E17" i="27"/>
  <c r="E25" i="27"/>
  <c r="E19" i="27"/>
  <c r="E43" i="27"/>
  <c r="E41" i="27"/>
  <c r="E15" i="27"/>
  <c r="E37" i="27"/>
  <c r="E27" i="27"/>
  <c r="E45" i="27"/>
  <c r="E29" i="27"/>
  <c r="E33" i="27"/>
  <c r="H33" i="27"/>
  <c r="H25" i="27"/>
  <c r="H27" i="27"/>
  <c r="H43" i="27"/>
  <c r="H23" i="27"/>
  <c r="H21" i="27"/>
  <c r="H37" i="27"/>
  <c r="H15" i="27"/>
  <c r="H17" i="27"/>
  <c r="H45" i="27"/>
  <c r="H29" i="27"/>
  <c r="H19" i="27"/>
  <c r="H39" i="27"/>
  <c r="H41" i="27"/>
  <c r="H31" i="27"/>
  <c r="H13" i="27"/>
  <c r="D45" i="27"/>
  <c r="D23" i="27"/>
  <c r="D15" i="27"/>
  <c r="D39" i="27"/>
  <c r="D17" i="27"/>
  <c r="D31" i="27"/>
  <c r="D25" i="27"/>
  <c r="D19" i="27"/>
  <c r="D43" i="27"/>
  <c r="D41" i="27"/>
  <c r="D37" i="27"/>
  <c r="D27" i="27"/>
  <c r="D29" i="27"/>
  <c r="D33" i="27"/>
  <c r="P24" i="39"/>
  <c r="Q24" i="39"/>
  <c r="U35" i="71"/>
  <c r="T35" i="71"/>
  <c r="S35" i="71"/>
  <c r="Q31" i="36"/>
  <c r="P31" i="36"/>
  <c r="P29" i="53"/>
  <c r="Q29" i="53"/>
  <c r="T70" i="71"/>
  <c r="U70" i="71"/>
  <c r="S70" i="71"/>
  <c r="U116" i="71"/>
  <c r="S116" i="71"/>
  <c r="T116" i="71"/>
  <c r="P33" i="44"/>
  <c r="Q33" i="44"/>
  <c r="P36" i="53"/>
  <c r="Q36" i="53"/>
  <c r="S37" i="71"/>
  <c r="U37" i="71"/>
  <c r="T37" i="71"/>
  <c r="Q60" i="39"/>
  <c r="P60" i="39"/>
  <c r="T91" i="71"/>
  <c r="U91" i="71"/>
  <c r="S91" i="71"/>
  <c r="Q56" i="39"/>
  <c r="P56" i="39"/>
  <c r="O19" i="70"/>
  <c r="A14" i="70" s="1"/>
  <c r="P21" i="70"/>
  <c r="Q21" i="70"/>
  <c r="P29" i="39"/>
  <c r="Q29" i="39"/>
  <c r="Q28" i="57"/>
  <c r="P28" i="57"/>
  <c r="Q36" i="40"/>
  <c r="P36" i="40"/>
  <c r="Q22" i="39"/>
  <c r="P22" i="39"/>
  <c r="Q33" i="36"/>
  <c r="P33" i="36"/>
  <c r="P23" i="42"/>
  <c r="Q23" i="42"/>
  <c r="Q27" i="57"/>
  <c r="P27" i="57"/>
  <c r="Q31" i="40"/>
  <c r="P31" i="40"/>
  <c r="Q22" i="58"/>
  <c r="P22" i="58"/>
  <c r="Q26" i="39"/>
  <c r="P26" i="39"/>
  <c r="P23" i="52"/>
  <c r="Q23" i="52"/>
  <c r="P40" i="40"/>
  <c r="Q40" i="40"/>
  <c r="Q47" i="39"/>
  <c r="P47" i="39"/>
  <c r="P29" i="57"/>
  <c r="Q29" i="57"/>
  <c r="P45" i="39"/>
  <c r="Q45" i="39"/>
  <c r="U100" i="71"/>
  <c r="S100" i="71"/>
  <c r="T100" i="71"/>
  <c r="P46" i="36"/>
  <c r="Q46" i="36"/>
  <c r="P34" i="57"/>
  <c r="Q34" i="57"/>
  <c r="P21" i="48"/>
  <c r="Q21" i="48"/>
  <c r="U46" i="71"/>
  <c r="T46" i="71"/>
  <c r="S46" i="71"/>
  <c r="U96" i="71"/>
  <c r="T96" i="71"/>
  <c r="S96" i="71"/>
  <c r="P20" i="54"/>
  <c r="Q20" i="54"/>
  <c r="T73" i="71"/>
  <c r="U73" i="71"/>
  <c r="S73" i="71"/>
  <c r="P20" i="43"/>
  <c r="Q20" i="43"/>
  <c r="Q22" i="42"/>
  <c r="P22" i="42"/>
  <c r="S97" i="71"/>
  <c r="T97" i="71"/>
  <c r="U97" i="71"/>
  <c r="T42" i="71"/>
  <c r="S42" i="71"/>
  <c r="U42" i="71"/>
  <c r="P23" i="40"/>
  <c r="Q23" i="40"/>
  <c r="Q28" i="53"/>
  <c r="P28" i="53"/>
  <c r="Q22" i="44"/>
  <c r="P22" i="44"/>
  <c r="Q29" i="44"/>
  <c r="P29" i="44"/>
  <c r="Q40" i="46"/>
  <c r="P40" i="46"/>
  <c r="Q41" i="36"/>
  <c r="P41" i="36"/>
  <c r="U45" i="71"/>
  <c r="T45" i="71"/>
  <c r="S45" i="71"/>
  <c r="U27" i="71"/>
  <c r="T27" i="71"/>
  <c r="S27" i="71"/>
  <c r="Q27" i="48"/>
  <c r="P27" i="48"/>
  <c r="P32" i="40"/>
  <c r="Q32" i="40"/>
  <c r="P40" i="49"/>
  <c r="Q40" i="49"/>
  <c r="U71" i="71"/>
  <c r="T71" i="71"/>
  <c r="S71" i="71"/>
  <c r="U34" i="71"/>
  <c r="T34" i="71"/>
  <c r="S34" i="71"/>
  <c r="P45" i="36"/>
  <c r="Q45" i="36"/>
  <c r="Q37" i="58"/>
  <c r="P37" i="58"/>
  <c r="H22" i="63"/>
  <c r="H21" i="63"/>
  <c r="H20" i="63"/>
  <c r="H17" i="63"/>
  <c r="F21" i="63"/>
  <c r="F20" i="63"/>
  <c r="F17" i="63"/>
  <c r="F22" i="63"/>
  <c r="F35" i="27"/>
  <c r="F10" i="27"/>
  <c r="B17" i="63"/>
  <c r="B21" i="63"/>
  <c r="B20" i="63"/>
  <c r="B22" i="63"/>
  <c r="P31" i="48"/>
  <c r="Q31" i="48"/>
  <c r="E23" i="63"/>
  <c r="E19" i="63"/>
  <c r="F23" i="63"/>
  <c r="F19" i="63"/>
  <c r="F13" i="27"/>
  <c r="P32" i="57"/>
  <c r="Q32" i="57"/>
  <c r="Q58" i="39"/>
  <c r="P58" i="39"/>
  <c r="T95" i="71"/>
  <c r="S95" i="71"/>
  <c r="U95" i="71"/>
  <c r="T36" i="71"/>
  <c r="S36" i="71"/>
  <c r="U36" i="71"/>
  <c r="Q22" i="70"/>
  <c r="P22" i="70"/>
  <c r="P53" i="39"/>
  <c r="Q53" i="39"/>
  <c r="P20" i="70"/>
  <c r="Q20" i="70"/>
  <c r="Q33" i="43"/>
  <c r="P33" i="43"/>
  <c r="Q23" i="48"/>
  <c r="P23" i="48"/>
  <c r="U41" i="71"/>
  <c r="T41" i="71"/>
  <c r="S41" i="71"/>
  <c r="U114" i="71"/>
  <c r="T114" i="71"/>
  <c r="S114" i="71"/>
  <c r="P25" i="53"/>
  <c r="Q25" i="53"/>
  <c r="Q37" i="46"/>
  <c r="P37" i="46"/>
  <c r="P35" i="46"/>
  <c r="Q35" i="46"/>
  <c r="P51" i="39"/>
  <c r="Q51" i="39"/>
  <c r="U44" i="71"/>
  <c r="T44" i="71"/>
  <c r="S44" i="71"/>
  <c r="T88" i="71"/>
  <c r="U88" i="71"/>
  <c r="S88" i="71"/>
  <c r="P25" i="46"/>
  <c r="Q25" i="46"/>
  <c r="P31" i="58"/>
  <c r="Q31" i="58"/>
  <c r="P29" i="45"/>
  <c r="Q29" i="45"/>
  <c r="P25" i="42"/>
  <c r="Q25" i="42"/>
  <c r="P20" i="48"/>
  <c r="Q20" i="48"/>
  <c r="Q39" i="36"/>
  <c r="P39" i="36"/>
  <c r="Q34" i="39"/>
  <c r="P34" i="39"/>
  <c r="Q42" i="39"/>
  <c r="P42" i="39"/>
  <c r="P21" i="47"/>
  <c r="Q21" i="47"/>
  <c r="Q36" i="36"/>
  <c r="P36" i="36"/>
  <c r="Q39" i="40"/>
  <c r="P39" i="40"/>
  <c r="Q44" i="39"/>
  <c r="P44" i="39"/>
  <c r="Q33" i="53"/>
  <c r="P33" i="53"/>
  <c r="Q26" i="48"/>
  <c r="P26" i="48"/>
  <c r="P21" i="40"/>
  <c r="Q21" i="40"/>
  <c r="S92" i="71"/>
  <c r="U92" i="71"/>
  <c r="T92" i="71"/>
  <c r="T58" i="71"/>
  <c r="U58" i="71"/>
  <c r="S58" i="71"/>
  <c r="Q27" i="53"/>
  <c r="P27" i="53"/>
  <c r="Q32" i="36"/>
  <c r="P32" i="36"/>
  <c r="S99" i="71"/>
  <c r="T99" i="71"/>
  <c r="U99" i="71"/>
  <c r="P29" i="52"/>
  <c r="Q29" i="52"/>
  <c r="P30" i="40"/>
  <c r="Q30" i="40"/>
  <c r="P21" i="39"/>
  <c r="Q21" i="39"/>
  <c r="U38" i="71"/>
  <c r="T38" i="71"/>
  <c r="S38" i="71"/>
  <c r="U74" i="71"/>
  <c r="S74" i="71"/>
  <c r="T74" i="71"/>
  <c r="P21" i="46"/>
  <c r="Q21" i="46"/>
  <c r="Q28" i="36"/>
  <c r="P28" i="36"/>
  <c r="Q31" i="46"/>
  <c r="P31" i="46"/>
  <c r="P36" i="39"/>
  <c r="Q36" i="39"/>
  <c r="Q27" i="46"/>
  <c r="P27" i="46"/>
  <c r="Q30" i="52"/>
  <c r="P30" i="52"/>
  <c r="S67" i="71"/>
  <c r="T67" i="71"/>
  <c r="U67" i="71"/>
  <c r="Q36" i="57"/>
  <c r="P36" i="57"/>
  <c r="Q37" i="36"/>
  <c r="P37" i="36"/>
  <c r="U80" i="71"/>
  <c r="T80" i="71"/>
  <c r="S80" i="71"/>
  <c r="Q33" i="57"/>
  <c r="P33" i="57"/>
  <c r="P24" i="57"/>
  <c r="Q24" i="57"/>
  <c r="T106" i="71"/>
  <c r="U106" i="71"/>
  <c r="S106" i="71"/>
  <c r="C17" i="63"/>
  <c r="C21" i="63"/>
  <c r="C20" i="63"/>
  <c r="C22" i="63"/>
  <c r="D17" i="63"/>
  <c r="D20" i="63"/>
  <c r="D22" i="63"/>
  <c r="D21" i="63"/>
  <c r="T104" i="71"/>
  <c r="U104" i="71"/>
  <c r="S104" i="71"/>
  <c r="F12" i="27"/>
  <c r="F11" i="27"/>
  <c r="C19" i="63"/>
  <c r="C23" i="63"/>
  <c r="B9" i="27"/>
  <c r="B1" i="63" a="1"/>
  <c r="D19" i="63"/>
  <c r="D23" i="63"/>
  <c r="F18" i="63"/>
  <c r="C17" i="67"/>
  <c r="C11" i="67"/>
  <c r="C16" i="67"/>
  <c r="C12" i="67"/>
  <c r="C9" i="67"/>
  <c r="C13" i="67"/>
  <c r="B5" i="67"/>
  <c r="C10" i="67"/>
  <c r="C8" i="67"/>
  <c r="C15" i="67"/>
  <c r="C7" i="67"/>
  <c r="P21" i="44"/>
  <c r="Q21" i="44"/>
  <c r="P20" i="42"/>
  <c r="Q20" i="42"/>
  <c r="O19" i="42"/>
  <c r="A14" i="42" s="1"/>
  <c r="P59" i="39"/>
  <c r="Q59" i="39"/>
  <c r="U59" i="71"/>
  <c r="T59" i="71"/>
  <c r="S59" i="71"/>
  <c r="T66" i="71"/>
  <c r="U66" i="71"/>
  <c r="S66" i="71"/>
  <c r="P25" i="60"/>
  <c r="Q25" i="60"/>
  <c r="P41" i="39"/>
  <c r="Q41" i="39"/>
  <c r="A14" i="40"/>
  <c r="Q20" i="40"/>
  <c r="P20" i="40"/>
  <c r="Q34" i="46"/>
  <c r="P34" i="46"/>
  <c r="S103" i="71"/>
  <c r="T103" i="71"/>
  <c r="U103" i="71"/>
  <c r="Q43" i="39"/>
  <c r="P43" i="39"/>
  <c r="T81" i="71"/>
  <c r="S81" i="71"/>
  <c r="U81" i="71"/>
  <c r="P28" i="45"/>
  <c r="Q28" i="45"/>
  <c r="Q20" i="60"/>
  <c r="P20" i="60"/>
  <c r="Q33" i="46"/>
  <c r="P33" i="46"/>
  <c r="Q28" i="60"/>
  <c r="P28" i="60"/>
  <c r="P30" i="48"/>
  <c r="Q30" i="48"/>
  <c r="P34" i="43"/>
  <c r="Q34" i="43"/>
  <c r="S115" i="71"/>
  <c r="T115" i="71"/>
  <c r="U115" i="71"/>
  <c r="P28" i="49"/>
  <c r="Q28" i="49"/>
  <c r="P49" i="39"/>
  <c r="Q49" i="39"/>
  <c r="Q24" i="47"/>
  <c r="P24" i="47"/>
  <c r="P37" i="39"/>
  <c r="Q37" i="39"/>
  <c r="P22" i="48"/>
  <c r="Q22" i="48"/>
  <c r="Q29" i="40"/>
  <c r="P29" i="40"/>
  <c r="P28" i="48"/>
  <c r="Q28" i="48"/>
  <c r="Q30" i="44"/>
  <c r="P30" i="44"/>
  <c r="P40" i="36"/>
  <c r="Q40" i="36"/>
  <c r="P55" i="39"/>
  <c r="Q55" i="39"/>
  <c r="T111" i="71"/>
  <c r="S111" i="71"/>
  <c r="U111" i="71"/>
  <c r="Q26" i="57"/>
  <c r="P26" i="57"/>
  <c r="S79" i="71"/>
  <c r="T79" i="71"/>
  <c r="U79" i="71"/>
  <c r="Q24" i="40"/>
  <c r="P24" i="40"/>
  <c r="P24" i="58"/>
  <c r="Q24" i="58"/>
  <c r="U75" i="71"/>
  <c r="T75" i="71"/>
  <c r="S75" i="71"/>
  <c r="P30" i="49"/>
  <c r="Q30" i="49"/>
  <c r="Q39" i="39"/>
  <c r="P39" i="39"/>
  <c r="Q20" i="49"/>
  <c r="P20" i="49"/>
  <c r="Q29" i="36"/>
  <c r="P29" i="36"/>
  <c r="T102" i="71"/>
  <c r="U102" i="71"/>
  <c r="S102" i="71"/>
  <c r="Q34" i="36"/>
  <c r="P34" i="36"/>
  <c r="Q35" i="57"/>
  <c r="P35" i="57"/>
  <c r="T84" i="71"/>
  <c r="U84" i="71"/>
  <c r="S84" i="71"/>
  <c r="P20" i="52"/>
  <c r="Q20" i="52"/>
  <c r="O19" i="39"/>
  <c r="A14" i="39" s="1"/>
  <c r="Q20" i="39"/>
  <c r="P20" i="39"/>
  <c r="U117" i="71"/>
  <c r="S117" i="71"/>
  <c r="T117" i="71"/>
  <c r="U26" i="71"/>
  <c r="T26" i="71"/>
  <c r="S26" i="71"/>
  <c r="U40" i="71"/>
  <c r="T40" i="71"/>
  <c r="S40" i="71"/>
  <c r="Q21" i="58"/>
  <c r="P21" i="58"/>
  <c r="U82" i="71"/>
  <c r="S82" i="71"/>
  <c r="T82" i="71"/>
  <c r="Q26" i="36"/>
  <c r="P26" i="36"/>
  <c r="U56" i="71"/>
  <c r="S56" i="71"/>
  <c r="T56" i="71"/>
  <c r="Q30" i="57"/>
  <c r="P30" i="57"/>
  <c r="Q29" i="46"/>
  <c r="P29" i="46"/>
  <c r="P25" i="47"/>
  <c r="Q25" i="47"/>
  <c r="U69" i="71"/>
  <c r="T69" i="71"/>
  <c r="S69" i="71"/>
  <c r="I10" i="27"/>
  <c r="G21" i="63"/>
  <c r="G17" i="63"/>
  <c r="G22" i="63"/>
  <c r="G20" i="63"/>
  <c r="B12" i="27"/>
  <c r="B11" i="27"/>
  <c r="G23" i="63"/>
  <c r="G19" i="63"/>
  <c r="G15" i="27"/>
  <c r="G37" i="27"/>
  <c r="G45" i="27"/>
  <c r="G29" i="27"/>
  <c r="G19" i="27"/>
  <c r="G39" i="27"/>
  <c r="G23" i="27"/>
  <c r="G21" i="27"/>
  <c r="G41" i="27"/>
  <c r="G31" i="27"/>
  <c r="G17" i="27"/>
  <c r="G27" i="27"/>
  <c r="G25" i="27"/>
  <c r="G33" i="27"/>
  <c r="G43" i="27"/>
  <c r="B18" i="63"/>
  <c r="E11" i="27"/>
  <c r="E12" i="27"/>
  <c r="G13" i="27"/>
  <c r="U33" i="71"/>
  <c r="T33" i="71"/>
  <c r="S33" i="71"/>
  <c r="P40" i="58"/>
  <c r="Q40" i="58"/>
  <c r="Q22" i="53"/>
  <c r="P22" i="53"/>
  <c r="Q26" i="46"/>
  <c r="P26" i="46"/>
  <c r="P26" i="40"/>
  <c r="Q26" i="40"/>
  <c r="P20" i="36"/>
  <c r="Q20" i="36"/>
  <c r="Q24" i="36"/>
  <c r="P24" i="36"/>
  <c r="U53" i="71"/>
  <c r="T53" i="71"/>
  <c r="S53" i="71"/>
  <c r="Q36" i="46"/>
  <c r="P36" i="46"/>
  <c r="Q34" i="53"/>
  <c r="P34" i="53"/>
  <c r="P27" i="45"/>
  <c r="Q27" i="45"/>
  <c r="Q38" i="39"/>
  <c r="P38" i="39"/>
  <c r="T112" i="71"/>
  <c r="U112" i="71"/>
  <c r="S112" i="71"/>
  <c r="P23" i="53"/>
  <c r="Q23" i="53"/>
  <c r="Q26" i="47"/>
  <c r="P26" i="47"/>
  <c r="Q35" i="39"/>
  <c r="P35" i="39"/>
  <c r="P36" i="43"/>
  <c r="Q36" i="43"/>
  <c r="S25" i="71"/>
  <c r="U25" i="71"/>
  <c r="T25" i="71"/>
  <c r="Q23" i="44"/>
  <c r="P23" i="44"/>
  <c r="U68" i="71"/>
  <c r="T68" i="71"/>
  <c r="S68" i="71"/>
  <c r="P27" i="44"/>
  <c r="Q27" i="44"/>
  <c r="Q20" i="47"/>
  <c r="P20" i="47"/>
  <c r="P27" i="60"/>
  <c r="Q27" i="60"/>
  <c r="T107" i="71"/>
  <c r="U107" i="71"/>
  <c r="S107" i="71"/>
  <c r="S61" i="71"/>
  <c r="T61" i="71"/>
  <c r="U61" i="71"/>
  <c r="S83" i="71"/>
  <c r="T83" i="71"/>
  <c r="U83" i="71"/>
  <c r="P22" i="47"/>
  <c r="Q22" i="47"/>
  <c r="Q30" i="53"/>
  <c r="P30" i="53"/>
  <c r="U60" i="71"/>
  <c r="S60" i="71"/>
  <c r="T60" i="71"/>
  <c r="P28" i="42"/>
  <c r="Q28" i="42"/>
  <c r="P57" i="39"/>
  <c r="Q57" i="39"/>
  <c r="Q32" i="46"/>
  <c r="P32" i="46"/>
  <c r="P33" i="39"/>
  <c r="Q33" i="39"/>
  <c r="Q28" i="46"/>
  <c r="P28" i="46"/>
  <c r="Q22" i="45"/>
  <c r="P22" i="45"/>
  <c r="Q23" i="47"/>
  <c r="P23" i="47"/>
  <c r="Q37" i="40"/>
  <c r="P37" i="40"/>
  <c r="S121" i="71"/>
  <c r="T121" i="71"/>
  <c r="U121" i="71"/>
  <c r="S85" i="71"/>
  <c r="T85" i="71"/>
  <c r="U85" i="71"/>
  <c r="Q35" i="43"/>
  <c r="P35" i="43"/>
  <c r="Q34" i="40"/>
  <c r="P34" i="40"/>
  <c r="P29" i="42"/>
  <c r="Q29" i="42"/>
  <c r="P33" i="40"/>
  <c r="Q33" i="40"/>
  <c r="U72" i="71"/>
  <c r="T72" i="71"/>
  <c r="S72" i="71"/>
  <c r="U39" i="71"/>
  <c r="T39" i="71"/>
  <c r="S39" i="71"/>
  <c r="U50" i="71"/>
  <c r="T50" i="71"/>
  <c r="S50" i="71"/>
  <c r="T110" i="71"/>
  <c r="U110" i="71"/>
  <c r="S110" i="71"/>
  <c r="Q35" i="53"/>
  <c r="P35" i="53"/>
  <c r="P23" i="39"/>
  <c r="Q23" i="39"/>
  <c r="U78" i="71"/>
  <c r="T78" i="71"/>
  <c r="S78" i="71"/>
  <c r="Q31" i="43"/>
  <c r="P31" i="43"/>
  <c r="T48" i="71"/>
  <c r="S48" i="71"/>
  <c r="U48" i="71"/>
  <c r="U51" i="71"/>
  <c r="T51" i="71"/>
  <c r="S51" i="71"/>
  <c r="Q48" i="39"/>
  <c r="P48" i="39"/>
  <c r="C10" i="27"/>
  <c r="D10" i="27"/>
  <c r="H11" i="27"/>
  <c r="H12" i="27"/>
  <c r="G12" i="27"/>
  <c r="G11" i="27"/>
  <c r="I29" i="27"/>
  <c r="I27" i="27"/>
  <c r="I17" i="27"/>
  <c r="I23" i="27"/>
  <c r="I25" i="27"/>
  <c r="I21" i="27"/>
  <c r="I15" i="27"/>
  <c r="I19" i="27"/>
  <c r="I45" i="27"/>
  <c r="I43" i="27"/>
  <c r="I41" i="27"/>
  <c r="I39" i="27"/>
  <c r="I37" i="27"/>
  <c r="I33" i="27"/>
  <c r="I31" i="27"/>
  <c r="D18" i="63"/>
  <c r="Q31" i="39"/>
  <c r="P31" i="39"/>
  <c r="U63" i="71"/>
  <c r="T63" i="71"/>
  <c r="S63" i="71"/>
  <c r="Q30" i="36"/>
  <c r="P30" i="36"/>
  <c r="Q25" i="44"/>
  <c r="P25" i="44"/>
  <c r="P24" i="53"/>
  <c r="Q24" i="53"/>
  <c r="P28" i="39"/>
  <c r="Q28" i="39"/>
  <c r="P24" i="46"/>
  <c r="Q24" i="46"/>
  <c r="S118" i="71"/>
  <c r="T118" i="71"/>
  <c r="U118" i="71"/>
  <c r="T55" i="71"/>
  <c r="U55" i="71"/>
  <c r="S55" i="71"/>
  <c r="P27" i="39"/>
  <c r="Q27" i="39"/>
  <c r="P31" i="57"/>
  <c r="Q31" i="57"/>
  <c r="P24" i="44"/>
  <c r="Q24" i="44"/>
  <c r="Q25" i="39"/>
  <c r="P25" i="39"/>
  <c r="T105" i="71"/>
  <c r="S105" i="71"/>
  <c r="U105" i="71"/>
  <c r="Q28" i="40"/>
  <c r="P28" i="40"/>
  <c r="P22" i="46"/>
  <c r="Q22" i="46"/>
  <c r="U29" i="71"/>
  <c r="T29" i="71"/>
  <c r="S29" i="71"/>
  <c r="T113" i="71"/>
  <c r="S113" i="71"/>
  <c r="U113" i="71"/>
  <c r="P37" i="43"/>
  <c r="Q37" i="43"/>
  <c r="Q23" i="36"/>
  <c r="P23" i="36"/>
  <c r="B7" i="27"/>
  <c r="G4" i="27"/>
  <c r="G7" i="27" s="1"/>
  <c r="P29" i="43"/>
  <c r="Q29" i="43"/>
  <c r="P37" i="49"/>
  <c r="Q37" i="49"/>
  <c r="Q34" i="49"/>
  <c r="P34" i="49"/>
  <c r="Q33" i="58"/>
  <c r="P33" i="58"/>
  <c r="P28" i="52"/>
  <c r="Q28" i="52"/>
  <c r="Q23" i="54"/>
  <c r="P23" i="54"/>
  <c r="P26" i="58"/>
  <c r="Q26" i="58"/>
  <c r="P23" i="43"/>
  <c r="Q23" i="43"/>
  <c r="P34" i="58"/>
  <c r="Q34" i="58"/>
  <c r="O24" i="52"/>
  <c r="O19" i="52" s="1"/>
  <c r="F16" i="52"/>
  <c r="Q39" i="49"/>
  <c r="P39" i="49"/>
  <c r="P27" i="58"/>
  <c r="Q27" i="58"/>
  <c r="P27" i="49"/>
  <c r="Q27" i="49"/>
  <c r="O21" i="54"/>
  <c r="O19" i="54" s="1"/>
  <c r="A14" i="54" s="1"/>
  <c r="F16" i="54"/>
  <c r="Q22" i="49"/>
  <c r="P22" i="49"/>
  <c r="Q24" i="43"/>
  <c r="P24" i="43"/>
  <c r="G16" i="57"/>
  <c r="Q38" i="49"/>
  <c r="P38" i="49"/>
  <c r="O21" i="43"/>
  <c r="F16" i="43"/>
  <c r="P28" i="47"/>
  <c r="Q28" i="47"/>
  <c r="G16" i="52"/>
  <c r="G16" i="43"/>
  <c r="P31" i="49"/>
  <c r="Q31" i="49"/>
  <c r="Q36" i="49"/>
  <c r="P36" i="49"/>
  <c r="P29" i="58"/>
  <c r="Q29" i="58"/>
  <c r="Q25" i="57"/>
  <c r="P25" i="57"/>
  <c r="P32" i="49"/>
  <c r="Q32" i="49"/>
  <c r="P26" i="45"/>
  <c r="Q26" i="45"/>
  <c r="G16" i="45"/>
  <c r="Q26" i="43"/>
  <c r="P26" i="43"/>
  <c r="Q25" i="48"/>
  <c r="P25" i="48"/>
  <c r="Q25" i="43"/>
  <c r="P25" i="43"/>
  <c r="P26" i="54"/>
  <c r="Q26" i="54"/>
  <c r="O27" i="47"/>
  <c r="F16" i="47"/>
  <c r="G16" i="54"/>
  <c r="O24" i="48"/>
  <c r="F16" i="48"/>
  <c r="Q26" i="49"/>
  <c r="P26" i="49"/>
  <c r="O20" i="44"/>
  <c r="F16" i="44"/>
  <c r="M46" i="51" s="1" a="1"/>
  <c r="M46" i="51" s="1"/>
  <c r="G16" i="49"/>
  <c r="P25" i="52"/>
  <c r="Q25" i="52"/>
  <c r="Q35" i="49"/>
  <c r="P35" i="49"/>
  <c r="F16" i="57"/>
  <c r="O20" i="57"/>
  <c r="Q28" i="58"/>
  <c r="P28" i="58"/>
  <c r="Q21" i="57"/>
  <c r="P21" i="57"/>
  <c r="O21" i="60"/>
  <c r="O19" i="60" s="1"/>
  <c r="A14" i="60" s="1"/>
  <c r="F16" i="60"/>
  <c r="Q27" i="43"/>
  <c r="P27" i="43"/>
  <c r="G16" i="58"/>
  <c r="M48" i="51" s="1" a="1"/>
  <c r="M48" i="51" s="1"/>
  <c r="Q22" i="57"/>
  <c r="P22" i="57"/>
  <c r="P23" i="60"/>
  <c r="Q23" i="60"/>
  <c r="G16" i="60"/>
  <c r="Q23" i="57"/>
  <c r="P23" i="57"/>
  <c r="P30" i="43"/>
  <c r="Q30" i="43"/>
  <c r="P33" i="49"/>
  <c r="Q33" i="49"/>
  <c r="Q25" i="58"/>
  <c r="O19" i="58"/>
  <c r="A14" i="58" s="1"/>
  <c r="P25" i="58"/>
  <c r="P25" i="54"/>
  <c r="Q25" i="54"/>
  <c r="Q25" i="45"/>
  <c r="P25" i="45"/>
  <c r="P27" i="52"/>
  <c r="Q27" i="52"/>
  <c r="Q24" i="49"/>
  <c r="P24" i="49"/>
  <c r="Q23" i="49"/>
  <c r="P23" i="49"/>
  <c r="Q25" i="49"/>
  <c r="P25" i="49"/>
  <c r="Q22" i="54"/>
  <c r="P22" i="54"/>
  <c r="P24" i="54"/>
  <c r="Q24" i="54"/>
  <c r="O21" i="49"/>
  <c r="F16" i="49"/>
  <c r="O21" i="53"/>
  <c r="F16" i="53"/>
  <c r="O24" i="45"/>
  <c r="F16" i="45"/>
  <c r="P22" i="43"/>
  <c r="Q22" i="43"/>
  <c r="P30" i="58"/>
  <c r="Q30" i="58"/>
  <c r="P19" i="40" l="1"/>
  <c r="Q19" i="40"/>
  <c r="A16" i="40" s="1"/>
  <c r="F16" i="69"/>
  <c r="J14" i="69" s="1"/>
  <c r="M47" i="51" a="1"/>
  <c r="M47" i="51" s="1"/>
  <c r="M44" i="51" a="1"/>
  <c r="M44" i="51" s="1"/>
  <c r="M42" i="51" a="1"/>
  <c r="M42" i="51" s="1"/>
  <c r="C6" i="27"/>
  <c r="M45" i="51" a="1"/>
  <c r="M45" i="51" s="1"/>
  <c r="A14" i="52"/>
  <c r="S23" i="71"/>
  <c r="P19" i="39"/>
  <c r="M52" i="51" a="1"/>
  <c r="M52" i="51" s="1"/>
  <c r="Q19" i="42"/>
  <c r="A16" i="42" s="1"/>
  <c r="E12" i="63"/>
  <c r="F12" i="63"/>
  <c r="C13" i="63"/>
  <c r="D12" i="63"/>
  <c r="H12" i="63"/>
  <c r="H13" i="63"/>
  <c r="B12" i="63"/>
  <c r="F13" i="63"/>
  <c r="C12" i="63"/>
  <c r="B13" i="63"/>
  <c r="D13" i="63"/>
  <c r="G12" i="63"/>
  <c r="B1" i="63"/>
  <c r="E13" i="63"/>
  <c r="G13" i="63"/>
  <c r="Q19" i="70"/>
  <c r="A16" i="70" s="1"/>
  <c r="T23" i="71"/>
  <c r="Q19" i="58"/>
  <c r="A16" i="58" s="1"/>
  <c r="P19" i="42"/>
  <c r="C25" i="27"/>
  <c r="B19" i="27"/>
  <c r="C27" i="27"/>
  <c r="C15" i="27"/>
  <c r="B41" i="27"/>
  <c r="B17" i="27"/>
  <c r="B15" i="27"/>
  <c r="C45" i="27"/>
  <c r="B43" i="27"/>
  <c r="C37" i="27"/>
  <c r="B27" i="27"/>
  <c r="B45" i="27"/>
  <c r="C39" i="27"/>
  <c r="B25" i="27"/>
  <c r="C29" i="27"/>
  <c r="C19" i="27"/>
  <c r="B39" i="27"/>
  <c r="C31" i="27"/>
  <c r="B37" i="27"/>
  <c r="C23" i="27"/>
  <c r="C33" i="27"/>
  <c r="B29" i="27"/>
  <c r="C17" i="27"/>
  <c r="C41" i="27"/>
  <c r="B23" i="27"/>
  <c r="B33" i="27"/>
  <c r="B31" i="27"/>
  <c r="C43" i="27"/>
  <c r="P19" i="70"/>
  <c r="A15" i="70" s="1"/>
  <c r="P19" i="58"/>
  <c r="A15" i="58" s="1"/>
  <c r="B3" i="27"/>
  <c r="Q19" i="39"/>
  <c r="A16" i="39" s="1"/>
  <c r="P19" i="46"/>
  <c r="P19" i="36"/>
  <c r="B7" i="67"/>
  <c r="D7" i="67" s="1"/>
  <c r="B8" i="67"/>
  <c r="D8" i="67" s="1"/>
  <c r="B9" i="67"/>
  <c r="D9" i="67" s="1"/>
  <c r="B17" i="67"/>
  <c r="D17" i="67" s="1"/>
  <c r="B16" i="67"/>
  <c r="D16" i="67" s="1"/>
  <c r="B10" i="67"/>
  <c r="D10" i="67" s="1"/>
  <c r="B11" i="67"/>
  <c r="D11" i="67" s="1"/>
  <c r="B12" i="67"/>
  <c r="D12" i="67" s="1"/>
  <c r="B13" i="67"/>
  <c r="D13" i="67" s="1"/>
  <c r="B15" i="67"/>
  <c r="D15" i="67" s="1"/>
  <c r="B4" i="27"/>
  <c r="B5" i="27"/>
  <c r="B6" i="27" s="1"/>
  <c r="U23" i="71"/>
  <c r="Q19" i="46"/>
  <c r="A16" i="46" s="1"/>
  <c r="Q19" i="36"/>
  <c r="A16" i="36" s="1"/>
  <c r="P21" i="54"/>
  <c r="P19" i="54" s="1"/>
  <c r="Q21" i="54"/>
  <c r="Q19" i="54" s="1"/>
  <c r="A16" i="54" s="1"/>
  <c r="P24" i="45"/>
  <c r="P19" i="45" s="1"/>
  <c r="A15" i="45" s="1"/>
  <c r="O19" i="45"/>
  <c r="Q24" i="45"/>
  <c r="Q19" i="45" s="1"/>
  <c r="A16" i="45" s="1"/>
  <c r="Q20" i="57"/>
  <c r="Q19" i="57" s="1"/>
  <c r="A16" i="57" s="1"/>
  <c r="O19" i="57"/>
  <c r="P20" i="57"/>
  <c r="P19" i="57" s="1"/>
  <c r="A15" i="57" s="1"/>
  <c r="M53" i="51" a="1"/>
  <c r="M53" i="51" s="1"/>
  <c r="Q21" i="53"/>
  <c r="Q19" i="53" s="1"/>
  <c r="A16" i="53" s="1"/>
  <c r="P21" i="53"/>
  <c r="P19" i="53" s="1"/>
  <c r="A15" i="53" s="1"/>
  <c r="O19" i="53"/>
  <c r="M43" i="51" a="1"/>
  <c r="M43" i="51" s="1"/>
  <c r="Q24" i="48"/>
  <c r="Q19" i="48" s="1"/>
  <c r="A16" i="48" s="1"/>
  <c r="O19" i="48"/>
  <c r="P24" i="48"/>
  <c r="P19" i="48" s="1"/>
  <c r="A15" i="48" s="1"/>
  <c r="O19" i="43"/>
  <c r="Q21" i="43"/>
  <c r="Q19" i="43" s="1"/>
  <c r="A16" i="43" s="1"/>
  <c r="P21" i="43"/>
  <c r="P19" i="43" s="1"/>
  <c r="A15" i="43" s="1"/>
  <c r="M51" i="51" a="1"/>
  <c r="M51" i="51" s="1"/>
  <c r="Q21" i="60"/>
  <c r="Q19" i="60" s="1"/>
  <c r="A16" i="60" s="1"/>
  <c r="P21" i="60"/>
  <c r="P19" i="60" s="1"/>
  <c r="O19" i="49"/>
  <c r="P21" i="49"/>
  <c r="P19" i="49" s="1"/>
  <c r="A15" i="49" s="1"/>
  <c r="Q21" i="49"/>
  <c r="Q19" i="49" s="1"/>
  <c r="A16" i="49" s="1"/>
  <c r="P20" i="44"/>
  <c r="P19" i="44" s="1"/>
  <c r="A15" i="44" s="1"/>
  <c r="Q20" i="44"/>
  <c r="Q19" i="44" s="1"/>
  <c r="A16" i="44" s="1"/>
  <c r="O19" i="44"/>
  <c r="M49" i="51" a="1"/>
  <c r="M49" i="51" s="1"/>
  <c r="P27" i="47"/>
  <c r="P19" i="47" s="1"/>
  <c r="A15" i="47" s="1"/>
  <c r="Q27" i="47"/>
  <c r="Q19" i="47" s="1"/>
  <c r="A16" i="47" s="1"/>
  <c r="O19" i="47"/>
  <c r="P24" i="52"/>
  <c r="P19" i="52" s="1"/>
  <c r="Q24" i="52"/>
  <c r="Q19" i="52" s="1"/>
  <c r="A16" i="52" s="1"/>
  <c r="C15" i="63" l="1"/>
  <c r="A17" i="58"/>
  <c r="A17" i="70"/>
  <c r="I6" i="27"/>
  <c r="I7" i="27" s="1"/>
  <c r="B15" i="63"/>
  <c r="G15" i="63"/>
  <c r="A15" i="60"/>
  <c r="A17" i="60"/>
  <c r="A15" i="54"/>
  <c r="A17" i="54"/>
  <c r="A15" i="52"/>
  <c r="A17" i="52"/>
  <c r="D15" i="63"/>
  <c r="A15" i="39"/>
  <c r="A17" i="39"/>
  <c r="F15" i="63"/>
  <c r="E15" i="63"/>
  <c r="A15" i="36"/>
  <c r="A17" i="36"/>
  <c r="H6" i="27"/>
  <c r="H7" i="27" s="1"/>
  <c r="A15" i="46"/>
  <c r="A17" i="46"/>
  <c r="A15" i="42"/>
  <c r="A17" i="42"/>
  <c r="H15" i="63"/>
  <c r="A15" i="40"/>
  <c r="A17" i="40"/>
  <c r="A14" i="48"/>
  <c r="A17" i="48"/>
  <c r="A14" i="47"/>
  <c r="A17" i="47"/>
  <c r="A14" i="57"/>
  <c r="A17" i="57"/>
  <c r="A14" i="53"/>
  <c r="A17" i="53"/>
  <c r="A14" i="49"/>
  <c r="A17" i="49"/>
  <c r="A14" i="43"/>
  <c r="A17" i="43"/>
  <c r="A14" i="44"/>
  <c r="A17" i="44"/>
  <c r="A14" i="45"/>
  <c r="A17" i="4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Bang gia CP!$B$1:$G$31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BanggiaCPB1G311"/>
        </x15:connection>
      </ext>
    </extLst>
  </connection>
  <connection id="3" xr16:uid="{00000000-0015-0000-FFFF-FFFF02000000}" name="WorksheetConnection_Bang gia CP!$E:$G" type="102" refreshedVersion="8" minRefreshableVersion="5">
    <extLst>
      <ext xmlns:x15="http://schemas.microsoft.com/office/spreadsheetml/2010/11/main" uri="{DE250136-89BD-433C-8126-D09CA5730AF9}">
        <x15:connection id="Range 1" autoDelete="1">
          <x15:rangePr sourceName="_xlcn.WorksheetConnection_BanggiaCPEG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<sst xmlns="http://schemas.openxmlformats.org/spreadsheetml/2006/main" count="13134" uniqueCount="3691">
  <si>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</si>
  <si>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</si>
  <si>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</si>
  <si>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</si>
  <si>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</si>
  <si>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</si>
  <si>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</si>
  <si>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</si>
  <si>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</si>
  <si>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</si>
  <si>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</si>
  <si>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</si>
  <si>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</si>
  <si>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</si>
  <si>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</si>
  <si>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Loại BCTC</t>
  </si>
  <si>
    <t>Mã</t>
  </si>
  <si>
    <t>Năm tài chính</t>
  </si>
  <si>
    <t>Timely</t>
  </si>
  <si>
    <t>P&amp;L</t>
  </si>
  <si>
    <t>CF</t>
  </si>
  <si>
    <t>Sử dụng tương tự như hàm  report_finance_vnd</t>
  </si>
  <si>
    <t>Hàm giao dịch khối ngoại</t>
  </si>
  <si>
    <t>giao_dich_tu_doanh(symbol,fromdate,todate)</t>
  </si>
  <si>
    <t>Hàm giao dịch tự doanh</t>
  </si>
  <si>
    <t>Hàm giao dịch nội bộ</t>
  </si>
  <si>
    <t>giao_dich_noi_bo(symbol,fromdate,todate)</t>
  </si>
  <si>
    <t>giao_dich_khoi_ngoai(symbol,fromdate,todate)</t>
  </si>
  <si>
    <t>Hàm đổi tỷ giá</t>
  </si>
  <si>
    <t>exchange_currency(current,cover_current,from_date,to_date)</t>
  </si>
  <si>
    <t>laisuat_vietstock(fromdate,todate)</t>
  </si>
  <si>
    <t>report_finance_vnd(symbol,report,year,timely)</t>
  </si>
  <si>
    <t>report_finance_cf(symbol,report,year,timely)</t>
  </si>
  <si>
    <t>Hàm lấy chỉ số CPI</t>
  </si>
  <si>
    <t>getCPI_vietstock(fromdate,todate)</t>
  </si>
  <si>
    <t>Hàm lấy số liệu sản xuất</t>
  </si>
  <si>
    <t>solieu_sanxuat_congnghiep(fromdate,todate)</t>
  </si>
  <si>
    <t>Hàm lấy số liệu bán lẻ</t>
  </si>
  <si>
    <t>Hàm lấy số liệu Xuất Nhập Khẩu</t>
  </si>
  <si>
    <t>solieu_XNK_vietstock(fromdate,todate)</t>
  </si>
  <si>
    <t>solieu_banle_vietstock(fromdate,todate)</t>
  </si>
  <si>
    <t>Hàm lấy tỷ giá theo vietstock</t>
  </si>
  <si>
    <t>tygia_vietstock(fromdate,todate)</t>
  </si>
  <si>
    <t>Hàm lấy số liệu tín dụng</t>
  </si>
  <si>
    <t>solieu_tindung_vietstock(fromdate,todate)</t>
  </si>
  <si>
    <t>Hàm lấy số liệu GDP</t>
  </si>
  <si>
    <t>solieu_GDP_vietstock(fromyear,fromQ,toyear,toQ)</t>
  </si>
  <si>
    <t>get_price_history_cafef(symbol,fromdate,todate)</t>
  </si>
  <si>
    <t>Hàm lấy lãi suất từ vietstock</t>
  </si>
  <si>
    <t>Hàm lẫy lãi suất từ cafef</t>
  </si>
  <si>
    <t>lai_suat_cafef()</t>
  </si>
  <si>
    <t>Hàm lấy giá chứng khoán từ cafef</t>
  </si>
  <si>
    <t>Hàm lấy báo cáo tài chính từ trang cafef</t>
  </si>
  <si>
    <t>Hàm lấy báo cáo tài chính từ công ty chứng khoán vndirect</t>
  </si>
  <si>
    <t>ví dụ =giao_dich_khoi_ngoai(ACB,20/08/2023,30/08/2023)</t>
  </si>
  <si>
    <t>ví dụ =giao_dich_noi_bo(ACB,20/08/2023,30/08/2023)</t>
  </si>
  <si>
    <t>ví dụ =giao_dich_tu_doanh(ACB,20/08/2023,30/08/2023)</t>
  </si>
  <si>
    <t>ví dụ: =report_finance_vnd(acb,bs,2023,quarter)</t>
  </si>
  <si>
    <t>ví dụ: =get_price_history_cafef(ACB,20/08/2023,30/08/2023)</t>
  </si>
  <si>
    <t>ví dụ =exchange_currency(USD,VND,20/08/2023,30/08/2023)</t>
  </si>
  <si>
    <t>ví dụ =lai_suat_cafef() không cần chuyền đối số</t>
  </si>
  <si>
    <t>ví dụ =laisuat_vietstock(20/08/2023,30/08/2023)</t>
  </si>
  <si>
    <t>ví dụ =getCPI_vietstock(20/08/2023,30/08/2023)</t>
  </si>
  <si>
    <t>ví dụ =solieu_sanxuat_congnghiep(20/08/2023,30/08/2023)</t>
  </si>
  <si>
    <t>ví dụ =solieu_banle_vietstock(20/08/2023,30/08/2023)</t>
  </si>
  <si>
    <t>ví dụ =solieu_XNK_vietstock(20/08/2023,30/08/2023)</t>
  </si>
  <si>
    <t>ví dụ =tygia_vietstock(20/08/2023,30/08/2023)</t>
  </si>
  <si>
    <t>ví dụ =solieu_tindung_vietstock(20/08/2023,30/08/2023)</t>
  </si>
  <si>
    <t>ví dụ =solieu_GDP_vietstock(2022,2,2023,4)</t>
  </si>
  <si>
    <t>Hàm lấy danh sách các công ty niêm yết</t>
  </si>
  <si>
    <t>list_company()</t>
  </si>
  <si>
    <t>ví dụ =list_company() không cần chuyền đối số</t>
  </si>
  <si>
    <t>update_company()</t>
  </si>
  <si>
    <t>Hàm cập nhật danh sách các công ty niêm yết theo thời gian thực</t>
  </si>
  <si>
    <t>ví dụ =update_company() không cần chuyền đối số</t>
  </si>
  <si>
    <t>Hàm kích thành viên giới hạn</t>
  </si>
  <si>
    <t>key_id(code)</t>
  </si>
  <si>
    <t>ví dụ: =key_id(mã code của bạn)</t>
  </si>
  <si>
    <t>Ghi chú:</t>
  </si>
  <si>
    <t>Đối với các hàm lấy báo cáo tài chính</t>
  </si>
  <si>
    <t>4 loại báo cáo gồm:</t>
  </si>
  <si>
    <t>loại thời gian báo cáo gồm:</t>
  </si>
  <si>
    <r>
      <rPr>
        <b/>
        <sz val="12"/>
        <color theme="1"/>
        <rFont val="Arial"/>
        <family val="2"/>
        <scheme val="minor"/>
      </rPr>
      <t>symbol:</t>
    </r>
    <r>
      <rPr>
        <sz val="12"/>
        <color theme="1"/>
        <rFont val="Arial"/>
        <family val="2"/>
        <scheme val="minor"/>
      </rPr>
      <t xml:space="preserve"> là ký hiệu mã cổ phiếu</t>
    </r>
  </si>
  <si>
    <r>
      <rPr>
        <b/>
        <sz val="12"/>
        <color theme="1"/>
        <rFont val="Arial"/>
        <family val="2"/>
        <scheme val="minor"/>
      </rPr>
      <t>fromdate:</t>
    </r>
    <r>
      <rPr>
        <sz val="12"/>
        <color theme="1"/>
        <rFont val="Arial"/>
        <family val="2"/>
        <scheme val="minor"/>
      </rPr>
      <t xml:space="preserve"> là ngày bắt đầu</t>
    </r>
  </si>
  <si>
    <r>
      <rPr>
        <b/>
        <sz val="12"/>
        <color theme="1"/>
        <rFont val="Arial"/>
        <family val="2"/>
        <scheme val="minor"/>
      </rPr>
      <t>todate:</t>
    </r>
    <r>
      <rPr>
        <sz val="12"/>
        <color theme="1"/>
        <rFont val="Arial"/>
        <family val="2"/>
        <scheme val="minor"/>
      </rPr>
      <t xml:space="preserve"> là ngày kết thúc</t>
    </r>
  </si>
  <si>
    <r>
      <rPr>
        <b/>
        <sz val="12"/>
        <color theme="1"/>
        <rFont val="Arial"/>
        <family val="2"/>
        <scheme val="minor"/>
      </rPr>
      <t>fromyear:</t>
    </r>
    <r>
      <rPr>
        <sz val="12"/>
        <color theme="1"/>
        <rFont val="Arial"/>
        <family val="2"/>
        <scheme val="minor"/>
      </rPr>
      <t xml:space="preserve"> là năm bắt đầu</t>
    </r>
  </si>
  <si>
    <r>
      <rPr>
        <b/>
        <sz val="12"/>
        <color theme="1"/>
        <rFont val="Arial"/>
        <family val="2"/>
        <scheme val="minor"/>
      </rPr>
      <t>toyear</t>
    </r>
    <r>
      <rPr>
        <sz val="12"/>
        <color theme="1"/>
        <rFont val="Arial"/>
        <family val="2"/>
        <scheme val="minor"/>
      </rPr>
      <t>: là năm kết thúc</t>
    </r>
  </si>
  <si>
    <r>
      <rPr>
        <b/>
        <sz val="12"/>
        <color theme="1"/>
        <rFont val="Arial"/>
        <family val="2"/>
        <scheme val="minor"/>
      </rPr>
      <t>fromQ:</t>
    </r>
    <r>
      <rPr>
        <sz val="12"/>
        <color theme="1"/>
        <rFont val="Arial"/>
        <family val="2"/>
        <scheme val="minor"/>
      </rPr>
      <t xml:space="preserve"> là quý bắt đầu</t>
    </r>
  </si>
  <si>
    <r>
      <rPr>
        <b/>
        <sz val="12"/>
        <color theme="1"/>
        <rFont val="Arial"/>
        <family val="2"/>
        <scheme val="minor"/>
      </rPr>
      <t>toQ:</t>
    </r>
    <r>
      <rPr>
        <sz val="12"/>
        <color theme="1"/>
        <rFont val="Arial"/>
        <family val="2"/>
        <scheme val="minor"/>
      </rPr>
      <t xml:space="preserve"> là quý kết thúc</t>
    </r>
  </si>
  <si>
    <r>
      <rPr>
        <b/>
        <sz val="12"/>
        <color theme="1"/>
        <rFont val="Arial"/>
        <family val="2"/>
        <scheme val="minor"/>
      </rPr>
      <t>Cân đối kế toán:</t>
    </r>
    <r>
      <rPr>
        <sz val="12"/>
        <color theme="1"/>
        <rFont val="Arial"/>
        <family val="2"/>
        <scheme val="minor"/>
      </rPr>
      <t xml:space="preserve"> BS - CDKT -BALANCESHEET</t>
    </r>
  </si>
  <si>
    <r>
      <rPr>
        <b/>
        <sz val="12"/>
        <color theme="1"/>
        <rFont val="Arial"/>
        <family val="2"/>
        <scheme val="minor"/>
      </rPr>
      <t>report:</t>
    </r>
    <r>
      <rPr>
        <sz val="12"/>
        <color theme="1"/>
        <rFont val="Arial"/>
        <family val="2"/>
        <scheme val="minor"/>
      </rPr>
      <t xml:space="preserve"> là loại báo cáo.</t>
    </r>
  </si>
  <si>
    <r>
      <rPr>
        <b/>
        <sz val="12"/>
        <color theme="1"/>
        <rFont val="Arial"/>
        <family val="2"/>
        <scheme val="minor"/>
      </rPr>
      <t>year:</t>
    </r>
    <r>
      <rPr>
        <sz val="12"/>
        <color theme="1"/>
        <rFont val="Arial"/>
        <family val="2"/>
        <scheme val="minor"/>
      </rPr>
      <t xml:space="preserve"> là năm tài chính cần lấy</t>
    </r>
  </si>
  <si>
    <r>
      <rPr>
        <b/>
        <sz val="12"/>
        <color theme="1"/>
        <rFont val="Arial"/>
        <family val="2"/>
        <scheme val="minor"/>
      </rPr>
      <t>timely:</t>
    </r>
    <r>
      <rPr>
        <sz val="12"/>
        <color theme="1"/>
        <rFont val="Arial"/>
        <family val="2"/>
        <scheme val="minor"/>
      </rPr>
      <t xml:space="preserve"> là loại thời gian năm hoặc quý</t>
    </r>
  </si>
  <si>
    <r>
      <rPr>
        <b/>
        <sz val="12"/>
        <color theme="1"/>
        <rFont val="Arial"/>
        <family val="2"/>
        <scheme val="minor"/>
      </rPr>
      <t xml:space="preserve">Kết quả kinh doanh: </t>
    </r>
    <r>
      <rPr>
        <sz val="12"/>
        <color theme="1"/>
        <rFont val="Arial"/>
        <family val="2"/>
        <scheme val="minor"/>
      </rPr>
      <t>P&amp;L - KQKD</t>
    </r>
  </si>
  <si>
    <r>
      <rPr>
        <b/>
        <sz val="12"/>
        <color theme="1"/>
        <rFont val="Arial"/>
        <family val="2"/>
        <scheme val="minor"/>
      </rPr>
      <t>Lưu chuyển tiền tệ:</t>
    </r>
    <r>
      <rPr>
        <sz val="12"/>
        <color theme="1"/>
        <rFont val="Arial"/>
        <family val="2"/>
        <scheme val="minor"/>
      </rPr>
      <t xml:space="preserve"> CFD - LCTT</t>
    </r>
  </si>
  <si>
    <r>
      <rPr>
        <b/>
        <sz val="12"/>
        <color theme="1"/>
        <rFont val="Arial"/>
        <family val="2"/>
        <scheme val="minor"/>
      </rPr>
      <t xml:space="preserve">Năm: </t>
    </r>
    <r>
      <rPr>
        <sz val="12"/>
        <color theme="1"/>
        <rFont val="Arial"/>
        <family val="2"/>
        <scheme val="minor"/>
      </rPr>
      <t>YEAR - NAM</t>
    </r>
  </si>
  <si>
    <r>
      <rPr>
        <b/>
        <sz val="12"/>
        <color theme="1"/>
        <rFont val="Arial"/>
        <family val="2"/>
        <scheme val="minor"/>
      </rPr>
      <t xml:space="preserve">Quý: </t>
    </r>
    <r>
      <rPr>
        <sz val="12"/>
        <color theme="1"/>
        <rFont val="Arial"/>
        <family val="2"/>
        <scheme val="minor"/>
      </rPr>
      <t>QUARTER - QUY</t>
    </r>
  </si>
  <si>
    <t>Để hoạt động hiệu quả cần khai báo biến vào ô giá trị trước, rồi sử dụng hàm.</t>
  </si>
  <si>
    <t>BS</t>
  </si>
  <si>
    <t>Hàm lấy lịch sử giá cổ phiếu từ vndirect</t>
  </si>
  <si>
    <t>get_price_historical_vnd(symbol,fromdate,todate)</t>
  </si>
  <si>
    <t>ví dụ: =get_price_historical_vnd(ACB,20/08/2023,30/08/2023)</t>
  </si>
  <si>
    <t>Hello xlwings!</t>
  </si>
  <si>
    <t>1uTMdKCqJ7SivAxd8rdsu_5eQoLs8p_OK</t>
  </si>
  <si>
    <t>TÀI SẢN NGẮN HẠN</t>
  </si>
  <si>
    <t>NỢ PHẢI TRẢ</t>
  </si>
  <si>
    <t>SSI</t>
  </si>
  <si>
    <t>TỔNG CỘNG TÀI SẢN</t>
  </si>
  <si>
    <t>VỐN CHỦ SỞ HỮU</t>
  </si>
  <si>
    <t>HPG</t>
  </si>
  <si>
    <t>SHB</t>
  </si>
  <si>
    <t>TCB</t>
  </si>
  <si>
    <t xml:space="preserve">A: Annual Earnings Increases: </t>
  </si>
  <si>
    <t>VAY VÀ NỢ NGẮN HẠN</t>
  </si>
  <si>
    <t>LỢI NHUẬN SAU THUẾ CHƯA PHÂN PHỐI</t>
  </si>
  <si>
    <t>CHI PHÍ PHẢI TRẢ</t>
  </si>
  <si>
    <t>LỢI ÍCH CỔ ĐÔNG KHÔNG KIỂM SOÁT</t>
  </si>
  <si>
    <t>HSG</t>
  </si>
  <si>
    <t>ACB</t>
  </si>
  <si>
    <t>VND</t>
  </si>
  <si>
    <t>DOANH THU THUẦN</t>
  </si>
  <si>
    <t>AGG</t>
  </si>
  <si>
    <t>NVL</t>
  </si>
  <si>
    <t>VCB</t>
  </si>
  <si>
    <t>THU NHẬP LÃI VÀ CÁC KHOẢN THU NHẬP TƯƠNG TỰ</t>
  </si>
  <si>
    <t/>
  </si>
  <si>
    <t>Công ty</t>
  </si>
  <si>
    <t>Ngành</t>
  </si>
  <si>
    <t>Sàn</t>
  </si>
  <si>
    <t>Khối lượng NY/ĐKGD</t>
  </si>
  <si>
    <t>Ngành Cấp 3</t>
  </si>
  <si>
    <t>Ngành Cấp 2</t>
  </si>
  <si>
    <t>Ngành Cấp 1</t>
  </si>
  <si>
    <t>A32</t>
  </si>
  <si>
    <t>CÔNG TY CỔ PHẦN 32</t>
  </si>
  <si>
    <t>GIẦY DÉP</t>
  </si>
  <si>
    <t>UPCOM</t>
  </si>
  <si>
    <t>HÀNG CÁ NHÂN</t>
  </si>
  <si>
    <t>HÀNG CÁ NHÂN &amp; GIA DỤNG</t>
  </si>
  <si>
    <t>HÀNG TIÊU DÙNG</t>
  </si>
  <si>
    <t>AAA</t>
  </si>
  <si>
    <t>CÔNG TY CỔ PHẦN NHỰA AN PHÁT XANH</t>
  </si>
  <si>
    <t>NHỰA, CAO SU &amp; SỢI</t>
  </si>
  <si>
    <t>HOSE</t>
  </si>
  <si>
    <t>HÓA CHẤT</t>
  </si>
  <si>
    <t>NGUYÊN VẬT LIỆU</t>
  </si>
  <si>
    <t>AAH</t>
  </si>
  <si>
    <t>CÔNG TY CỔ PHẦN HỢP NHẤT</t>
  </si>
  <si>
    <t>KHAI THÁC THAN</t>
  </si>
  <si>
    <t>KHAI KHOÁNG</t>
  </si>
  <si>
    <t>TÀI NGUYÊN CƠ BẢN</t>
  </si>
  <si>
    <t>AAM</t>
  </si>
  <si>
    <t>CÔNG TY CỔ PHẦN THỦY SẢN MEKONG</t>
  </si>
  <si>
    <t>NUÔI TRỒNG NÔNG &amp; HẢI SẢN</t>
  </si>
  <si>
    <t>SẢN XUẤT THỰC PHẨM</t>
  </si>
  <si>
    <t>THỰC PHẨM VÀ ĐỒ UỐNG</t>
  </si>
  <si>
    <t>AAS</t>
  </si>
  <si>
    <t>CÔNG TY CỔ PHẦN CHỨNG KHOÁN SMART INVEST</t>
  </si>
  <si>
    <t>MÔI GIỚI CHỨNG KHOÁN</t>
  </si>
  <si>
    <t>DỊCH VỤ TÀI CHÍNH</t>
  </si>
  <si>
    <t>TÀI CHÍNH</t>
  </si>
  <si>
    <t>AAT</t>
  </si>
  <si>
    <t>CÔNG TY CỔ PHẦN TIÊN SƠN THANH HOÁ</t>
  </si>
  <si>
    <t>HÀNG MAY MẶC</t>
  </si>
  <si>
    <t>AAV</t>
  </si>
  <si>
    <t>CÔNG TY CỔ PHẦN VIỆT TIÊN SƠN ĐỊA ỐC</t>
  </si>
  <si>
    <t>BẤT ĐỘNG SẢN</t>
  </si>
  <si>
    <t>HNX</t>
  </si>
  <si>
    <t>ABB</t>
  </si>
  <si>
    <t>NGÂN HÀNG THƯƠNG MẠI CỔ PHẦN AN BÌNH</t>
  </si>
  <si>
    <t>NGÂN HÀNG</t>
  </si>
  <si>
    <t>ABC</t>
  </si>
  <si>
    <t>CÔNG TY CỔ PHẦN TRUYỀN THÔNG VMG</t>
  </si>
  <si>
    <t>VIỄN THÔNG DI ĐỘNG</t>
  </si>
  <si>
    <t>VIỄN THÔNG</t>
  </si>
  <si>
    <t>ABI</t>
  </si>
  <si>
    <t>CÔNG TY CỔ PHẦN BẢO HIỂM NGÂN HÀNG NÔNG NGHIỆP</t>
  </si>
  <si>
    <t>BẢO HIỂM PHI NHÂN THỌ</t>
  </si>
  <si>
    <t>BẢO HIỂM</t>
  </si>
  <si>
    <t>ABR</t>
  </si>
  <si>
    <t>CÔNG TY CỔ PHẦN ĐẦU TƯ NHÃN HIỆU VIỆT</t>
  </si>
  <si>
    <t>TƯ VẤN &amp; HỖ TRỢ KD</t>
  </si>
  <si>
    <t>TƯ VẤN &amp; HỖ TRỢ KINH DOANH</t>
  </si>
  <si>
    <t>HÀNG &amp; DỊCH VỤ CÔNG NGHIỆP</t>
  </si>
  <si>
    <t>CÔNG NGHIỆP</t>
  </si>
  <si>
    <t>ABS</t>
  </si>
  <si>
    <t>CÔNG TY CỔ PHẦN DỊCH VỤ NÔNG NGHIỆP BÌNH THUẬN</t>
  </si>
  <si>
    <t>ABT</t>
  </si>
  <si>
    <t>CÔNG TY CỔ PHẦN XUẤT NHẬP KHẨU THỦY SẢN BẾN TRE</t>
  </si>
  <si>
    <t>ABW</t>
  </si>
  <si>
    <t>CÔNG TY CỔ PHẦN CHỨNG KHOÁN AN BÌNH</t>
  </si>
  <si>
    <t>NGÂN HÀNG THƯƠNG MẠI CỔ PHẦN Á CHÂU</t>
  </si>
  <si>
    <t>ACC</t>
  </si>
  <si>
    <t>CÔNG TY CỔ PHẦN ĐẦU TƯ VÀ XÂY DỰNG BÌNH DƯƠNG ACC</t>
  </si>
  <si>
    <t>VẬT LIỆU XÂY DỰNG &amp; NỘI THẤT</t>
  </si>
  <si>
    <t>XÂY DỰNG VÀ VẬT LIỆU</t>
  </si>
  <si>
    <t>ACE</t>
  </si>
  <si>
    <t>CÔNG TY CỔ PHẦN BÊ TÔNG LY TÂM AN GIANG</t>
  </si>
  <si>
    <t>ACG</t>
  </si>
  <si>
    <t>CÔNG TY CỔ PHẦN GỖ AN CƯỜNG</t>
  </si>
  <si>
    <t>LÂM SẢN VÀ CHẾ BIẾN GỖ</t>
  </si>
  <si>
    <t>LÂM NGHIỆP VÀ GIẤY</t>
  </si>
  <si>
    <t>ACL</t>
  </si>
  <si>
    <t>CÔNG TY CỔ PHẦN XUẤT NHẬP KHẨU THỦY SẢN CỬU LONG AN GIANG</t>
  </si>
  <si>
    <t>ACM</t>
  </si>
  <si>
    <t>CÔNG TY CỔ PHẦN TẬP ĐOÀN KHOÁNG SẢN Á CƯỜNG</t>
  </si>
  <si>
    <t>ACS</t>
  </si>
  <si>
    <t>CÔNG TY CỔ PHẦN XÂY LẮP THƯƠNG MẠI 2</t>
  </si>
  <si>
    <t>XÂY DỰNG</t>
  </si>
  <si>
    <t>ACV</t>
  </si>
  <si>
    <t>TỔNG CÔNG TY CẢNG HÀNG KHÔNG VIỆT NAM - CTCP</t>
  </si>
  <si>
    <t>KHO BÃI, HẬU CẦN VÀ BẢO DƯỠNG</t>
  </si>
  <si>
    <t>VẬN TẢI</t>
  </si>
  <si>
    <t>ADC</t>
  </si>
  <si>
    <t>CÔNG TY CỔ PHẦN MĨ THUẬT VÀ TRUYỀN THÔNG</t>
  </si>
  <si>
    <t>SÁCH, ẤN BẢN &amp; SẢN PHẨM VĂN HÓA</t>
  </si>
  <si>
    <t>TRUYỀN THÔNG</t>
  </si>
  <si>
    <t>DỊCH VỤ TIÊU DÙNG</t>
  </si>
  <si>
    <t>ADG</t>
  </si>
  <si>
    <t>CÔNG TY CỔ PHẦN CLEVER GROUP</t>
  </si>
  <si>
    <t>DỊCH VỤ TRUYỀN THÔNG</t>
  </si>
  <si>
    <t>ADP</t>
  </si>
  <si>
    <t>CÔNG TY CỔ PHẦN SƠN Á ĐÔNG</t>
  </si>
  <si>
    <t>ADS</t>
  </si>
  <si>
    <t>CÔNG TY CỔ PHẦN DAMSAN</t>
  </si>
  <si>
    <t>AFX</t>
  </si>
  <si>
    <t>CÔNG TY CỔ PHẦN XUẤT NHẬP KHẨU NÔNG SẢN THỰC PHẨM AN GIANG</t>
  </si>
  <si>
    <t>PHÂN PHỐI THỰC PHẨM</t>
  </si>
  <si>
    <t>PHÂN PHỐI THỰC PHẨM &amp; DƯỢC PHẨM</t>
  </si>
  <si>
    <t>BÁN LẺ</t>
  </si>
  <si>
    <t>AG1</t>
  </si>
  <si>
    <t>CÔNG TY CỔ PHẦN 28.1</t>
  </si>
  <si>
    <t>AGF</t>
  </si>
  <si>
    <t>CÔNG TY CỔ PHẦN XUẤT NHẬP KHẨU THỦY SẢN AN GIANG</t>
  </si>
  <si>
    <t>CTCP ĐẦU TƯ VÀ PHÁT TRIỂN BẤT ĐỘNG SẢN AN GIA</t>
  </si>
  <si>
    <t>AGM</t>
  </si>
  <si>
    <t>CÔNG TY CỔ PHẦN XUẤT NHẬP KHẨU AN GIANG</t>
  </si>
  <si>
    <t>THỰC PHẨM</t>
  </si>
  <si>
    <t>AGP</t>
  </si>
  <si>
    <t>CÔNG TY CỔ PHẦN DƯỢC PHẨM AGIMEXPHARM</t>
  </si>
  <si>
    <t>DƯỢC PHẨM</t>
  </si>
  <si>
    <t>Y TẾ</t>
  </si>
  <si>
    <t>DƯỢC PHẨM VÀ Y TẾ</t>
  </si>
  <si>
    <t>AGR</t>
  </si>
  <si>
    <t>CÔNG TY CỔ PHẦN CHỨNG KHOÁN AGRIBANK</t>
  </si>
  <si>
    <t>AGX</t>
  </si>
  <si>
    <t>CÔNG TY CỔ PHẦN THỰC PHẨM NÔNG SẢN XUẤT KHẨU SÀI GÒN</t>
  </si>
  <si>
    <t>AIC</t>
  </si>
  <si>
    <t>CÔNG TY CỔ PHẦN BẢO HIỂM HÀNG KHÔNG</t>
  </si>
  <si>
    <t>ALT</t>
  </si>
  <si>
    <t>CÔNG TY CỔ PHẦN VĂN HOÁ TÂN BÌNH</t>
  </si>
  <si>
    <t>ALV</t>
  </si>
  <si>
    <t>CÔNG TY CỔ PHẦN XÂY DỰNG ALVICO</t>
  </si>
  <si>
    <t>AMC</t>
  </si>
  <si>
    <t>CÔNG TY CỔ PHẦN KHOÁNG SẢN Á CHÂU</t>
  </si>
  <si>
    <t>AMD</t>
  </si>
  <si>
    <t>CÔNG TY CỔ PHẦN ĐẦU TƯ VÀ KHOÁNG SẢN FLC STONE</t>
  </si>
  <si>
    <t>AME</t>
  </si>
  <si>
    <t>CÔNG TY CỔ PHẦN ALPHANAM E&amp;C</t>
  </si>
  <si>
    <t>THIẾT BỊ ĐIỆN</t>
  </si>
  <si>
    <t>ĐIỆN TỬ &amp; THIẾT BỊ ĐIỆN</t>
  </si>
  <si>
    <t>AMP</t>
  </si>
  <si>
    <t>CÔNG TY CỔ PHẦN ARMEPHACO</t>
  </si>
  <si>
    <t>AMS</t>
  </si>
  <si>
    <t>CÔNG TY CỔ PHẦN CƠ KHÍ XÂY DỰNG AMECC</t>
  </si>
  <si>
    <t>NHÀ CUNG CẤP THIẾT BỊ</t>
  </si>
  <si>
    <t>AMV</t>
  </si>
  <si>
    <t>CÔNG TY CỔ PHẦN SẢN XUẤT KINH DOANH DƯỢC VÀ TRANG THIẾT BỊ Y TẾ VIỆT MỸ</t>
  </si>
  <si>
    <t>THIẾT BỊ Y TẾ</t>
  </si>
  <si>
    <t>THIẾT BỊ VÀ DỊCH VỤ Y TẾ</t>
  </si>
  <si>
    <t>ANT</t>
  </si>
  <si>
    <t>CÔNG TY CỔ PHẦN RAU QUẢ THỰC PHẨM AN GIANG</t>
  </si>
  <si>
    <t>ANV</t>
  </si>
  <si>
    <t>CÔNG TY CỔ PHẦN NAM VIỆT</t>
  </si>
  <si>
    <t>APC</t>
  </si>
  <si>
    <t>CÔNG TY CỔ PHẦN CHIẾU XẠ AN PHÚ</t>
  </si>
  <si>
    <t>CÔNG NGHỆ SINH HỌC</t>
  </si>
  <si>
    <t>APF</t>
  </si>
  <si>
    <t>CÔNG TY CỔ PHẦN NÔNG SẢN THỰC PHẨM QUẢNG NGÃI</t>
  </si>
  <si>
    <t>APG</t>
  </si>
  <si>
    <t>CÔNG TY CỔ PHẦN CHỨNG KHOÁN APG</t>
  </si>
  <si>
    <t>APH</t>
  </si>
  <si>
    <t>CÔNG TY CỔ PHẦN TẬP ĐOÀN AN PHÁT HOLDINGS</t>
  </si>
  <si>
    <t>CONTAINERS &amp; ĐÓNG GÓI</t>
  </si>
  <si>
    <t>HÀNG CÔNG NGHIỆP</t>
  </si>
  <si>
    <t>API</t>
  </si>
  <si>
    <t>CÔNG TY CỔ PHẦN ĐẦU TƯ CHÂU Á - THÁI BÌNH DƯƠNG</t>
  </si>
  <si>
    <t>APL</t>
  </si>
  <si>
    <t>CÔNG TY CỔ PHẦN CƠ KHÍ VÀ THIẾT BỊ ÁP LỰC - VVMI</t>
  </si>
  <si>
    <t>MÁY CÔNG NGHIỆP</t>
  </si>
  <si>
    <t>CÔNG NGHIỆP NẶNG</t>
  </si>
  <si>
    <t>APP</t>
  </si>
  <si>
    <t>CÔNG TY CỔ PHẦN PHÁT TRIỂN PHỤ GIA VÀ SẢN PHẨM DẦU MỎ</t>
  </si>
  <si>
    <t>SẢN PHẨM HÓA DẦU, NÔNG DƯỢC &amp; HÓA CHẤT KHÁC</t>
  </si>
  <si>
    <t>APS</t>
  </si>
  <si>
    <t>CÔNG TY CỔ PHẦN CHỨNG KHOÁN CHÂU Á – THÁI BÌNH DƯƠNG</t>
  </si>
  <si>
    <t>APT</t>
  </si>
  <si>
    <t>CÔNG TY CỔ PHẦN KINH DOANH THỦY HẢI SẢN SÀI GÒN</t>
  </si>
  <si>
    <t>ARM</t>
  </si>
  <si>
    <t>CÔNG TY CỔ PHẦN XUẤT NHẬP KHẨU HÀNG KHÔNG</t>
  </si>
  <si>
    <t>ART</t>
  </si>
  <si>
    <t>CÔNG TY CỔ PHẦN CHỨNG KHOÁN BOS</t>
  </si>
  <si>
    <t>ASA</t>
  </si>
  <si>
    <t>CÔNG TY CỔ PHẦN TẬP ĐOÀN ASA</t>
  </si>
  <si>
    <t>ASG</t>
  </si>
  <si>
    <t>CỔ PHIẾU CÔNG TY CỔ PHẦN TẬP ĐOÀN ASG</t>
  </si>
  <si>
    <t>ASM</t>
  </si>
  <si>
    <t>CÔNG TY CỔ PHẦN TẬP ĐOÀN SAO MAI</t>
  </si>
  <si>
    <t>ASP</t>
  </si>
  <si>
    <t>CÔNG TY CỔ PHẦN TẬP ĐOÀN DẦU KHÍ AN PHA</t>
  </si>
  <si>
    <t>PHÂN PHỐI XĂNG DẦU &amp; KHÍ ĐỐT</t>
  </si>
  <si>
    <t>NƯỚC &amp; KHÍ ĐỐT</t>
  </si>
  <si>
    <t>ĐIỆN, NƯỚC &amp; XĂNG DẦU KHÍ ĐỐT</t>
  </si>
  <si>
    <t>TIỆN ÍCH CỘNG ĐỒNG</t>
  </si>
  <si>
    <t>AST</t>
  </si>
  <si>
    <t>CÔNG TY CỔ PHẦN DỊCH VỤ HÀNG KHÔNG TASECO</t>
  </si>
  <si>
    <t>PHÂN PHỐI HÀNG CHUYÊN DỤNG</t>
  </si>
  <si>
    <t>ATA</t>
  </si>
  <si>
    <t>CÔNG TY CỔ PHẦN NTACO</t>
  </si>
  <si>
    <t>ATB</t>
  </si>
  <si>
    <t>CÔNG TY CỔ PHẦN AN THỊNH</t>
  </si>
  <si>
    <t>ATG</t>
  </si>
  <si>
    <t>CÔNG TY CỔ PHẦN AN TRƯỜNG AN</t>
  </si>
  <si>
    <t>ATS</t>
  </si>
  <si>
    <t>CÔNG TY CỔ PHẦN TẬP ĐOÀN DƯỢC PHẨM ATESCO</t>
  </si>
  <si>
    <t>NHÀ HÀNG VÀ QUÁN BAR</t>
  </si>
  <si>
    <t>DU LỊCH &amp; GIẢI TRÍ</t>
  </si>
  <si>
    <t>DU LỊCH VÀ GIẢI TRÍ</t>
  </si>
  <si>
    <t>AVC</t>
  </si>
  <si>
    <t>CÔNG TY CỔ PHẦN THỦY ĐIỆN A VƯƠNG</t>
  </si>
  <si>
    <t>SẢN XUẤT &amp; PHÂN PHỐI ĐIỆN</t>
  </si>
  <si>
    <t>AVF</t>
  </si>
  <si>
    <t>CÔNG TY CỔ PHẦN VIỆT AN</t>
  </si>
  <si>
    <t>BAB</t>
  </si>
  <si>
    <t>NGÂN HÀNG THƯƠNG MẠI CỔ PHẦN BẮC Á</t>
  </si>
  <si>
    <t>BAF</t>
  </si>
  <si>
    <t>CÔNG TY CỔ PHẦN NÔNG NGHIỆP BAF VIỆT NAM</t>
  </si>
  <si>
    <t>BAL</t>
  </si>
  <si>
    <t>CÔNG TY CỔ PHẦN BAO BÌ BIA – RƯỢU – NƯỚC GIẢI KHÁT</t>
  </si>
  <si>
    <t>BAX</t>
  </si>
  <si>
    <t>CÔNG TY CỔ PHẦN THỐNG NHẤT</t>
  </si>
  <si>
    <t>BBC</t>
  </si>
  <si>
    <t>CÔNG TY CỔ PHẦN BIBICA</t>
  </si>
  <si>
    <t>BBH</t>
  </si>
  <si>
    <t>CÔNG TY CỔ PHẦN BAO BÌ HOÀNG THẠCH</t>
  </si>
  <si>
    <t>BBM</t>
  </si>
  <si>
    <t>CÔNG TY CỔ PHẦN BIA HÀ NỘI - NAM ĐỊNH</t>
  </si>
  <si>
    <t>SẢN XUẤT BIA</t>
  </si>
  <si>
    <t>BIA VÀ ĐỒ UỐNG</t>
  </si>
  <si>
    <t>BBS</t>
  </si>
  <si>
    <t>CÔNG TY CỔ PHẦN VICEM BAO BÌ BÚT SƠN</t>
  </si>
  <si>
    <t>BBT</t>
  </si>
  <si>
    <t>CÔNG TY CỔ PHẦN BÔNG BẠCH TUYẾT</t>
  </si>
  <si>
    <t>BCA</t>
  </si>
  <si>
    <t>CÔNG TY CỔ PHẦN B.C.H</t>
  </si>
  <si>
    <t>THÉP VÀ SẢN PHẨM THÉP</t>
  </si>
  <si>
    <t>KIM LOẠI</t>
  </si>
  <si>
    <t>BCB</t>
  </si>
  <si>
    <t>CÔNG TY CỔ PHẦN 397</t>
  </si>
  <si>
    <t>BCC</t>
  </si>
  <si>
    <t>CÔNG TY CỔ PHẦN XI MĂNG BỈM SƠN</t>
  </si>
  <si>
    <t>BCE</t>
  </si>
  <si>
    <t>CÔNG TY CỔ PHẦN XÂY DỰNG VÀ GIAO THÔNG BÌNH DƯƠNG</t>
  </si>
  <si>
    <t>BCF</t>
  </si>
  <si>
    <t>CÔNG TY CỔ PHẦN THỰC PHẨM BÍCH CHI</t>
  </si>
  <si>
    <t>BCG</t>
  </si>
  <si>
    <t>CÔNG TY CỔ PHẦN BAMBOO CAPITAL</t>
  </si>
  <si>
    <t>TÀI CHÍNH ĐẶC BIỆT</t>
  </si>
  <si>
    <t>BCM</t>
  </si>
  <si>
    <t>TỔNG CÔNG TY ĐẦU TƯ VÀ PHÁT TRIỂN CÔNG NGHIỆP - CTCP</t>
  </si>
  <si>
    <t>BCP</t>
  </si>
  <si>
    <t>CÔNG TY CỔ PHẦN DƯỢC BECAMEX</t>
  </si>
  <si>
    <t>BCR</t>
  </si>
  <si>
    <t>CÔNG TY CỔ PHẦN BCG LAND</t>
  </si>
  <si>
    <t>BCV</t>
  </si>
  <si>
    <t>CÔNG TY CỔ PHẦN DU LỊCH VÀ THƯƠNG MẠI BẰNG GIANG CAO BẰNG - VIMICO</t>
  </si>
  <si>
    <t>KHÁCH SẠN</t>
  </si>
  <si>
    <t>BDG</t>
  </si>
  <si>
    <t>CÔNG TY CỔ PHẦN MAY MẶC BÌNH DƯƠNG</t>
  </si>
  <si>
    <t>BDT</t>
  </si>
  <si>
    <t>CÔNG TY CỔ PHẦN XÂY LẮP VÀ VẬT LIỆU XÂY DỰNG ĐỒNG THÁP</t>
  </si>
  <si>
    <t>BDW</t>
  </si>
  <si>
    <t>CÔNG TY CỔ PHẦN CẤP THOÁT NƯỚC BÌNH ĐỊNH</t>
  </si>
  <si>
    <t>NƯỚC</t>
  </si>
  <si>
    <t>BED</t>
  </si>
  <si>
    <t>CÔNG TY CỔ PHẦN SÁCH VÀ THIẾT BỊ TRƯỜNG HỌC ĐÀ NẴNG</t>
  </si>
  <si>
    <t>BEL</t>
  </si>
  <si>
    <t>CÔNG TY CỔ PHẦN ĐIỆN TỬ BIÊN HÒA</t>
  </si>
  <si>
    <t>ĐIỆN TỬ TIÊU DÙNG</t>
  </si>
  <si>
    <t>HÀNG HÓA GIẢI TRÍ</t>
  </si>
  <si>
    <t>BFC</t>
  </si>
  <si>
    <t>CÔNG TY CỔ PHẦN PHÂN BÓN BÌNH ĐIỀN</t>
  </si>
  <si>
    <t>BGW</t>
  </si>
  <si>
    <t>CÔNG TY CỔ PHẦN NƯỚC SẠCH BẮC GIANG</t>
  </si>
  <si>
    <t>BHA</t>
  </si>
  <si>
    <t>CÔNG TY CỔ PHẦN THỦY ĐIỆN BẮC HÀ</t>
  </si>
  <si>
    <t>BHC</t>
  </si>
  <si>
    <t>CÔNG TY CỔ PHẦN BÊ TÔNG BIÊN HÒA</t>
  </si>
  <si>
    <t>BHG</t>
  </si>
  <si>
    <t>CÔNG TY CỔ PHẦN CHÈ BIỂN HỒ</t>
  </si>
  <si>
    <t>ĐỒ UỐNG &amp; GIẢI KHÁT</t>
  </si>
  <si>
    <t>BHI</t>
  </si>
  <si>
    <t>TỔNG CÔNG TY CỔ PHẦN BẢO HIỂM SÀI GÒN - HÀ NỘI</t>
  </si>
  <si>
    <t>BHK</t>
  </si>
  <si>
    <t>CÔNG TY CỔ PHẦN BIA HÀ NỘI - KIM BÀI</t>
  </si>
  <si>
    <t>BHN</t>
  </si>
  <si>
    <t>TỔNG CÔNG TY CỔ PHẦN BIA - RƯỢU - NƯỚC GIẢI KHÁT HÀ NỘI</t>
  </si>
  <si>
    <t>BHP</t>
  </si>
  <si>
    <t>CÔNG TY CỔ PHẦN BIA HÀ NỘI - HẢI PHÒNG</t>
  </si>
  <si>
    <t>BIC</t>
  </si>
  <si>
    <t>TỔNG CÔNG TY CỔ PHẦN BẢO HIỂM NGÂN HÀNG ĐẦU TƯ VÀ PHÁT TRIỂN VIỆT NAM</t>
  </si>
  <si>
    <t>BID</t>
  </si>
  <si>
    <t>NGÂN HÀNG THƯƠNG MẠI CỔ PHẦN ĐẦU TƯ VÀ PHÁT TRIỂN VIỆT NAM</t>
  </si>
  <si>
    <t>BIG</t>
  </si>
  <si>
    <t>CÔNG TY CỔ PHẦN BIG INVEST GROUP</t>
  </si>
  <si>
    <t>TƯ VẤN, ĐỊNH GIÁ, MÔI GIỚI BẤT ĐỘNG SẢN</t>
  </si>
  <si>
    <t>BII</t>
  </si>
  <si>
    <t>CÔNG TY CỔ PHẦN LOUIS LAND</t>
  </si>
  <si>
    <t>BIO</t>
  </si>
  <si>
    <t>CÔNG TY CỔ PHẦN VẮC XIN VÀ SINH PHẨM NHA TRANG</t>
  </si>
  <si>
    <t>BKC</t>
  </si>
  <si>
    <t>CÔNG TY CỔ PHẦN KHOÁNG SẢN BẮC KẠN</t>
  </si>
  <si>
    <t>BKG</t>
  </si>
  <si>
    <t>CÔNG TY CỔ PHẦN ĐẦU TƯ BKG VIỆT NAM</t>
  </si>
  <si>
    <t>BLF</t>
  </si>
  <si>
    <t>CÔNG TY CỔ PHẦN THỦY SẢN BẠC LIÊU</t>
  </si>
  <si>
    <t>BLI</t>
  </si>
  <si>
    <t>TỔNG CÔNG TY CỔ PHẦN BẢO HIỂM BẢO LONG</t>
  </si>
  <si>
    <t>BLN</t>
  </si>
  <si>
    <t>CÔNG TY CỔ PHẦN VẬN TẢI VÀ DỊCH VỤ LIÊN NINH</t>
  </si>
  <si>
    <t>VẬN TẢI HÀNH KHÁCH &amp; DU LỊCH</t>
  </si>
  <si>
    <t>BLT</t>
  </si>
  <si>
    <t>CÔNG TY CỔ PHẦN LƯƠNG THỰC BÌNH ĐỊNH</t>
  </si>
  <si>
    <t>BMC</t>
  </si>
  <si>
    <t>CÔNG TY CỔ PHẦN KHOÁNG SẢN BÌNH ĐỊNH</t>
  </si>
  <si>
    <t>BMD</t>
  </si>
  <si>
    <t>CÔNG TY CỔ PHẦN MÔI TRƯỜNG VÀ DỊCH VỤ ĐÔ THỊ BÌNH THUẬN</t>
  </si>
  <si>
    <t>CHẤT THẢI &amp; MÔI TRƯỜNG</t>
  </si>
  <si>
    <t>BMF</t>
  </si>
  <si>
    <t>CÔNG TY CỔ PHẦN VẬT LIỆU XÂY DỰNG VÀ CHẤT ĐỐT ĐỒNG NAI</t>
  </si>
  <si>
    <t>BMG</t>
  </si>
  <si>
    <t>CÔNG TY CỔ PHẦN MAY BÌNH MINH</t>
  </si>
  <si>
    <t>BMI</t>
  </si>
  <si>
    <t>TỔNG CÔNG TY CỔ PHẦN BẢO MINH</t>
  </si>
  <si>
    <t>BMJ</t>
  </si>
  <si>
    <t>CÔNG TY CỔ PHẦN KHOÁNG SẢN MIỀN ĐÔNG AHP</t>
  </si>
  <si>
    <t>BMP</t>
  </si>
  <si>
    <t>CÔNG TY CỔ PHẦN NHỰA BÌNH MINH</t>
  </si>
  <si>
    <t>BMS</t>
  </si>
  <si>
    <t>CÔNG TY CỔ PHẦN CHỨNG KHOÁN BẢO MINH</t>
  </si>
  <si>
    <t>BMV</t>
  </si>
  <si>
    <t>CÔNG TY CỔ PHẦN BỘT MỲ VINAFOOD 1</t>
  </si>
  <si>
    <t>BNA</t>
  </si>
  <si>
    <t>CÔNG TY CỔ PHẦN ĐẦU TƯ SẢN XUẤT BẢO NGỌC</t>
  </si>
  <si>
    <t>BNW</t>
  </si>
  <si>
    <t>CÔNG TY CỔ PHẦN NƯỚC SẠCH BẮC NINH</t>
  </si>
  <si>
    <t>BOT</t>
  </si>
  <si>
    <t>CÔNG TY CỔ PHẦN BOT CẦU THÁI HÀ</t>
  </si>
  <si>
    <t>BPC</t>
  </si>
  <si>
    <t>CÔNG TY CỔ PHẦN VICEM BAO BÌ BỈM SƠN</t>
  </si>
  <si>
    <t>BQB</t>
  </si>
  <si>
    <t>CÔNG TY CỔ PHẦN BIA HÀ NỘI - QUẢNG BÌNH</t>
  </si>
  <si>
    <t>BRC</t>
  </si>
  <si>
    <t>CÔNG TY CỔ PHẦN CAO SU BẾN THÀNH</t>
  </si>
  <si>
    <t>BRR</t>
  </si>
  <si>
    <t>CÔNG TY CỔ PHẦN CAO SU BÀ RỊA</t>
  </si>
  <si>
    <t>BRS</t>
  </si>
  <si>
    <t>CÔNG TY CỔ PHẦN DỊCH VỤ ĐÔ THỊ BÀ RỊA</t>
  </si>
  <si>
    <t>BSA</t>
  </si>
  <si>
    <t>CÔNG TY CỔ PHẦN THỦY ĐIỆN BUÔN ĐÔN</t>
  </si>
  <si>
    <t>BSC</t>
  </si>
  <si>
    <t>CÔNG TY CỔ PHẦN DỊCH VỤ BẾN THÀNH</t>
  </si>
  <si>
    <t>BSD</t>
  </si>
  <si>
    <t>CÔNG TY CỔ PHẦN BIA, RƯỢU SÀI GÒN - ĐỒNG XUÂN</t>
  </si>
  <si>
    <t>BSG</t>
  </si>
  <si>
    <t>CÔNG TY CỔ PHẦN XE KHÁCH SÀI GÒN</t>
  </si>
  <si>
    <t>BSH</t>
  </si>
  <si>
    <t>CÔNG TY CỔ PHẦN BIA SÀI GÒN - HÀ NỘI</t>
  </si>
  <si>
    <t>BSI</t>
  </si>
  <si>
    <t>CÔNG TY CỔ PHẦN CHỨNG KHOÁN NGÂN HÀNG ĐẦU TƯ VÀ PHÁT TRIỂN VIỆT NAM</t>
  </si>
  <si>
    <t>BSL</t>
  </si>
  <si>
    <t>CÔNG TY CỔ PHẦN BIA SÀI GÒN - SÔNG LAM</t>
  </si>
  <si>
    <t>BSP</t>
  </si>
  <si>
    <t>CÔNG TY CỔ PHẦN BIA SÀI GÒN - PHÚ THỌ</t>
  </si>
  <si>
    <t>BSQ</t>
  </si>
  <si>
    <t>CÔNG TY CỔ PHẦN BIA SÀI GÒN - QUẢNG NGÃI</t>
  </si>
  <si>
    <t>BSR</t>
  </si>
  <si>
    <t>CÔNG TY CỔ PHẦN LỌC HÓA DẦU BÌNH SƠN</t>
  </si>
  <si>
    <t>SẢN XUẤT VÀ KHAI THÁC DẦU KHÍ</t>
  </si>
  <si>
    <t>SẢN XUẤT DẦU KHÍ</t>
  </si>
  <si>
    <t>DẦU KHÍ</t>
  </si>
  <si>
    <t>BST</t>
  </si>
  <si>
    <t>CÔNG TY CỔ PHẦN SÁCH - THIẾT BỊ BÌNH THUẬN</t>
  </si>
  <si>
    <t>BT1</t>
  </si>
  <si>
    <t>CÔNG TY CỔ PHẦN BẢO VỆ THỰC VẬT 1 TRUNG ƯƠNG</t>
  </si>
  <si>
    <t>BT6</t>
  </si>
  <si>
    <t>CÔNG TY CỔ PHẦN BETON 6</t>
  </si>
  <si>
    <t>BTB</t>
  </si>
  <si>
    <t>CÔNG TY CỔ PHẦN BIA HÀ NỘI - THÁI BÌNH</t>
  </si>
  <si>
    <t>BTD</t>
  </si>
  <si>
    <t>CÔNG TY CỔ PHẦN BÊ TÔNG LY TÂM THỦ ĐỨC</t>
  </si>
  <si>
    <t>BTG</t>
  </si>
  <si>
    <t>CÔNG TY CỔ PHẦN BAO BÌ TIỀN GIANG</t>
  </si>
  <si>
    <t>BTH</t>
  </si>
  <si>
    <t>CÔNG TY CỔ PHẦN CHẾ TẠO BIẾN THẾ VÀ VẬT LIỆU ĐIỆN HÀ NỘI</t>
  </si>
  <si>
    <t>BTN</t>
  </si>
  <si>
    <t>CÔNG TY CỔ PHẦN GẠCH TUY NEN BÌNH ĐỊNH</t>
  </si>
  <si>
    <t>BTP</t>
  </si>
  <si>
    <t>CÔNG TY CỔ PHẦN NHIỆT ĐIỆN BÀ RỊA</t>
  </si>
  <si>
    <t>BTS</t>
  </si>
  <si>
    <t>CÔNG TY CỔ PHẦN XI MĂNG VICEM BÚT SƠN</t>
  </si>
  <si>
    <t>BTT</t>
  </si>
  <si>
    <t>CÔNG TY CỔ PHẦN THƯƠNG MẠI - DỊCH VỤ BẾN THÀNH</t>
  </si>
  <si>
    <t>BÁN LẺ PHỨC HỢP</t>
  </si>
  <si>
    <t>BTU</t>
  </si>
  <si>
    <t>CÔNG TY CỔ PHẦN CÔNG TRÌNH ĐÔ THỊ BẾN TRE</t>
  </si>
  <si>
    <t>BTV</t>
  </si>
  <si>
    <t>CÔNG TY CỔ PHẦN DỊCH VỤ DU LỊCH BẾN THÀNH</t>
  </si>
  <si>
    <t>BTW</t>
  </si>
  <si>
    <t>CÔNG TY CỔ PHẦN CẤP NƯỚC BẾN THÀNH</t>
  </si>
  <si>
    <t>BVB</t>
  </si>
  <si>
    <t>NGÂN HÀNG THƯƠNG MẠI CỔ PHẦN BẢN VIỆT</t>
  </si>
  <si>
    <t>BVG</t>
  </si>
  <si>
    <t>CÔNG TY CỔ PHẦN ĐẦU TƯ BVG</t>
  </si>
  <si>
    <t>BVH</t>
  </si>
  <si>
    <t>BVL</t>
  </si>
  <si>
    <t>CÔNG TY CỔ PHẦN BV LAND</t>
  </si>
  <si>
    <t>BVN</t>
  </si>
  <si>
    <t>CÔNG TY CỔ PHẦN BÔNG VIỆT NAM</t>
  </si>
  <si>
    <t>BVS</t>
  </si>
  <si>
    <t>CÔNG TY CỔ PHẦN CHỨNG KHOÁN BẢO VIỆT</t>
  </si>
  <si>
    <t>BWA</t>
  </si>
  <si>
    <t>CÔNG TY CỔ PHẦN CẤP THOÁT NƯỚC VÀ XÂY DỰNG BẢO LỘC</t>
  </si>
  <si>
    <t>BWE</t>
  </si>
  <si>
    <t>CÔNG TY CỔ PHẦN NƯỚC – MÔI TRƯỜNG BÌNH DƯƠNG</t>
  </si>
  <si>
    <t>BWS</t>
  </si>
  <si>
    <t>CÔNG TY CỔ PHẦN CẤP NƯỚC BÀ RỊA - VŨNG TÀU</t>
  </si>
  <si>
    <t>BXH</t>
  </si>
  <si>
    <t>CÔNG TY CỔ PHẦN VICEM BAO BÌ HẢI PHÒNG</t>
  </si>
  <si>
    <t>C12</t>
  </si>
  <si>
    <t>CÔNG TY CỔ PHẦN CẦU 12</t>
  </si>
  <si>
    <t>C21</t>
  </si>
  <si>
    <t>CÔNG TY CỔ PHẦN THẾ KỶ 21</t>
  </si>
  <si>
    <t>C22</t>
  </si>
  <si>
    <t>CÔNG TY CỔ PHẦN 22</t>
  </si>
  <si>
    <t>C32</t>
  </si>
  <si>
    <t>CÔNG TY CỔ PHẦN CIC39</t>
  </si>
  <si>
    <t>C47</t>
  </si>
  <si>
    <t>CÔNG TY CỔ PHẦN XÂY DỰNG 47</t>
  </si>
  <si>
    <t>C4G</t>
  </si>
  <si>
    <t>CÔNG TY CỔ PHẦN TẬP ĐOÀN CIENCO4</t>
  </si>
  <si>
    <t>C69</t>
  </si>
  <si>
    <t>CÔNG TY CỔ PHẦN XÂY DỰNG 1369</t>
  </si>
  <si>
    <t>C92</t>
  </si>
  <si>
    <t>CÔNG TY CỔ PHẦN XÂY DỰNG VÀ ĐẦU TƯ 492</t>
  </si>
  <si>
    <t>GIẢI TRÍ &amp; TRUYỀN THÔNG</t>
  </si>
  <si>
    <t>CAD</t>
  </si>
  <si>
    <t>CÔNG TY CỔ PHẦN CHẾ BIẾN VÀ XUẤT NHẬP KHẨU THỦY SẢN CADOVIMEX</t>
  </si>
  <si>
    <t>CAG</t>
  </si>
  <si>
    <t>CÔNG TY CỔ PHẦN CẢNG AN GIANG</t>
  </si>
  <si>
    <t>CAN</t>
  </si>
  <si>
    <t>CÔNG TY CỔ PHẦN ĐỒ HỘP HẠ LONG</t>
  </si>
  <si>
    <t>CAP</t>
  </si>
  <si>
    <t>CÔNG TY CỔ PHẦN LÂM NÔNG SẢN THỰC PHẨM YÊN BÁI</t>
  </si>
  <si>
    <t>SẢN XUẤT GIẤY</t>
  </si>
  <si>
    <t>CAR</t>
  </si>
  <si>
    <t>CÔNG TY CỔ PHẦN TẬP ĐOÀN GIÁO DỤC TRÍ VIỆT</t>
  </si>
  <si>
    <t>ĐÀO TẠO &amp; VIỆC LÀM</t>
  </si>
  <si>
    <t>CAT</t>
  </si>
  <si>
    <t>CÔNG TY CỔ PHẦN THỦY SẢN CÀ MAU</t>
  </si>
  <si>
    <t>HÀNG ĐIỆN &amp; ĐIỆN TỬ</t>
  </si>
  <si>
    <t>CBI</t>
  </si>
  <si>
    <t>CÔNG TY CỔ PHẦN GANG THÉP CAO BẰNG</t>
  </si>
  <si>
    <t>CBS</t>
  </si>
  <si>
    <t>CÔNG TY CỔ PHẦN MÍA ĐƯỜNG CAO BẰNG</t>
  </si>
  <si>
    <t>CC1</t>
  </si>
  <si>
    <t>TỔNG CÔNG TY XÂY DỰNG SỐ 1 - CÔNG TY CỔ PHẦN</t>
  </si>
  <si>
    <t>CCA</t>
  </si>
  <si>
    <t>CÔNG TY CỔ PHẦN XUẤT NHẬP KHẨU THỦY SẢN CẦN THƠ</t>
  </si>
  <si>
    <t>CCI</t>
  </si>
  <si>
    <t>CÔNG TY CỔ PHẦN ĐẦU TƯ PHÁT TRIỂN CÔNG NGHIỆP - THƯƠNG MẠI CỦ CHI</t>
  </si>
  <si>
    <t>CCL</t>
  </si>
  <si>
    <t>CÔNG TY CỔ PHẦN ĐẦU TƯ VÀ PHÁT TRIỂN ĐÔ THỊ DẦU KHÍ CỬU LONG</t>
  </si>
  <si>
    <t>CCM</t>
  </si>
  <si>
    <t>CÔNG TY CỔ PHẦN KHOÁNG SẢN &amp; XI MĂNG CẦN THƠ</t>
  </si>
  <si>
    <t>CCP</t>
  </si>
  <si>
    <t>CÔNG TY CỔ PHẦN CẢNG CỬA CẤM HẢI PHÒNG</t>
  </si>
  <si>
    <t>CCR</t>
  </si>
  <si>
    <t>CÔNG TY CỔ PHẦN CẢNG CAM RANH</t>
  </si>
  <si>
    <t>CCT</t>
  </si>
  <si>
    <t>CÔNG TY CỔ PHẦN CẢNG CẦN THƠ</t>
  </si>
  <si>
    <t>CCV</t>
  </si>
  <si>
    <t>CÔNG TY CỔ PHẦN TƯ VẤN XÂY DỰNG CÔNG NGHIỆP VÀ ĐÔ THỊ VIỆT NAM</t>
  </si>
  <si>
    <t>CDC</t>
  </si>
  <si>
    <t>CÔNG TY CỔ PHẦN CHƯƠNG DƯƠNG</t>
  </si>
  <si>
    <t>CDG</t>
  </si>
  <si>
    <t>CÔNG TY CỔ PHẦN CẦU ĐUỐNG</t>
  </si>
  <si>
    <t>CDH</t>
  </si>
  <si>
    <t>CÔNG TY CỔ PHẦN CÔNG TRÌNH CÔNG CỘNG DỊCH VỤ DU LỊCH HẢI PHÒNG</t>
  </si>
  <si>
    <t>CDN</t>
  </si>
  <si>
    <t>CÔNG TY CỔ PHẦN CẢNG ĐÀ NẴNG</t>
  </si>
  <si>
    <t>CDO</t>
  </si>
  <si>
    <t>CÔNG TY CỔ PHẦN TƯ VẤN THIẾT KẾ VÀ PHÁT TRIỂN ĐÔ THỊ</t>
  </si>
  <si>
    <t>CDP</t>
  </si>
  <si>
    <t>CÔNG TY CỔ PHẦN DƯỢC PHẨM TRUNG ƯƠNG CODUPHA</t>
  </si>
  <si>
    <t>CDR</t>
  </si>
  <si>
    <t>CÔNG TY CỔ PHẦN XÂY DỰNG CAO SU ĐỒNG NAI</t>
  </si>
  <si>
    <t>CEN</t>
  </si>
  <si>
    <t>CÔNG TY CỔ PHẦN CENCON VIỆT NAM</t>
  </si>
  <si>
    <t>CEO</t>
  </si>
  <si>
    <t>CÔNG TY CỔ PHẦN TẬP ĐOÀN C.E.O</t>
  </si>
  <si>
    <t>CET</t>
  </si>
  <si>
    <t>CÔNG TY CỔ PHẦN HTC HOLDING</t>
  </si>
  <si>
    <t>CFM</t>
  </si>
  <si>
    <t>CÔNG TY CỔ PHẦN ĐẦU TƯ CFM</t>
  </si>
  <si>
    <t>CFV</t>
  </si>
  <si>
    <t>CÔNG TY TNHH MỘT THÀNH VIÊN CÀ PHÊ THẮNG LỢI</t>
  </si>
  <si>
    <t>CGV</t>
  </si>
  <si>
    <t>CÔNG TY CỔ PHẦN SÀNH SỨ THỦY TINH VIỆT NAM</t>
  </si>
  <si>
    <t>CH5</t>
  </si>
  <si>
    <t>CÔNG TY CỔ PHẦN XÂY DỰNG SỐ 5 HÀ NỘI</t>
  </si>
  <si>
    <t>CHC</t>
  </si>
  <si>
    <t>CÔNG TY CỔ PHẦN CẨM HÀ</t>
  </si>
  <si>
    <t>CHP</t>
  </si>
  <si>
    <t>CÔNG TY CỔ PHẦN THỦY ĐIỆN MIỀN TRUNG</t>
  </si>
  <si>
    <t>CHS</t>
  </si>
  <si>
    <t>CÔNG TY CỔ PHẦN CHIẾU SÁNG CÔNG CỘNG THÀNH PHỐ HỒ CHÍ MINH</t>
  </si>
  <si>
    <t>TIỆN ÍCH KHÁC</t>
  </si>
  <si>
    <t>CI5</t>
  </si>
  <si>
    <t>CÔNG TY CỔ PHẦN ĐẦU TƯ XÂY DỰNG SỐ 5</t>
  </si>
  <si>
    <t>CIA</t>
  </si>
  <si>
    <t>CÔNG TY CỔ PHẦN DỊCH VỤ SÂN BAY QUỐC TẾ CAM RANH</t>
  </si>
  <si>
    <t>CID</t>
  </si>
  <si>
    <t>CÔNG TY CỔ PHẦN XÂY DỰNG VÀ PHÁT TRIỂN CƠ SỞ HẠ TẦNG</t>
  </si>
  <si>
    <t>CIG</t>
  </si>
  <si>
    <t>CÔNG TY CỔ PHẦN COMA18</t>
  </si>
  <si>
    <t>CII</t>
  </si>
  <si>
    <t>CÔNG TY CỔ PHẦN ĐẦU TƯ HẠ TẦNG KỸ THUẬT T.P HỒ CHÍ MINH</t>
  </si>
  <si>
    <t>CIP</t>
  </si>
  <si>
    <t>CÔNG TY CỔ PHẦN XÂY LẮP VÀ SẢN XUẤT CÔNG NGHIỆP</t>
  </si>
  <si>
    <t>CJC</t>
  </si>
  <si>
    <t>CÔNG TY CỔ PHẦN CƠ ĐIỆN MIỀN TRUNG</t>
  </si>
  <si>
    <t>CK8</t>
  </si>
  <si>
    <t>CÔNG TY CỔ PHẦN CƠ KHÍ 120</t>
  </si>
  <si>
    <t>CKA</t>
  </si>
  <si>
    <t>CÔNG TY CỔ PHẦN CƠ KHÍ AN GIANG</t>
  </si>
  <si>
    <t>CKD</t>
  </si>
  <si>
    <t>CÔNG TY CỔ PHẦN CƠ KHÍ ĐÔNG ANH LICOGI</t>
  </si>
  <si>
    <t>CKG</t>
  </si>
  <si>
    <t>CÔNG TY CỔ PHẦN TẬP ĐOÀN TƯ VẤN ĐẦU TƯ &amp; XÂY DỰNG KIÊN GIANG</t>
  </si>
  <si>
    <t>CKV</t>
  </si>
  <si>
    <t>CÔNG TY CỔ PHẦN COKYVINA</t>
  </si>
  <si>
    <t>THIẾT BỊ VIỄN THÔNG</t>
  </si>
  <si>
    <t>THIẾT BỊ VÀ PHẦN CỨNG</t>
  </si>
  <si>
    <t>CÔNG NGHỆ THÔNG TIN</t>
  </si>
  <si>
    <t>CLC</t>
  </si>
  <si>
    <t>CÔNG TY CỔ PHẦN CÁT LỢI</t>
  </si>
  <si>
    <t>THUỐC LÁ</t>
  </si>
  <si>
    <t>CLG</t>
  </si>
  <si>
    <t>CÔNG TY CỔ PHẦN ĐẦU TƯ VÀ PHÁT TRIỂN NHÀ ĐẤT COTEC</t>
  </si>
  <si>
    <t>CLH</t>
  </si>
  <si>
    <t>CÔNG TY CỔ PHẦN XI MĂNG LA HIÊN VVMI</t>
  </si>
  <si>
    <t>CÔNG TY CỔ PHẦN CẢNG CÁT LÁI</t>
  </si>
  <si>
    <t>CLM</t>
  </si>
  <si>
    <t>CÔNG TY CỔ PHẦN XUẤT NHẬP KHẨU THAN - VINACOMIN</t>
  </si>
  <si>
    <t>CLW</t>
  </si>
  <si>
    <t>CÔNG TY CỔ PHẦN CẤP NƯỚC CHỢ LỚN</t>
  </si>
  <si>
    <t>CLX</t>
  </si>
  <si>
    <t>CÔNG TY CỔ PHẦN XUẤT NHẬP KHẨU VÀ ĐẦU TƯ CHỢ LỚN (CHOLIMEX)</t>
  </si>
  <si>
    <t>CMC</t>
  </si>
  <si>
    <t>CÔNG TY CỔ PHẦN ĐẦU TƯ CMC</t>
  </si>
  <si>
    <t>SẢN XUẤT Ô TÔ</t>
  </si>
  <si>
    <t>Ô TÔ VÀ PHỤ TÙNG</t>
  </si>
  <si>
    <t>CÔNG TY CỔ PHẦN VẬT LIỆU XÂY DỰNG VÀ TRANG TRÍ NỘI THẤT THÀNH PHỐ HỒ CHÍ MINH</t>
  </si>
  <si>
    <t>CMF</t>
  </si>
  <si>
    <t>CÔNG TY CỔ PHẦN THỰC PHẨM CHOLIMEX</t>
  </si>
  <si>
    <t>CMG</t>
  </si>
  <si>
    <t>CÔNG TY CỔ PHẦN TẬP ĐOÀN CÔNG NGHỆ CMC</t>
  </si>
  <si>
    <t>DỊCH VỤ MÁY TÍNH</t>
  </si>
  <si>
    <t>PHẦN MỀM &amp; DỊCH VỤ MÁY TÍNH</t>
  </si>
  <si>
    <t>CÔNG TY CỔ PHẦN CMISTONE VIỆT NAM</t>
  </si>
  <si>
    <t>CÔNG TY CỔ PHẦN CƠ KHÍ MẠO KHÊ - VINACOMIN</t>
  </si>
  <si>
    <t>CMM</t>
  </si>
  <si>
    <t>CTCP CAMIMEX</t>
  </si>
  <si>
    <t>CMN</t>
  </si>
  <si>
    <t>CÔNG TY CỔ PHẦN LƯƠNG THỰC THỰC PHẨM COLUSA-MILIKET</t>
  </si>
  <si>
    <t>CÔNG TY CỔ PHẦN CẢNG CHÂN MÂY</t>
  </si>
  <si>
    <t>CÔNG TY CỔ PHẦN TẬP ĐOÀN CMH VIỆT NAM</t>
  </si>
  <si>
    <t>CMT</t>
  </si>
  <si>
    <t>CÔNG TY CỔ PHẦN CÔNG NGHỆ MẠNG VÀ TRUYỀN THÔNG</t>
  </si>
  <si>
    <t>PHẦN MỀM</t>
  </si>
  <si>
    <t>CMV</t>
  </si>
  <si>
    <t>CÔNG TY CỔ PHẦN THƯƠNG NGHIỆP CÀ MAU</t>
  </si>
  <si>
    <t>CMW</t>
  </si>
  <si>
    <t>CÔNG TY CỔ PHẦN CẤP NƯỚC CÀ MAU</t>
  </si>
  <si>
    <t>CMX</t>
  </si>
  <si>
    <t>CÔNG TY CỔ PHẦN CAMIMEX GROUP</t>
  </si>
  <si>
    <t>CNA</t>
  </si>
  <si>
    <t>CÔNG TY TNHH MTV ĐẦU TƯ PHÁT TRIỂN CHÈ NGHỆ AN</t>
  </si>
  <si>
    <t>CNC</t>
  </si>
  <si>
    <t>CÔNG TY CỔ PHẦN CÔNG NGHỆ CAO TRAPHACO</t>
  </si>
  <si>
    <t>CNG</t>
  </si>
  <si>
    <t>CÔNG TY CỔ PHẦN CNG VIỆT NAM</t>
  </si>
  <si>
    <t>CÔNG TY CỔ PHẦN TƯ VẤN CÔNG NGHỆ, THIẾT BỊ VÀ KIỂM ĐỊNH XÂY DỰNG - CONINCO</t>
  </si>
  <si>
    <t>CÔNG TY CỔ PHẦN XÂY DỰNG VÀ KINH DOANH VẬT TƯ</t>
  </si>
  <si>
    <t>COM</t>
  </si>
  <si>
    <t>CÔNG TY CỔ PHẦN VẬT TƯ - XĂNG DẦU</t>
  </si>
  <si>
    <t>CPA</t>
  </si>
  <si>
    <t>CÔNG TY CỔ PHẦN CÀ PHÊ PHƯỚC AN</t>
  </si>
  <si>
    <t>CPC</t>
  </si>
  <si>
    <t>CÔNG TY CỔ PHẦN THUỐC SÁT TRÙNG CẦN THƠ</t>
  </si>
  <si>
    <t>CPH</t>
  </si>
  <si>
    <t>CÔNG TY CỔ PHẦN MAI TÁNG HẢI PHÒNG</t>
  </si>
  <si>
    <t>DỊCH VỤ TIÊU DÙNG CHUYÊN NGÀNH</t>
  </si>
  <si>
    <t>CÔNG TY CỔ PHẦN ĐẦU TƯ CẢNG CÁI LÂN</t>
  </si>
  <si>
    <t>CÔNG TY CỔ PHẦN XI MĂNG QUÁN TRIỀU VVMI</t>
  </si>
  <si>
    <t>CÔNG TY CỔ PHẦN CREATE CAPITAL VIỆT NAM</t>
  </si>
  <si>
    <t>CRE</t>
  </si>
  <si>
    <t>CÔNG TY CỔ PHẦN BẤT ĐỘNG SẢN THẾ KỶ</t>
  </si>
  <si>
    <t>CÔNG TY CỔ PHẦN TẬP ĐOÀN COTANA</t>
  </si>
  <si>
    <t>CSI</t>
  </si>
  <si>
    <t>CÔNG TY CỔ PHẦN CHỨNG KHOÁN KIẾN THIẾT VIỆT NAM</t>
  </si>
  <si>
    <t>CSM</t>
  </si>
  <si>
    <t>CÔNG TY CỔ PHẦN CÔNG NGHIỆP CAO SU MIỀN NAM</t>
  </si>
  <si>
    <t>LỐP XE</t>
  </si>
  <si>
    <t>CST</t>
  </si>
  <si>
    <t>CÔNG TY CỔ PHẦN THAN CAO SƠN - TKV</t>
  </si>
  <si>
    <t>CSV</t>
  </si>
  <si>
    <t>CÔNG TY CỔ PHẦN HÓA CHẤT CƠ BẢN MIỀN NAM</t>
  </si>
  <si>
    <t>CÔNG TY CỔ PHẦN ĐẦU TƯ VÀ XÂY DỰNG CÔNG TRÌNH 3</t>
  </si>
  <si>
    <t>CÔNG TY CỔ PHẦN CÔNG TRÌNH 6</t>
  </si>
  <si>
    <t>CÔNG TY CỔ PHẦN VINAVICO</t>
  </si>
  <si>
    <t>CÔNG TY CỔ PHẦN CHẾ TẠO BƠM HẢI DƯƠNG</t>
  </si>
  <si>
    <t>CTD</t>
  </si>
  <si>
    <t>CÔNG TY CỔ PHẦN XÂY DỰNG COTECCONS</t>
  </si>
  <si>
    <t>CTF</t>
  </si>
  <si>
    <t>CÔNG TY CỔ PHẦN CITY AUTO</t>
  </si>
  <si>
    <t>CTG</t>
  </si>
  <si>
    <t>NGÂN HÀNG THƯƠNG MẠI CỔ PHẦN CÔNG THƯƠNG VIỆT NAM</t>
  </si>
  <si>
    <t>CTI</t>
  </si>
  <si>
    <t>CÔNG TY CỔ PHẦN ĐẦU TƯ PHÁT TRIỂN CƯỜNG THUẬN IDICO</t>
  </si>
  <si>
    <t>CÔNG TY CỔ PHẦN XÂY DỰNG CÔNG TRÌNH NGẦM</t>
  </si>
  <si>
    <t>CTP</t>
  </si>
  <si>
    <t>CÔNG TY CỔ PHẦN MINH KHANG CAPITAL TRADING PUBLIC</t>
  </si>
  <si>
    <t>CTR</t>
  </si>
  <si>
    <t>TỔNG CÔNG TY CỔ PHẦN CÔNG TRÌNH VIETTEL</t>
  </si>
  <si>
    <t>CTS</t>
  </si>
  <si>
    <t>CÔNG TY CỔ PHẦN CHỨNG KHOÁN NGÂN HÀNG CÔNG THƯƠNG VIỆT NAM</t>
  </si>
  <si>
    <t>CÔNG TY CỔ PHẦN CHẾ TẠO MÁY VINACOMIN</t>
  </si>
  <si>
    <t>CTW</t>
  </si>
  <si>
    <t>CÔNG TY CỔ PHẦN CẤP THOÁT NƯỚC CẦN THƠ</t>
  </si>
  <si>
    <t>TỔNG CÔNG TY CỔ PHẦN ĐẦU TƯ XÂY DỰNG VÀ THƯƠNG MẠI VIỆT NAM</t>
  </si>
  <si>
    <t>CVN</t>
  </si>
  <si>
    <t>CÔNG TY CỔ PHẦN VINAM</t>
  </si>
  <si>
    <t>CÔNG TY CỔ PHẦN CMC</t>
  </si>
  <si>
    <t>CÔNG TY CỔ PHẦN ĐẦU TƯ VÀ XÂY LẮP CONSTREXIM SỐ 8</t>
  </si>
  <si>
    <t>CÔNG TY CỔ PHẦN GẠCH MEN CHANG YIH</t>
  </si>
  <si>
    <t>D11</t>
  </si>
  <si>
    <t>CÔNG TY CỔ PHẦN ĐỊA ỐC 11</t>
  </si>
  <si>
    <t>D2D</t>
  </si>
  <si>
    <t>CÔNG TY CỔ PHẦN PHÁT TRIỂN ĐÔ THỊ CÔNG NGHIỆP SỐ 2</t>
  </si>
  <si>
    <t>CÔNG TY CỔ PHẦN VIGLACERA ĐÔNG ANH</t>
  </si>
  <si>
    <t>DAD</t>
  </si>
  <si>
    <t>CÔNG TY CỔ PHẦN ĐẦU TƯ VÀ PHÁT TRIỂN GIÁO DỤC ĐÀ NẴNG</t>
  </si>
  <si>
    <t>DAE</t>
  </si>
  <si>
    <t>CÔNG TY CỔ PHẦN SÁCH GIÁO DỤC TẠI TP. ĐÀ NẴNG</t>
  </si>
  <si>
    <t>DAG</t>
  </si>
  <si>
    <t>CÔNG TY CỔ PHẦN TẬP ĐOÀN NHỰA ĐÔNG Á</t>
  </si>
  <si>
    <t>DAH</t>
  </si>
  <si>
    <t>CÔNG TY CỔ PHẦN TẬP ĐOÀN KHÁCH SẠN ĐÔNG Á</t>
  </si>
  <si>
    <t>DAN</t>
  </si>
  <si>
    <t>CÔNG TY CỔ PHẦN DƯỢC DANAPHA</t>
  </si>
  <si>
    <t>CÔNG TY CỔ PHẦN MÁY - THIẾT BỊ DẦU KHÍ ĐÀ NẴNG</t>
  </si>
  <si>
    <t>XE TẢI &amp; ĐÓNG TÀU</t>
  </si>
  <si>
    <t>DAT</t>
  </si>
  <si>
    <t>CÔNG TY CỔ PHẦN ĐẦU TƯ DU LỊCH VÀ PHÁT TRIỂN THUỶ SẢN</t>
  </si>
  <si>
    <t>DBC</t>
  </si>
  <si>
    <t>CÔNG TY CỔ PHẦN TẬP ĐOÀN DABACO VIỆT NAM</t>
  </si>
  <si>
    <t>DBD</t>
  </si>
  <si>
    <t>CÔNG TY CỔ PHẦN DƯỢC - TRANG THIẾT BỊ Y TẾ BÌNH ĐỊNH</t>
  </si>
  <si>
    <t>DBM</t>
  </si>
  <si>
    <t>CÔNG TY CỔ PHẦN DƯỢC - VẬT TƯ Y TẾ ĐĂK LĂK</t>
  </si>
  <si>
    <t>DBT</t>
  </si>
  <si>
    <t>CÔNG TY CỔ PHẦN DƯỢC PHẨM BẾN TRE</t>
  </si>
  <si>
    <t>CÔNG TY CỔ PHẦN ĐẦU TƯ PHÁT TRIỂN XÂY DỰNG SỐ 1</t>
  </si>
  <si>
    <t>CÔNG TY CỔ PHẦN ĐẦU TƯ PHÁT TRIỂN - XÂY DỰNG SỐ 2</t>
  </si>
  <si>
    <t>CÔNG TY CỔ PHẦN XÂY DỰNG DIC HOLDINGS</t>
  </si>
  <si>
    <t>CÔNG TY CỔ PHẦN XÂY DỰNG VÀ THIẾT KẾ SỐ 1</t>
  </si>
  <si>
    <t>DCG</t>
  </si>
  <si>
    <t>CÔNG TY CỔ PHẦN TỔNG CÔNG TY MAY ĐÁP CẦU</t>
  </si>
  <si>
    <t>DCH</t>
  </si>
  <si>
    <t>CÔNG TY CỔ PHẦN ĐỊA CHÍNH HÀ NỘI</t>
  </si>
  <si>
    <t>DCL</t>
  </si>
  <si>
    <t>CÔNG TY CỔ PHẦN DƯỢC PHẨM CỬU LONG</t>
  </si>
  <si>
    <t>DCM</t>
  </si>
  <si>
    <t>CÔNG TY CỔ PHẦN PHÂN BÓN DẦU KHÍ CÀ MAU</t>
  </si>
  <si>
    <t>CÔNG TY CỔ PHẦN GẠCH MEN COSEVCO</t>
  </si>
  <si>
    <t>DCS</t>
  </si>
  <si>
    <t>CÔNG TY CỔ PHẦN TẬP ĐOÀN ĐẠI CHÂU</t>
  </si>
  <si>
    <t>THIẾT BỊ GIA DỤNG</t>
  </si>
  <si>
    <t>HÀNG GIA DỤNG</t>
  </si>
  <si>
    <t>CÔNG TY CỔ PHẦN TẤM LỢP VẬT LIỆU XÂY DỰNG ĐỒNG NAI</t>
  </si>
  <si>
    <t>DDG</t>
  </si>
  <si>
    <t>CÔNG TY CỔ PHẦN ĐẦU TƯ CÔNG NGHIỆP XUẤT NHẬP KHẨU ĐÔNG DƯƠNG</t>
  </si>
  <si>
    <t>CÔNG TY CỔ PHẦN ĐẢM BẢO GIAO THÔNG ĐƯỜNG THỦY HẢI PHÒNG</t>
  </si>
  <si>
    <t>CÔNG TY CỔ PHẦN HÀNG HẢI ĐÔNG ĐÔ</t>
  </si>
  <si>
    <t>VẬN TẢI THỦY</t>
  </si>
  <si>
    <t>DDN</t>
  </si>
  <si>
    <t>CÔNG TY CỔ PHẦN DƯỢC - THIẾT BỊ Y TẾ ĐÀ NẴNG</t>
  </si>
  <si>
    <t>DDV</t>
  </si>
  <si>
    <t>CÔNG TY CỔ PHẦN DAP - VINACHEM</t>
  </si>
  <si>
    <t>DFC</t>
  </si>
  <si>
    <t>CÔNG TY CỔ PHẦN XÍCH LÍP ĐÔNG ANH</t>
  </si>
  <si>
    <t>CÔNG TY CỔ PHẦN TẬP ĐOÀN ĐUA FAT</t>
  </si>
  <si>
    <t>DGC</t>
  </si>
  <si>
    <t>CÔNG TY CỔ PHẦN TẬP ĐOÀN HÓA CHẤT ĐỨC GIANG</t>
  </si>
  <si>
    <t>CÔNG TY CỔ PHẦN CÔNG TRÌNH GIAO THÔNG ĐỒNG NAI</t>
  </si>
  <si>
    <t>DGW</t>
  </si>
  <si>
    <t>CÔNG TY CỔ PHẦN THẾ GIỚI SỐ</t>
  </si>
  <si>
    <t>CÔNG TY CỔ PHẦN HOÁ AN</t>
  </si>
  <si>
    <t>DHB</t>
  </si>
  <si>
    <t>CÔNG TY CỔ PHẦN PHÂN ĐẠM VÀ HÓA CHẤT HÀ BẮC</t>
  </si>
  <si>
    <t>DHC</t>
  </si>
  <si>
    <t>CÔNG TY CỔ PHẦN ĐÔNG HẢI BẾN TRE</t>
  </si>
  <si>
    <t>DHD</t>
  </si>
  <si>
    <t>CÔNG TY CỔ PHẦN DƯỢC VẬT TƯ Y TẾ HẢI DƯƠNG</t>
  </si>
  <si>
    <t>DHG</t>
  </si>
  <si>
    <t>CÔNG TY CỔ PHẦN DƯỢC HẬU GIANG</t>
  </si>
  <si>
    <t>DHM</t>
  </si>
  <si>
    <t>CÔNG TY CỔ PHẦN THƯƠNG MẠI VÀ KHAI THÁC KHOÁNG SẢN DƯƠNG HIẾU</t>
  </si>
  <si>
    <t>DHN</t>
  </si>
  <si>
    <t>CÔNG TY CỔ PHẦN DƯỢC PHẨM HÀ NỘI</t>
  </si>
  <si>
    <t>CÔNG TY CỔ PHẦN ĐIỆN CƠ HẢI PHÒNG</t>
  </si>
  <si>
    <t>DHT</t>
  </si>
  <si>
    <t>CÔNG TY CỔ PHẦN DƯỢC PHẨM HÀ TÂY</t>
  </si>
  <si>
    <t>PHÂN PHỐI DƯỢC PHẨM</t>
  </si>
  <si>
    <t>CÔNG TY CỔ PHẦN ĐẦU TƯ VÀ THƯƠNG MẠI DIC</t>
  </si>
  <si>
    <t>CÔNG TY CỔ PHẦN DIC - ĐỒNG TIẾN</t>
  </si>
  <si>
    <t>DIG</t>
  </si>
  <si>
    <t>TỔNG CÔNG TY CỔ PHẦN ĐẦU TƯ PHÁT TRIỂN XÂY DỰNG</t>
  </si>
  <si>
    <t>CÔNG TY CỔ PHẦN ĐẦU TƯ PHÁT TRIỂN XÂY DỰNG - HỘI AN</t>
  </si>
  <si>
    <t>DKC</t>
  </si>
  <si>
    <t>CÔNG TY CỔ PHẦN CHỢ LẠNG SƠN</t>
  </si>
  <si>
    <t>CÔNG TY CỔ PHẦN TẬP ĐOÀN ALPHA SEVEN</t>
  </si>
  <si>
    <t>DLD</t>
  </si>
  <si>
    <t>CÔNG TY CỔ PHẦN DU LỊCH ĐẮK LẮK</t>
  </si>
  <si>
    <t>DLG</t>
  </si>
  <si>
    <t>CÔNG TY CỔ PHẦN TẬP ĐOÀN ĐỨC LONG GIA LAI</t>
  </si>
  <si>
    <t>CÔNG TY CỔ PHẦN ĐỊA ỐC ĐÀ LẠT</t>
  </si>
  <si>
    <t>DLT</t>
  </si>
  <si>
    <t>CÔNG TY CỔ PHẦN DU LỊCH VÀ THƯƠNG MẠI – VINACOMIN</t>
  </si>
  <si>
    <t>DM7</t>
  </si>
  <si>
    <t>CÔNG TY CỔ PHẦN DỆT MAY 7</t>
  </si>
  <si>
    <t>DMC</t>
  </si>
  <si>
    <t>CÔNG TY CỔ PHẦN XUẤT NHẬP KHẨU Y TẾ DOMESCO</t>
  </si>
  <si>
    <t>DMN</t>
  </si>
  <si>
    <t>CÔNG TY CỔ PHẦN DOMENAL</t>
  </si>
  <si>
    <t>DMS</t>
  </si>
  <si>
    <t>CÔNG TY CỔ PHẦN HÓA PHẨM DẦU KHÍ DMC - MIỀN NAM</t>
  </si>
  <si>
    <t>DNA</t>
  </si>
  <si>
    <t>CÔNG TY CỔ PHẦN ĐIỆN NƯỚC AN GIANG</t>
  </si>
  <si>
    <t>DNC</t>
  </si>
  <si>
    <t>CÔNG TY CỔ PHẦN ĐIỆN NƯỚC LẮP MÁY HẢI PHÒNG</t>
  </si>
  <si>
    <t>CÔNG TY CỔ PHẦN ĐẦU TƯ XÂY DỰNG VÀ VẬT LIỆU ĐỒNG NAI</t>
  </si>
  <si>
    <t>CÔNG TY CỔ PHẦN MÔI TRƯỜNG ĐÔ THỊ ĐÀ NẴNG</t>
  </si>
  <si>
    <t>DNH</t>
  </si>
  <si>
    <t>CÔNG TY CỔ PHẦN THỦY ĐIỆN ĐA NHIM - HÀM THUẬN - ĐA MI</t>
  </si>
  <si>
    <t>CÔNG TY CỔ PHẦN LOGISTIC CẢNG ĐÀ NẴNG</t>
  </si>
  <si>
    <t>DNM</t>
  </si>
  <si>
    <t>TỔNG CÔNG TY CỔ PHẦN Y TẾ DANAMECO</t>
  </si>
  <si>
    <t>DỤNG CỤ Y TẾ</t>
  </si>
  <si>
    <t>DNN</t>
  </si>
  <si>
    <t>CÔNG TY CỔ PHẦN CẤP NƯỚC ĐÀ NẴNG</t>
  </si>
  <si>
    <t>CÔNG TY CỔ PHẦN DNP HOLDING</t>
  </si>
  <si>
    <t>DNT</t>
  </si>
  <si>
    <t>CÔNG TY CỔ PHẦN DU LỊCH ĐỒNG NAI</t>
  </si>
  <si>
    <t>DỊCH VỤ GIẢI TRÍ</t>
  </si>
  <si>
    <t>DNW</t>
  </si>
  <si>
    <t>CÔNG TY CỔ PHẦN CẤP NƯỚC ĐỒNG NAI</t>
  </si>
  <si>
    <t>DOC</t>
  </si>
  <si>
    <t>CÔNG TY CỔ PHẦN VẬT TƯ NÔNG NGHIỆP ĐỒNG NAI</t>
  </si>
  <si>
    <t>CÔNG TY CỔ PHẦN VẬN TẢI XĂNG DẦU ĐỒNG THÁP</t>
  </si>
  <si>
    <t>DỊCH VỤ VẬN TẢI</t>
  </si>
  <si>
    <t>DP1</t>
  </si>
  <si>
    <t>CÔNG TY CỔ PHẦN DƯỢC PHẨM TRUNG ƯƠNG CPC1</t>
  </si>
  <si>
    <t>DP2</t>
  </si>
  <si>
    <t>CÔNG TY CỔ PHẦN DƯỢC PHẨM TRUNG ƯƠNG 2</t>
  </si>
  <si>
    <t>DP3</t>
  </si>
  <si>
    <t>CÔNG TY CỔ PHẦN DƯỢC PHẨM TRUNG ƯƠNG 3</t>
  </si>
  <si>
    <t>CÔNG TY CỔ PHẦN NHỰA ĐÀ NẴNG</t>
  </si>
  <si>
    <t>DPG</t>
  </si>
  <si>
    <t>CÔNG TY CỔ PHẦN ĐẠT PHƯƠNG</t>
  </si>
  <si>
    <t>DPH</t>
  </si>
  <si>
    <t>CÔNG TY CỔ PHẦN DƯỢC PHẨM HẢI PHÒNG</t>
  </si>
  <si>
    <t>DPM</t>
  </si>
  <si>
    <t>TỔNG CÔNG TY PHÂN BÓN VÀ HÓA CHẤT DẦU KHÍ-CÔNG TY CỔ PHẦN</t>
  </si>
  <si>
    <t>DPP</t>
  </si>
  <si>
    <t>CÔNG TY CỔ PHẦN DƯỢC ĐỒNG NAI</t>
  </si>
  <si>
    <t>DPR</t>
  </si>
  <si>
    <t>CÔNG TY CỔ PHẦN CAO SU ĐỒNG PHÚ</t>
  </si>
  <si>
    <t>DPS</t>
  </si>
  <si>
    <t>CÔNG TY CỔ PHẦN ĐẦU TƯ PHÁT TRIỂN SÓC SƠN</t>
  </si>
  <si>
    <t>DQC</t>
  </si>
  <si>
    <t>CÔNG TY CỔ PHẦN BÓNG ĐÈN ĐIỆN QUANG</t>
  </si>
  <si>
    <t>DRC</t>
  </si>
  <si>
    <t>CÔNG TY CỔ PHẦN CAO SU ĐÀ NẴNG</t>
  </si>
  <si>
    <t>DRG</t>
  </si>
  <si>
    <t>CÔNG TY CỔ PHẦN CAO SU ĐẮK LẮK</t>
  </si>
  <si>
    <t>DRH</t>
  </si>
  <si>
    <t>CÔNG TY CỔ PHẦN DRH HOLDINGS</t>
  </si>
  <si>
    <t>DRI</t>
  </si>
  <si>
    <t>CÔNG TY CỔ PHẦN ĐẦU TƯ CAO SU ĐẮK LẮK</t>
  </si>
  <si>
    <t>DRL</t>
  </si>
  <si>
    <t>CÔNG TY CỔ PHẦN THỦY ĐIỆN – ĐIỆN LỰC 3</t>
  </si>
  <si>
    <t>CÔNG TY CỔ PHẦN QUẢN LÝ ĐƯỜNG SÔNG SỐ 3</t>
  </si>
  <si>
    <t>DSC</t>
  </si>
  <si>
    <t>CÔNG TY CỔ PHẦN CHỨNG KHOÁN ĐÀ NẴNG</t>
  </si>
  <si>
    <t>DSD</t>
  </si>
  <si>
    <t>CÔNG TY CỔ PHẦN DHC SUỐI ĐÔI</t>
  </si>
  <si>
    <t>CÔNG TY CỔ PHẦN KÍNH VIGLACERA ĐÁP CẦU</t>
  </si>
  <si>
    <t>DSN</t>
  </si>
  <si>
    <t>CÔNG TY CỔ PHẦN CÔNG VIÊN NƯỚC ĐẦM SEN</t>
  </si>
  <si>
    <t>DSP</t>
  </si>
  <si>
    <t>CÔNG TY CỔ PHẦN DỊCH VỤ DU LỊCH PHÚ THỌ</t>
  </si>
  <si>
    <t>DST</t>
  </si>
  <si>
    <t>CÔNG TY CỔ PHẦN ĐẦU TƯ SAO THĂNG LONG</t>
  </si>
  <si>
    <t>DTA</t>
  </si>
  <si>
    <t>CÔNG TY CỔ PHẦN ĐỆ TAM</t>
  </si>
  <si>
    <t>CÔNG TY CỔ PHẦN VIGLACERA ĐÔNG TRIỀU</t>
  </si>
  <si>
    <t>DTD</t>
  </si>
  <si>
    <t>CÔNG TY CỔ PHẦN ĐẦU TƯ PHÁT TRIỂN THÀNH ĐẠT</t>
  </si>
  <si>
    <t>DTE</t>
  </si>
  <si>
    <t>CÔNG TY CỔ PHẦN ĐẦU TƯ NĂNG LƯỢNG ĐẠI TRƯỜNG THÀNH HOLDINGS</t>
  </si>
  <si>
    <t>DTG</t>
  </si>
  <si>
    <t>CÔNG TY CỔ PHẦN DƯỢC PHẨM TIPHARCO</t>
  </si>
  <si>
    <t>DTH</t>
  </si>
  <si>
    <t>CÔNG TY CỔ PHẦN DƯỢC - VẬT TƯ Y TẾ THANH HÓA</t>
  </si>
  <si>
    <t>DTI</t>
  </si>
  <si>
    <t>CÔNG TY CỔ PHẦN ĐẦU TƯ ĐỨC TRUNG</t>
  </si>
  <si>
    <t>DTK</t>
  </si>
  <si>
    <t>TỔNG CÔNG TY ĐIỆN LỰC TKV - CTCP</t>
  </si>
  <si>
    <t>DTL</t>
  </si>
  <si>
    <t>CÔNG TY CỔ PHẦN ĐẠI THIÊN LỘC</t>
  </si>
  <si>
    <t>DTP</t>
  </si>
  <si>
    <t>CÔNG TY CỔ PHẦN DƯỢC PHẨM CPC1 HÀ NỘI</t>
  </si>
  <si>
    <t>DTT</t>
  </si>
  <si>
    <t>CÔNG TY CỔ PHẦN KỸ NGHỆ ĐÔ THÀNH</t>
  </si>
  <si>
    <t>CÔNG TY CỔ PHẦN DỊCH VỤ ĐÔ THỊ ĐÀ LẠT</t>
  </si>
  <si>
    <t>DVC</t>
  </si>
  <si>
    <t>CÔNG TY CỔ PHẦN THƯƠNG MẠI DỊCH VỤ TỔNG HỢP CẢNG HẢI PHÒNG</t>
  </si>
  <si>
    <t>CTCP TẬP ĐOÀN SƠN ĐẠI VIỆT</t>
  </si>
  <si>
    <t>DVM</t>
  </si>
  <si>
    <t>CÔNG TY CỔ PHẦN DƯỢC LIỆU VIỆT NAM</t>
  </si>
  <si>
    <t>DVN</t>
  </si>
  <si>
    <t>TỔNG CÔNG TY DƯỢC VIỆT NAM - CTCP</t>
  </si>
  <si>
    <t>CÔNG TY CỔ PHẦN ĐẦU TƯ VÀ PHÁT TRIỂN CẢNG ĐÌNH VŨ</t>
  </si>
  <si>
    <t>CÔNG TY CỔ PHẦN DỊCH VỤ VÀ XÂY DỰNG CẤP NƯỚC ĐỒNG NAI</t>
  </si>
  <si>
    <t>DWC</t>
  </si>
  <si>
    <t>CÔNG TY CỔ PHẦN CẤP NƯỚC ĐẮK LẮK</t>
  </si>
  <si>
    <t>DWS</t>
  </si>
  <si>
    <t>CÔNG TY CỔ PHẦN CẤP NƯỚC VÀ MÔI TRƯỜNG ĐÔ THỊ ĐỒNG THÁP</t>
  </si>
  <si>
    <t>DXG</t>
  </si>
  <si>
    <t>CÔNG TY CỔ PHẦN TẬP ĐOÀN ĐẤT XANH</t>
  </si>
  <si>
    <t>DXL</t>
  </si>
  <si>
    <t>CÔNG TY CỔ PHẦN DU LỊCH VÀ XUẤT NHẬP KHẨU LẠNG SƠN</t>
  </si>
  <si>
    <t>CÔNG TY CỔ PHẦN CẢNG ĐOẠN XÁ</t>
  </si>
  <si>
    <t>DXS</t>
  </si>
  <si>
    <t>CÔNG TY CỔ PHẦN DỊCH VỤ BẤT ĐỘNG SẢN ĐẤT XANH</t>
  </si>
  <si>
    <t>CÔNG TY CỔ PHẦN VICEM VẬT LIỆU XÂY DỰNG ĐÀ NẴNG</t>
  </si>
  <si>
    <t>CÔNG TY CỔ PHẦN CƠ ĐIỆN DZĨ AN</t>
  </si>
  <si>
    <t>CÔNG TY CỔ PHẦN XÂY DỰNG ĐIỆN VNECO12</t>
  </si>
  <si>
    <t>E1VFVN30</t>
  </si>
  <si>
    <t>QUỸ ETF DCVFMVN30</t>
  </si>
  <si>
    <t>QUỸ ĐẦU TƯ</t>
  </si>
  <si>
    <t>CÔNG TY CỔ PHẦN ĐẦU TƯ XÂY DỰNG VÀ KỸ THUẬT 29</t>
  </si>
  <si>
    <t>EBS</t>
  </si>
  <si>
    <t>CÔNG TY CỔ PHẦN SÁCH GIÁO DỤC TẠI TP.HÀ NỘI</t>
  </si>
  <si>
    <t>ECI</t>
  </si>
  <si>
    <t>CÔNG TY CỔ PHẦN BẢN ĐỒ VÀ TRANH ẢNH GIÁO DỤC</t>
  </si>
  <si>
    <t>EFI</t>
  </si>
  <si>
    <t>CÔNG TY CỔ PHẦN ĐẦU TƯ TÀI CHÍNH GIÁO DỤC</t>
  </si>
  <si>
    <t>EIB</t>
  </si>
  <si>
    <t>NGÂN HÀNG THƯƠNG MẠI CỔ PHẦN XUẤT NHẬP KHẨU VIỆT NAM</t>
  </si>
  <si>
    <t>CÔNG TY CỔ PHẦN EVN QUỐC TẾ</t>
  </si>
  <si>
    <t>EID</t>
  </si>
  <si>
    <t>CÔNG TY CỔ PHẦN ĐẦU TƯ VÀ PHÁT TRIỂN GIÁO DỤC HÀ NỘI</t>
  </si>
  <si>
    <t>EIN</t>
  </si>
  <si>
    <t>CÔNG TY CỔ PHẦN ĐẦU TƯ - THƯƠNG MẠI - DỊCH VỤ ĐIỆN LỰC</t>
  </si>
  <si>
    <t>ELC</t>
  </si>
  <si>
    <t>CÔNG TY CỔ PHẦN CÔNG NGHỆ - VIỄN THÔNG ELCOM</t>
  </si>
  <si>
    <t>CÔNG TY CỔ PHẦN ĐIỆN CƠ</t>
  </si>
  <si>
    <t>CÔNG TY CỔ PHẦN THIẾT BỊ PHỤ TÙNG CƠ ĐIỆN</t>
  </si>
  <si>
    <t>TỔNG CÔNG TY CHUYỂN PHÁT NHANH BƯU ĐIỆN - CÔNG TY CỔ PHẦN</t>
  </si>
  <si>
    <t>CHUYỂN PHÁT NHANH</t>
  </si>
  <si>
    <t>EPC</t>
  </si>
  <si>
    <t>CÔNG TY TNHH MỘT THÀNH VIÊN CÀ PHÊ EA PỐK</t>
  </si>
  <si>
    <t>EVE</t>
  </si>
  <si>
    <t>CÔNG TY CỔ PHẦN EVERPIA</t>
  </si>
  <si>
    <t>EVF</t>
  </si>
  <si>
    <t>CÔNG TY TÀI CHÍNH CỔ PHẦN ĐIỆN LỰC</t>
  </si>
  <si>
    <t>TÀI CHÍNH CÁ NHÂN</t>
  </si>
  <si>
    <t>CÔNG TY CỔ PHẦN ĐẦU TƯ EVERLAND</t>
  </si>
  <si>
    <t>EVS</t>
  </si>
  <si>
    <t>CÔNG TY CỔ PHẦN CHỨNG KHOÁN EVEREST</t>
  </si>
  <si>
    <t>FBA</t>
  </si>
  <si>
    <t>CÔNG TY CỔ PHẦN TẬP ĐOÀN QUỐC TẾ FBA</t>
  </si>
  <si>
    <t>CÔNG TY CỔ PHẦN CƠ KHÍ PHỔ YÊN</t>
  </si>
  <si>
    <t>FCC</t>
  </si>
  <si>
    <t>CÔNG TY CỔ PHẦN LIÊN HỢP THỰC PHẨM</t>
  </si>
  <si>
    <t>CÔNG TY CỔ PHẦN KHOÁNG SẢN FECON</t>
  </si>
  <si>
    <t>FCN</t>
  </si>
  <si>
    <t>CÔNG TY CỔ PHẦN FECON</t>
  </si>
  <si>
    <t>FCS</t>
  </si>
  <si>
    <t>CÔNG TY CỔ PHẦN LƯƠNG THỰC THÀNH PHỐ HỒ CHÍ MINH</t>
  </si>
  <si>
    <t>FDC</t>
  </si>
  <si>
    <t>CÔNG TY CỔ PHẦN NGOẠI THƯƠNG VÀ PHÁT TRIỂN ĐẦU TƯ THÀNH PHỐ HỒ CHÍ MINH</t>
  </si>
  <si>
    <t>FGL</t>
  </si>
  <si>
    <t>CÔNG TY CỔ PHẦN CÀ PHÊ GIA LAI</t>
  </si>
  <si>
    <t>FHN</t>
  </si>
  <si>
    <t>CÔNG TY CỔ PHẦN XUẤT NHẬP KHẨU LƯƠNG THỰC - THỰC PHẨM HÀ NỘI</t>
  </si>
  <si>
    <t>FHS</t>
  </si>
  <si>
    <t>CÔNG TY CỔ PHẦN PHÁT HÀNH SÁCH T.P HỒ CHÍ MINH</t>
  </si>
  <si>
    <t>TỔNG CÔNG TY VẬT LIỆU XÂY DỰNG SỐ 1 - CÔNG TY CỔ PHẦN</t>
  </si>
  <si>
    <t>FID</t>
  </si>
  <si>
    <t>CÔNG TY CỔ PHẦN ĐẦU TƯ VÀ PHÁT TRIỂN DOANH NGHIỆP VIỆT NAM</t>
  </si>
  <si>
    <t>FIR</t>
  </si>
  <si>
    <t>CÔNG TY CỔ PHẦN ĐỊA ỐC FIRST REAL</t>
  </si>
  <si>
    <t>FIT</t>
  </si>
  <si>
    <t>CÔNG TY CỔ PHẦN TẬP ĐOÀN F.I.T</t>
  </si>
  <si>
    <t>FLC</t>
  </si>
  <si>
    <t>CÔNG TY CỔ PHẦN TẬP ĐOÀN FLC</t>
  </si>
  <si>
    <t>FMC</t>
  </si>
  <si>
    <t>CÔNG TY CỔ PHẦN THỰC PHẨM SAO TA</t>
  </si>
  <si>
    <t>FOC</t>
  </si>
  <si>
    <t>CÔNG TY CỔ PHẦN DỊCH VỤ TRỰC TUYẾN FPT</t>
  </si>
  <si>
    <t>FOX</t>
  </si>
  <si>
    <t>CÔNG TY CỔ PHẦN VIỄN THÔNG FPT</t>
  </si>
  <si>
    <t>VIỄN THÔNG CỐ ĐỊNH</t>
  </si>
  <si>
    <t>FPT</t>
  </si>
  <si>
    <t>CÔNG TY CỔ PHẦN FPT</t>
  </si>
  <si>
    <t>FRC</t>
  </si>
  <si>
    <t>CÔNG TY CỔ PHẦN LÂM ĐẶC SẢN XUẤT KHẨU QUẢNG NAM</t>
  </si>
  <si>
    <t>FRM</t>
  </si>
  <si>
    <t>CÔNG TY CỔ PHẦN LÂM NGHIỆP SÀI GÒN</t>
  </si>
  <si>
    <t>FRT</t>
  </si>
  <si>
    <t>CÔNG TY CỔ PHẦN BÁN LẺ KỸ THUẬT SỐ FPT</t>
  </si>
  <si>
    <t>CÔNG TY CỔ PHẦN CƠ KHÍ ĐÓNG TÀU THỦY SẢN VIỆT NAM</t>
  </si>
  <si>
    <t>CÔNG TY CỔ PHẦN PHỤ TÙNG MÁY SỐ 1</t>
  </si>
  <si>
    <t>FTI</t>
  </si>
  <si>
    <t>CÔNG TY CỔ PHẦN CÔNG NGHIỆP - THƯƠNG MẠI HỮU NGHỊ</t>
  </si>
  <si>
    <t>PHỤ TÙNG Ô TÔ</t>
  </si>
  <si>
    <t>FTM</t>
  </si>
  <si>
    <t>CÔNG TY CỔ PHẦN ĐẦU TƯ VÀ PHÁT TRIỂN ĐỨC QUÂN</t>
  </si>
  <si>
    <t>FTS</t>
  </si>
  <si>
    <t>CÔNG TY CỔ PHẦN CHỨNG KHOÁN FPT</t>
  </si>
  <si>
    <t>FUCTVGF3</t>
  </si>
  <si>
    <t>QUỸ ĐẦU TƯ TĂNG TRƯỞNG THIÊN VIỆT 3</t>
  </si>
  <si>
    <t>FUCTVGF4</t>
  </si>
  <si>
    <t>QUỸ ĐẦU TƯ TĂNG TRƯỞNG THIÊN VIỆT 4</t>
  </si>
  <si>
    <t>FUCTVGF5</t>
  </si>
  <si>
    <t>QUỸ ĐẦU TƯ TĂNG TRƯỞNG THIÊN VIỆT 5</t>
  </si>
  <si>
    <t>FUCVREIT</t>
  </si>
  <si>
    <t>QUỸ ĐẦU TƯ BẤT ĐỘNG SẢN TECHCOM VIỆT NAM</t>
  </si>
  <si>
    <t>FUEBFVND</t>
  </si>
  <si>
    <t>QUỸ ETF BVFVN DIAMOND</t>
  </si>
  <si>
    <t>FUEDCMID</t>
  </si>
  <si>
    <t>QUỸ ETF DCVFMVNMIDCAP</t>
  </si>
  <si>
    <t>FUEFCV50</t>
  </si>
  <si>
    <t>QUỸ ETF FPT CAPITAL VNX50</t>
  </si>
  <si>
    <t>FUEIP100</t>
  </si>
  <si>
    <t>QUỸ ETF IPAAM VN100</t>
  </si>
  <si>
    <t>FUEKIV30</t>
  </si>
  <si>
    <t>QUỸ ETF KIM GROWTH VN30</t>
  </si>
  <si>
    <t>FUEKIVFS</t>
  </si>
  <si>
    <t>QUỸ ETF KIM GROWTH VNFINSELECT ETF</t>
  </si>
  <si>
    <t>FUEKIVND</t>
  </si>
  <si>
    <t>QUỸ ETF KIM GROWTH VN DIAMOND</t>
  </si>
  <si>
    <t>FUEMAV30</t>
  </si>
  <si>
    <t>QUỸ ETF MAFM VN30</t>
  </si>
  <si>
    <t>FUEMAVND</t>
  </si>
  <si>
    <t>QUỸ ETF MAFM VNDIAMOND</t>
  </si>
  <si>
    <t>FUESSV30</t>
  </si>
  <si>
    <t>QUỸ ETF SSIAM VN30</t>
  </si>
  <si>
    <t>FUESSV50</t>
  </si>
  <si>
    <t>QUỸ ETF SSIAM VNX50</t>
  </si>
  <si>
    <t>FUESSVFL</t>
  </si>
  <si>
    <t>QUỸ ETF SSIAM VNFIN LEAD</t>
  </si>
  <si>
    <t>FUEVFVND</t>
  </si>
  <si>
    <t>QUỸ ETF DCVFMVN DIAMOND</t>
  </si>
  <si>
    <t>FUEVN100</t>
  </si>
  <si>
    <t>CÔNG TY CỔ PHẦN QUẢN LÝ QUỸ VINACAPITAL</t>
  </si>
  <si>
    <t>G20</t>
  </si>
  <si>
    <t>CÔNG TY CỔ PHẦN ĐẦU TƯ DỆT MAY G.HOME</t>
  </si>
  <si>
    <t>TỔNG CÔNG TY 36 - CTCP</t>
  </si>
  <si>
    <t>CÔNG TY CỔ PHẦN ĐẦU TƯ KHAI KHOÁNG VÀ QUẢN LÝ TÀI SẢN FLC</t>
  </si>
  <si>
    <t>GAS</t>
  </si>
  <si>
    <t>TỔNG CÔNG TY KHÍ VIỆT NAM-CÔNG TY CỔ PHẦN</t>
  </si>
  <si>
    <t>GCB</t>
  </si>
  <si>
    <t>CÔNG TY CỔ PHẦN PETEC BÌNH ĐỊNH</t>
  </si>
  <si>
    <t>GCF</t>
  </si>
  <si>
    <t>CÔNG TY CỔ PHẦN THỰC PHẨM G.C</t>
  </si>
  <si>
    <t>GDA</t>
  </si>
  <si>
    <t>CÔNG TY CỔ PHẦN TÔN ĐÔNG Á</t>
  </si>
  <si>
    <t>GDT</t>
  </si>
  <si>
    <t>CÔNG TY CỔ PHẦN CHẾ BIẾN GỖ ĐỨC THÀNH</t>
  </si>
  <si>
    <t>GDW</t>
  </si>
  <si>
    <t>CÔNG TY CỔ PHẦN CẤP NƯỚC GIA ĐỊNH</t>
  </si>
  <si>
    <t>GEG</t>
  </si>
  <si>
    <t>CÔNG TY CỔ PHẦN ĐIỆN GIA LAI</t>
  </si>
  <si>
    <t>GER</t>
  </si>
  <si>
    <t>CÔNG TY CỔ PHẦN THỂ THAO NGÔI SAO GERU</t>
  </si>
  <si>
    <t>GEX</t>
  </si>
  <si>
    <t>CÔNG TY CỔ PHẦN TẬP ĐOÀN GELEX</t>
  </si>
  <si>
    <t>GGG</t>
  </si>
  <si>
    <t>CÔNG TY CỔ PHẦN Ô TÔ GIẢI PHÓNG</t>
  </si>
  <si>
    <t>CÔNG TY CỔ PHẦN CÔNG TRÌNH GIAO THÔNG HÀ NỘI</t>
  </si>
  <si>
    <t>GHC</t>
  </si>
  <si>
    <t>CÔNG TY CỔ PHẦN THỦY ĐIỆN GIA LAI</t>
  </si>
  <si>
    <t>CÔNG TY CỔ PHẦN ĐẦU TƯ DỊCH VỤ VÀ PHÁT TRIỂN XANH</t>
  </si>
  <si>
    <t>GIL</t>
  </si>
  <si>
    <t>CÔNG TY CỔ PHẦN SẢN XUẤT KINH DOANH XUẤT NHẬP KHẨU BÌNH THẠNH</t>
  </si>
  <si>
    <t>CÔNG TY CỔ PHẦN KHANG MINH GROUP</t>
  </si>
  <si>
    <t>GLC</t>
  </si>
  <si>
    <t>CÔNG TY CỔ PHẦN VÀNG LÀO CAI</t>
  </si>
  <si>
    <t>KHAI THÁC VÀNG</t>
  </si>
  <si>
    <t>GLT</t>
  </si>
  <si>
    <t>CÔNG TY CỔ PHẦN KỸ THUẬT ĐIỆN TOÀN CẦU</t>
  </si>
  <si>
    <t>GLW</t>
  </si>
  <si>
    <t>CÔNG TY CỔ PHẦN CẤP THOÁT NƯỚC GIA LAI</t>
  </si>
  <si>
    <t>GMA</t>
  </si>
  <si>
    <t>CÔNG TY CỔ PHẦN ENTECO VIỆT NAM</t>
  </si>
  <si>
    <t>GMC</t>
  </si>
  <si>
    <t>CÔNG TY CỔ PHẦN GARMEX SÀI GÒN</t>
  </si>
  <si>
    <t>GMD</t>
  </si>
  <si>
    <t>CÔNG TY CỔ PHẦN GEMADEPT</t>
  </si>
  <si>
    <t>CÔNG TY CỔ PHẦN MINH HƯNG QUẢNG TRỊ</t>
  </si>
  <si>
    <t>CÔNG TY CỔ PHẦN GẠCH NGÓI GỐM XÂY DỰNG MỸ XUÂN</t>
  </si>
  <si>
    <t>CÔNG TY CỔ PHẦN GẠCH NGÓI ĐỒNG NAI</t>
  </si>
  <si>
    <t>GPC</t>
  </si>
  <si>
    <t>CÔNG TY CỔ PHẦN TẬP ĐOÀN GREEN+</t>
  </si>
  <si>
    <t>GSM</t>
  </si>
  <si>
    <t>CÔNG TY CỔ PHẦN THỦY ĐIỆN HƯƠNG SƠN</t>
  </si>
  <si>
    <t>CÔNG TY CỔ PHẦN VẬN TẢI SẢN PHẨM KHÍ QUỐC TẾ</t>
  </si>
  <si>
    <t>GTA</t>
  </si>
  <si>
    <t>CÔNG TY CỔ PHẦN CHẾ BIẾN GỖ THUẬN AN</t>
  </si>
  <si>
    <t>GTD</t>
  </si>
  <si>
    <t>CÔNG TY CỔ PHẦN GIẦY THƯỢNG ĐÌNH</t>
  </si>
  <si>
    <t>CÔNG TY CỔ PHẦN CÔNG TRÌNH GIAO THÔNG SÀI GÒN</t>
  </si>
  <si>
    <t>GTT</t>
  </si>
  <si>
    <t>CÔNG TY CỔ PHẦN THUẬN THẢO</t>
  </si>
  <si>
    <t>GVR</t>
  </si>
  <si>
    <t>TẬP ĐOÀN CÔNG NGHIỆP CAO SU VIỆT NAM</t>
  </si>
  <si>
    <t>GVT</t>
  </si>
  <si>
    <t>CÔNG TY CỔ PHẦN GIẤY VIỆT TRÌ</t>
  </si>
  <si>
    <t>CÔNG TY CỔ PHẦN XÂY DỰNG HUD101</t>
  </si>
  <si>
    <t>HAC</t>
  </si>
  <si>
    <t>CÔNG TY CỔ PHẦN CHỨNG KHOÁN HẢI PHÒNG</t>
  </si>
  <si>
    <t>HAD</t>
  </si>
  <si>
    <t>CÔNG TY CỔ PHẦN BIA HÀ NỘI - HẢI DƯƠNG</t>
  </si>
  <si>
    <t>HAF</t>
  </si>
  <si>
    <t>CÔNG TY CỔ PHẦN THỰC PHẨM HÀ NỘI</t>
  </si>
  <si>
    <t>HAG</t>
  </si>
  <si>
    <t>CÔNG TY CỔ PHẦN HOÀNG ANH GIA LAI</t>
  </si>
  <si>
    <t>HAH</t>
  </si>
  <si>
    <t>CÔNG TY CỔ PHẦN VẬN TẢI VÀ XẾP DỠ HẢI AN</t>
  </si>
  <si>
    <t>HAI</t>
  </si>
  <si>
    <t>CÔNG TY CỔ PHẦN NÔNG DƯỢC H.A.I</t>
  </si>
  <si>
    <t>CÔNG TY CỔ PHẦN VẬT TƯ HẬU GIANG</t>
  </si>
  <si>
    <t>TỔNG CÔNG TY XÂY DỰNG HÀ NỘI - CÔNG TY CỔ PHẦN</t>
  </si>
  <si>
    <t>HAP</t>
  </si>
  <si>
    <t>CÔNG TY CỔ PHẦN TẬP ĐOÀN HAPACO</t>
  </si>
  <si>
    <t>HAR</t>
  </si>
  <si>
    <t>CÔNG TY CỔ PHẦN ĐẦU TƯ THƯƠNG MẠI BẤT ĐỘNG SẢN AN DƯƠNG THẢO ĐIỀN</t>
  </si>
  <si>
    <t>CÔNG TY CỔ PHẦN HACISCO</t>
  </si>
  <si>
    <t>HAT</t>
  </si>
  <si>
    <t>CÔNG TY CỔ PHẦN THƯƠNG MẠI BIA HÀ NỘI</t>
  </si>
  <si>
    <t>HAV</t>
  </si>
  <si>
    <t>CÔNG TY CỔ PHẦN RƯỢU HAPRO</t>
  </si>
  <si>
    <t>VANG &amp; RƯỢU MẠNH</t>
  </si>
  <si>
    <t>HAX</t>
  </si>
  <si>
    <t>CÔNG TY CỔ PHẦN DỊCH VỤ Ô TÔ HÀNG XANH</t>
  </si>
  <si>
    <t>CÔNG TY CỔ PHẦN TẬP ĐOÀN XÂY DỰNG HÒA BÌNH</t>
  </si>
  <si>
    <t>CÔNG TY CỔ PHẦN BAO BÌ PP BÌNH DƯƠNG</t>
  </si>
  <si>
    <t>HBH</t>
  </si>
  <si>
    <t>CÔNG TY CỔ PHẦN HABECO - HẢI PHÒNG</t>
  </si>
  <si>
    <t>HBS</t>
  </si>
  <si>
    <t>CÔNG TY CỔ PHẦN CHỨNG KHOÁN HÒA BÌNH</t>
  </si>
  <si>
    <t>CÔNG TY CỔ PHẦN XÂY DỰNG SỐ 1 HÀ NỘI</t>
  </si>
  <si>
    <t>CÔNG TY CỔ PHẦN XÂY DỰNG SỐ 3 HẢI PHÒNG</t>
  </si>
  <si>
    <t>CÔNG TY CỔ PHẦN BÊ TÔNG HÒA CẨM - INTIMEX</t>
  </si>
  <si>
    <t>HCD</t>
  </si>
  <si>
    <t>CÔNG TY CỔ PHẦN ĐẦU TƯ SẢN XUẤT VÀ THƯƠNG MẠI HCD</t>
  </si>
  <si>
    <t>CÔNG TY CỔ PHẦN ĐẦU TƯ - XÂY DỰNG HÀ NỘI</t>
  </si>
  <si>
    <t>HCM</t>
  </si>
  <si>
    <t>CÔNG TY CỔ PHẦN CHỨNG KHOÁN THÀNH PHỐ HỒ CHÍ MINH</t>
  </si>
  <si>
    <t>CÔNG TY CỔ PHẦN THƯƠNG MẠI DỊCH VỤ VẬN TẢI XI MĂNG HẢI PHÒNG</t>
  </si>
  <si>
    <t>HD2</t>
  </si>
  <si>
    <t>CÔNG TY CỔ PHẦN ĐẦU TƯ PHÁT TRIỂN NHÀ HUD2</t>
  </si>
  <si>
    <t>HD6</t>
  </si>
  <si>
    <t>CÔNG TY CỔ PHẦN ĐẦU TƯ VÀ PHÁT TRIỂN NHÀ SỐ 6 HÀ NỘI</t>
  </si>
  <si>
    <t>HD8</t>
  </si>
  <si>
    <t>CÔNG TY CỔ PHẦN ĐẦU TƯ PHÁT TRIỂN NHÀ VÀ ĐÔ THỊ HUD8</t>
  </si>
  <si>
    <t>CÔNG TY CỔ PHẦN HÃNG SƠN ĐÔNG Á</t>
  </si>
  <si>
    <t>HDB</t>
  </si>
  <si>
    <t>NGÂN HÀNG TMCP PHÁT TRIỂN T.P HỒ CHÍ MINH</t>
  </si>
  <si>
    <t>HDC</t>
  </si>
  <si>
    <t>CÔNG TY CỔ PHẦN PHÁT TRIỂN NHÀ BÀ RỊA-VŨNG TÀU</t>
  </si>
  <si>
    <t>HDG</t>
  </si>
  <si>
    <t>CÔNG TY CỔ PHẦN TẬP ĐOÀN HÀ ĐÔ</t>
  </si>
  <si>
    <t>HDM</t>
  </si>
  <si>
    <t>CÔNG TY CỔ PHẦN DỆT MAY HUẾ</t>
  </si>
  <si>
    <t>CÔNG TY CỔ PHẦN HƯNG ĐẠO CONTAINER</t>
  </si>
  <si>
    <t>HDP</t>
  </si>
  <si>
    <t>CÔNG TY CỔ PHẦN DƯỢC HÀ TĨNH</t>
  </si>
  <si>
    <t>HDW</t>
  </si>
  <si>
    <t>CÔNG TY CỔ PHẦN KINH DOANH NƯỚC SẠCH HẢI DƯƠNG</t>
  </si>
  <si>
    <t>CÔNG TY CỔ PHẦN TƯ VẤN XÂY DỰNG THỦY LỢI II</t>
  </si>
  <si>
    <t>TỔNG CÔNG TY TƯ VẤN XÂY DỰNG THỦY LỢI VIỆT NAM - CTCP</t>
  </si>
  <si>
    <t>CÔNG TY CỔ PHẦN MÔI TRƯỜNG VÀ CÔNG TRÌNH ĐÔ THỊ HUẾ</t>
  </si>
  <si>
    <t>HES</t>
  </si>
  <si>
    <t>CÔNG TY CỔ PHẦN DỊCH VỤ GIẢI TRÍ HÀ NỘI</t>
  </si>
  <si>
    <t>HEV</t>
  </si>
  <si>
    <t>CÔNG TY CỔ PHẦN SÁCH ĐẠI HỌC - DẠY NGHỀ</t>
  </si>
  <si>
    <t>CÔNG TY CỔ PHẦN CÔNG TRÌNH CẦU PHÀ THÀNH PHỐ HỒ CHÍ MINH</t>
  </si>
  <si>
    <t>HFC</t>
  </si>
  <si>
    <t>CÔNG TY CỔ PHẦN XĂNG DẦU HFC</t>
  </si>
  <si>
    <t>HFX</t>
  </si>
  <si>
    <t>CÔNG TY CỔ PHẦN SẢN XUẤT - XUẤT NHẬP KHẨU THANH HÀ</t>
  </si>
  <si>
    <t>HGM</t>
  </si>
  <si>
    <t>CÔNG TY CỔ PHẦN CƠ KHÍ VÀ KHOÁNG SẢN HÀ GIANG</t>
  </si>
  <si>
    <t>HGT</t>
  </si>
  <si>
    <t>CÔNG TY CỔ PHẦN DU LỊCH HƯƠNG GIANG</t>
  </si>
  <si>
    <t>HHC</t>
  </si>
  <si>
    <t>CÔNG TY CỔ PHẦN BÁNH KẸO HẢI HÀ</t>
  </si>
  <si>
    <t>HHG</t>
  </si>
  <si>
    <t>CÔNG TY CỔ PHẦN HOÀNG HÀ</t>
  </si>
  <si>
    <t>CÔNG TY CỔ PHẦN VẬN TẢI VÀ DỊCH VỤ HÀNG HÓA HÀ NỘI</t>
  </si>
  <si>
    <t>HHP</t>
  </si>
  <si>
    <t>CÔNG TY CỔ PHẦN GIẤY HOÀNG HÀ HẢI PHÒNG</t>
  </si>
  <si>
    <t>HHS</t>
  </si>
  <si>
    <t>CÔNG TY CỔ PHẦN ĐẦU TƯ DỊCH VỤ HOÀNG HUY</t>
  </si>
  <si>
    <t>HHV</t>
  </si>
  <si>
    <t>CÔNG TY CỔ PHẦN ĐẦU TƯ HẠ TẦNG GIAO THÔNG ĐÈO CẢ</t>
  </si>
  <si>
    <t>CÔNG TY CỔ PHẦN HALCOM VIỆT NAM</t>
  </si>
  <si>
    <t>HII</t>
  </si>
  <si>
    <t>CÔNG TY CỔ PHẦN AN TIẾN INDUSTRIES</t>
  </si>
  <si>
    <t>HIO</t>
  </si>
  <si>
    <t>CÔNG TY CỔ PHẦN HELIO ENERGY</t>
  </si>
  <si>
    <t>HJC</t>
  </si>
  <si>
    <t>CÔNG TY CỔ PHẦN HÒA VIỆT</t>
  </si>
  <si>
    <t>HJS</t>
  </si>
  <si>
    <t>CÔNG TY CỔ PHẦN THỦY ĐIỆN NẬM MU</t>
  </si>
  <si>
    <t>HKB</t>
  </si>
  <si>
    <t>CÔNG TY CỔ PHẦN NÔNG NGHIỆP VÀ THỰC PHẨM HÀ NỘI - KINH BẮC</t>
  </si>
  <si>
    <t>HKT</t>
  </si>
  <si>
    <t>CÔNG TY CỔ PHẦN ĐẦU TƯ EGO VIỆT NAM</t>
  </si>
  <si>
    <t>HLA</t>
  </si>
  <si>
    <t>CÔNG TY CỔ PHẦN HỮU LIÊN Á CHÂU</t>
  </si>
  <si>
    <t>HLB</t>
  </si>
  <si>
    <t>CÔNG TY CỔ PHẦN BIA VÀ NƯỚC GIẢI KHÁT HẠ LONG</t>
  </si>
  <si>
    <t>HLC</t>
  </si>
  <si>
    <t>CÔNG TY CỔ PHẦN THAN HÀ LẦM - VINACOMIN</t>
  </si>
  <si>
    <t>HLD</t>
  </si>
  <si>
    <t>CÔNG TY CỔ PHẦN ĐẦU TƯ VÀ PHÁT TRIỂN BẤT ĐỘNG SẢN HUDLAND</t>
  </si>
  <si>
    <t>CÔNG TY CỔ PHẦN SỨ KỸ THUẬT HOÀNG LIÊN SƠN</t>
  </si>
  <si>
    <t>HLT</t>
  </si>
  <si>
    <t>CÔNG TY CỔ PHẦN DỆT MAY HOÀNG THỊ LOAN</t>
  </si>
  <si>
    <t>CÔNG TY CỔ PHẦN VIGLACERA HẠ LONG I</t>
  </si>
  <si>
    <t>HMC</t>
  </si>
  <si>
    <t>CÔNG TY CỔ PHẦN KIM KHÍ THÀNH PHỐ HỒ CHÍ MINH - VNSTEEL</t>
  </si>
  <si>
    <t>HMG</t>
  </si>
  <si>
    <t>CÔNG TY CỔ PHẦN KIM KHÍ HÀ NỘI - VNSTEEL</t>
  </si>
  <si>
    <t>CÔNG TY CỔ PHẦN HẢI MINH</t>
  </si>
  <si>
    <t>CÔNG TY CỔ PHẦN ĐÁ HOÀNG MAI</t>
  </si>
  <si>
    <t>CÔNG TY CỔ PHẦN XÂY DỰNG BẢO TÀNG HỒ CHÍ MINH</t>
  </si>
  <si>
    <t>HNA</t>
  </si>
  <si>
    <t>CÔNG TY CỔ PHẦN THỦY ĐIỆN HỦA NA</t>
  </si>
  <si>
    <t>CÔNG TY CỔ PHẦN BẾN XE HÀ NỘI</t>
  </si>
  <si>
    <t>HND</t>
  </si>
  <si>
    <t>CÔNG TY CỔ PHẦN NHIỆT ĐIỆN HẢI PHÒNG</t>
  </si>
  <si>
    <t>HNF</t>
  </si>
  <si>
    <t>CÔNG TY CỔ PHẦN THỰC PHẨM HỮU NGHỊ</t>
  </si>
  <si>
    <t>HNG</t>
  </si>
  <si>
    <t>CÔNG TY CỔ PHẦN NÔNG NGHIỆP QUỐC TẾ HOÀNG ANH GIA LAI</t>
  </si>
  <si>
    <t>HNI</t>
  </si>
  <si>
    <t>CÔNG TY CỔ PHẦN MAY HỮU NGHỊ</t>
  </si>
  <si>
    <t>HNM</t>
  </si>
  <si>
    <t>CÔNG TY CỔ PHẦN SỮA HÀ NỘI</t>
  </si>
  <si>
    <t>HNP</t>
  </si>
  <si>
    <t>CÔNG TY CỔ PHẦN HANEL XỐP NHỰA</t>
  </si>
  <si>
    <t>HNR</t>
  </si>
  <si>
    <t>CÔNG TY CỔ PHẦN RƯỢU VÀ NƯỚC GIẢI KHÁT HÀ NỘI</t>
  </si>
  <si>
    <t>CÔNG TY CỔ PHẦN XI MĂNG VICEM HOÀNG MAI</t>
  </si>
  <si>
    <t>HOT</t>
  </si>
  <si>
    <t>CÔNG TY CỔ PHẦN DU LỊCH - DỊCH VỤ HỘI AN</t>
  </si>
  <si>
    <t>CÔNG TY CỔ PHẦN BAO BÌ PP</t>
  </si>
  <si>
    <t>HPD</t>
  </si>
  <si>
    <t>CÔNG TY CÔNG TY CỔ PHẦN THỦY ĐIỆN ĐĂK ĐOA</t>
  </si>
  <si>
    <t>CÔNG TY CỔ PHẦN TẬP ĐOÀN HÒA PHÁT</t>
  </si>
  <si>
    <t>HPH</t>
  </si>
  <si>
    <t>CÔNG TY CỔ PHẦN HÓA CHẤT HƯNG PHÁT HÀ BẮC</t>
  </si>
  <si>
    <t>HPI</t>
  </si>
  <si>
    <t>CÔNG TY CỔ PHẦN KHU CÔNG NGHIỆP HIỆP PHƯỚC</t>
  </si>
  <si>
    <t>HPM</t>
  </si>
  <si>
    <t>CÔNG TY CỔ PHẦN XÂY DỰNG THƯƠNG MẠI VÀ KHOÁNG SẢN HOÀNG PHÚC</t>
  </si>
  <si>
    <t>CÔNG TY CỔ PHẦN SƠN HẢI PHÒNG</t>
  </si>
  <si>
    <t>HPT</t>
  </si>
  <si>
    <t>CÔNG TY CỔ PHẦN DỊCH VỤ CÔNG NGHỆ TIN HỌC HPT</t>
  </si>
  <si>
    <t>HPW</t>
  </si>
  <si>
    <t>CÔNG TY CỔ PHẦN CẤP NƯỚC HẢI PHÒNG</t>
  </si>
  <si>
    <t>HPX</t>
  </si>
  <si>
    <t>CÔNG TY CỔ PHẦN ĐẦU TƯ HẢI PHÁT</t>
  </si>
  <si>
    <t>HQC</t>
  </si>
  <si>
    <t>CÔNG TY CỔ PHẦN TƯ VẤN-THƯƠNG MẠI-DỊCH VỤ ĐỊA ỐC HOÀNG QUÂN</t>
  </si>
  <si>
    <t>HRB</t>
  </si>
  <si>
    <t>CÔNG TY CỔ PHẦN HAREC ĐẦU TƯ VÀ THƯƠNG MẠI</t>
  </si>
  <si>
    <t>HRC</t>
  </si>
  <si>
    <t>CÔNG TY CỔ PHẦN CAO SU HÒA BÌNH</t>
  </si>
  <si>
    <t>CÔNG TY CỔ PHẦN HESTIA</t>
  </si>
  <si>
    <t>CÔNG TY CỔ PHẦN TẬP ĐOÀN HOA SEN</t>
  </si>
  <si>
    <t>HSI</t>
  </si>
  <si>
    <t>CÔNG TY CỔ PHẦN VẬT TƯ TỔNG HỢP VÀ PHÂN BÓN HÓA SINH</t>
  </si>
  <si>
    <t>HSL</t>
  </si>
  <si>
    <t>CÔNG TY CỔ PHẦN ĐẦU TƯ PHÁT TRIỂN THỰC PHẨM HỒNG HÀ</t>
  </si>
  <si>
    <t>HSM</t>
  </si>
  <si>
    <t>TỔNG CÔNG TY CỔ PHẦN DỆT MAY HÀ NỘI</t>
  </si>
  <si>
    <t>CÔNG TY CỔ PHẦN SƠN TỔNG HỢP HÀ NỘI</t>
  </si>
  <si>
    <t>HSV</t>
  </si>
  <si>
    <t>CÔNG TY CỔ PHẦN GANG THÉP HÀ NỘI</t>
  </si>
  <si>
    <t>CÔNG TY CỔ PHẦN XI MĂNG VICEM HÀ TIÊN</t>
  </si>
  <si>
    <t>HTC</t>
  </si>
  <si>
    <t>CÔNG TY CỔ PHẦN THƯƠNG MẠI HÓC MÔN</t>
  </si>
  <si>
    <t>HTE</t>
  </si>
  <si>
    <t>CÔNG TY CỔ PHẦN ĐẦU TƯ KINH DOANH ĐIỆN LỰC THÀNH PHỐ HỒ CHÍ MINH</t>
  </si>
  <si>
    <t>HTG</t>
  </si>
  <si>
    <t>TỔNG CÔNG TY CỔ PHẦN DỆT MAY HÒA THỌ</t>
  </si>
  <si>
    <t>CÔNG TY CỔ PHẦN ĐẦU TƯ PHÁT TRIỂN HẠ TẦNG IDICO</t>
  </si>
  <si>
    <t>HTL</t>
  </si>
  <si>
    <t>CÔNG TY CỔ PHẦN KỸ THUẬT VÀ Ô TÔ TRƯỜNG LONG</t>
  </si>
  <si>
    <t>HTM</t>
  </si>
  <si>
    <t>TỔNG CÔNG TY THƯƠNG MẠI HÀ NỘI - CÔNG TY CỔ PHẦN</t>
  </si>
  <si>
    <t>HTN</t>
  </si>
  <si>
    <t>CÔNG TY CỔ PHẦN HƯNG THỊNH INCONS</t>
  </si>
  <si>
    <t>HTT</t>
  </si>
  <si>
    <t>CÔNG TY CỔ PHẦN THƯƠNG MẠI HÀ TÂY</t>
  </si>
  <si>
    <t>CÔNG TY CỔ PHẦN LOGISTICS VICEM</t>
  </si>
  <si>
    <t>CÔNG TY CỔ PHẦN ĐẦU TƯ VÀ XÂY DỰNG HUD1</t>
  </si>
  <si>
    <t>CÔNG TY CỔ PHẦN ĐẦU TƯ VÀ XÂY DỰNG HUD3</t>
  </si>
  <si>
    <t>CÔNG TY CỔ PHẦN ĐẦU TƯ VÀ XÂY DỰNG HUD4</t>
  </si>
  <si>
    <t>HU6</t>
  </si>
  <si>
    <t>CÔNG TY CỔ PHẦN ĐẦU TƯ PHÁT TRIỂN NHÀ VÀ ĐÔ THỊ HUD 6</t>
  </si>
  <si>
    <t>HUB</t>
  </si>
  <si>
    <t>CÔNG TY CỔ PHẦN XÂY LẮP THỪA THIÊN HUẾ</t>
  </si>
  <si>
    <t>HUG</t>
  </si>
  <si>
    <t>TỔNG CÔNG TY MAY HƯNG YÊN - CÔNG TY CỔ PHẦN</t>
  </si>
  <si>
    <t>HUT</t>
  </si>
  <si>
    <t>CÔNG TY CỔ PHẦN TASCO</t>
  </si>
  <si>
    <t>HVA</t>
  </si>
  <si>
    <t>CÔNG TY CỔ PHẦN ĐẦU TƯ HVA</t>
  </si>
  <si>
    <t>HVG</t>
  </si>
  <si>
    <t>CÔNG TY CỔ PHẦN HÙNG VƯƠNG</t>
  </si>
  <si>
    <t>CÔNG TY CỔ PHẦN ĐẦU TƯ VÀ CÔNG NGHỆ HVC</t>
  </si>
  <si>
    <t>HVN</t>
  </si>
  <si>
    <t>TỔNG CÔNG TY HÀNG KHÔNG VIỆT NAM - CTCP</t>
  </si>
  <si>
    <t>HÀNG KHÔNG</t>
  </si>
  <si>
    <t>HVT</t>
  </si>
  <si>
    <t>CÔNG TY CỔ PHẦN HÓA CHẤT VIỆT TRÌ</t>
  </si>
  <si>
    <t>CÔNG TY CỔ PHẦN XI MĂNG VICEM HẢI VÂN</t>
  </si>
  <si>
    <t>HWS</t>
  </si>
  <si>
    <t>CÔNG TY CỔ PHẦN CẤP NƯỚC THỪA THIÊN HUẾ</t>
  </si>
  <si>
    <t>IBC</t>
  </si>
  <si>
    <t>CÔNG TY CỔ PHẦN ĐẦU TƯ APAX HOLDINGS</t>
  </si>
  <si>
    <t>IBD</t>
  </si>
  <si>
    <t>CÔNG TY CỔ PHẦN IN TỔNG HỢP BÌNH DƯƠNG</t>
  </si>
  <si>
    <t>CÔNG TY CỔ PHẦN XÂY DỰNG CÔNG NGHIỆP</t>
  </si>
  <si>
    <t>ICF</t>
  </si>
  <si>
    <t>CÔNG TY CỔ PHẦN ĐẦU TƯ THƯƠNG MẠI THỦY SẢN</t>
  </si>
  <si>
    <t>CÔNG TY CỔ PHẦN XÂY DỰNG SÔNG HỒNG</t>
  </si>
  <si>
    <t>CÔNG TY CỔ PHẦN ĐẦU TƯ VÀ XÂY DỰNG CÔNG NGHIỆP</t>
  </si>
  <si>
    <t>CÔNG TY CỔ PHẦN ĐẦU TƯ XÂY DỰNG DẦU KHÍ IDICO</t>
  </si>
  <si>
    <t>ICT</t>
  </si>
  <si>
    <t>CÔNG TY CỔ PHẦN VIỄN THÔNG - TIN HỌC BƯU ĐIỆN</t>
  </si>
  <si>
    <t>IDC</t>
  </si>
  <si>
    <t>TỔNG CÔNG TY IDICO - CTCP</t>
  </si>
  <si>
    <t>IDI</t>
  </si>
  <si>
    <t>CÔNG TY CỔ PHẦN ĐẦU TƯ VÀ PHÁT TRIỂN ĐA QUỐC GIA I.D.I</t>
  </si>
  <si>
    <t>IDJ</t>
  </si>
  <si>
    <t>CÔNG TY CỔ PHẦN ĐẦU TƯ IDJ VIỆT NAM</t>
  </si>
  <si>
    <t>IDP</t>
  </si>
  <si>
    <t>CÔNG TY CỔ PHẦN SỮA QUỐC TẾ</t>
  </si>
  <si>
    <t>IDV</t>
  </si>
  <si>
    <t>CÔNG TY CỔ PHẦN PHÁT TRIỂN HẠ TẦNG VĨNH PHÚC</t>
  </si>
  <si>
    <t>IFS</t>
  </si>
  <si>
    <t>CÔNG TY CỔ PHẦN THỰC PHẨM QUỐC TẾ</t>
  </si>
  <si>
    <t>IHK</t>
  </si>
  <si>
    <t>CÔNG TY CỔ PHẦN IN HÀNG KHÔNG</t>
  </si>
  <si>
    <t>IJC</t>
  </si>
  <si>
    <t>CÔNG TY CỔ PHẦN PHÁT TRIỂN HẠ TẦNG KỸ THUẬT</t>
  </si>
  <si>
    <t>ILA</t>
  </si>
  <si>
    <t>CÔNG TY CỔ PHẦN ILA</t>
  </si>
  <si>
    <t>CÔNG TY CỔ PHẦN ICD TÂN CẢNG – LONG BÌNH</t>
  </si>
  <si>
    <t>CÔNG TY CỔ PHẦN HỢP TÁC LAO ĐỘNG VỚI NƯỚC NGOÀI</t>
  </si>
  <si>
    <t>CÔNG TY CỔ PHẦN ĐẦU TƯ THƯƠNG MẠI VÀ DỊCH VỤ QUỐC TẾ</t>
  </si>
  <si>
    <t>CÔNG TY CỔ PHẦN CƠ KHÍ VÀ XÂY LẮP CÔNG NGHIỆP</t>
  </si>
  <si>
    <t>IMP</t>
  </si>
  <si>
    <t>CÔNG TY CỔ PHẦN DƯỢC PHẨM IMEXPHARM</t>
  </si>
  <si>
    <t>IN4</t>
  </si>
  <si>
    <t>CÔNG TY CỔ PHẦN IN SỐ 4</t>
  </si>
  <si>
    <t>CÔNG TY CỔ PHẦN TƯ VẤN ĐẦU TƯ IDICO</t>
  </si>
  <si>
    <t>CÔNG TY CỔ PHẦN ĐẦU TƯ VÀ PHÁT TRIỂN XÂY DỰNG (INVESTCO)</t>
  </si>
  <si>
    <t>CÔNG TY CỔ PHẦN BAO BÌ VÀ IN NÔNG NGHIỆP</t>
  </si>
  <si>
    <t>CÔNG TY CỔ PHẦN TẬP ĐOÀN ĐẦU TƯ I.P.A</t>
  </si>
  <si>
    <t>IRC</t>
  </si>
  <si>
    <t>CÔNG TY CỔ PHẦN CAO SU CÔNG NGHIỆP</t>
  </si>
  <si>
    <t>CÔNG TY CỔ PHẦN VẬN TẢI BIỂN &amp; HỢP TÁC QUỐC TẾ</t>
  </si>
  <si>
    <t>ISH</t>
  </si>
  <si>
    <t>CÔNG TY CỔ PHẦN THỦY ĐIỆN SROK PHU MIÊNG IDICO</t>
  </si>
  <si>
    <t>CÔNG TY CỔ PHẦN ICD TÂN CẢNG SÓNG THẦN</t>
  </si>
  <si>
    <t>ITA</t>
  </si>
  <si>
    <t>CÔNG TY CỔ PHẦN ĐẦU TƯ VÀ CÔNG NGHIỆP TÂN TẠO</t>
  </si>
  <si>
    <t>ITC</t>
  </si>
  <si>
    <t>CÔNG TY CỔ PHẦN ĐẦU TƯ - KINH DOANH NHÀ</t>
  </si>
  <si>
    <t>ITD</t>
  </si>
  <si>
    <t>CÔNG TY CỔ PHẦN CÔNG NGHỆ TIÊN PHONG</t>
  </si>
  <si>
    <t>PHẦN CỨNG</t>
  </si>
  <si>
    <t>ITQ</t>
  </si>
  <si>
    <t>CÔNG TY CỔ PHẦN TẬP ĐOÀN THIÊN QUANG</t>
  </si>
  <si>
    <t>CÔNG TY CỔ PHẦN ĐẦU TƯ, THƯƠNG MẠI VÀ DỊCH VỤ - VINACOMIN</t>
  </si>
  <si>
    <t>IVS</t>
  </si>
  <si>
    <t>CÔNG TY CỔ PHẦN CHỨNG KHOÁN GUOTAI JUNAN (VIỆT NAM)</t>
  </si>
  <si>
    <t>JOS</t>
  </si>
  <si>
    <t>CÔNG TY CỔ PHẦN CHẾ BIẾN THỦY SẢN XUẤT KHẨU MINH HẢI</t>
  </si>
  <si>
    <t>JVC</t>
  </si>
  <si>
    <t>CÔNG TY CỔ PHẦN THIẾT BỊ Y TẾ VIỆT NHẬT</t>
  </si>
  <si>
    <t>KAC</t>
  </si>
  <si>
    <t>CÔNG TY CỔ PHẦN ĐẦU TƯ ĐỊA ỐC KHANG AN</t>
  </si>
  <si>
    <t>KBC</t>
  </si>
  <si>
    <t>TỔNG CÔNG TY PHÁT TRIỂN ĐÔ THỊ KINH BẮC-CÔNG TY CỔ PHẦN</t>
  </si>
  <si>
    <t>KCB</t>
  </si>
  <si>
    <t>CÔNG TY CỔ PHẦN KHOÁNG SẢN VÀ LUYỆN KIM CAO BẰNG</t>
  </si>
  <si>
    <t>KDC</t>
  </si>
  <si>
    <t>CÔNG TY CỔ PHẦN TẬP ĐOÀN KIDO</t>
  </si>
  <si>
    <t>KDH</t>
  </si>
  <si>
    <t>CÔNG TY CỔ PHẦN ĐẦU TƯ VÀ KINH DOANH NHÀ KHANG ĐIỀN</t>
  </si>
  <si>
    <t>CÔNG TY CỔ PHẦN - TỔNG CÔNG TY PHÁT TRIỂN KHU ĐÔ THỊ DÂN CƯ MỚI</t>
  </si>
  <si>
    <t>KGM</t>
  </si>
  <si>
    <t>CÔNG TY CỔ PHẦN XUẤT NHẬP KHẨU KIÊN GIANG</t>
  </si>
  <si>
    <t>KHD</t>
  </si>
  <si>
    <t>CÔNG TY CỔ PHẦN KHAI THÁC, CHẾ BIẾN KHOÁNG SẢN HẢI DƯƠNG</t>
  </si>
  <si>
    <t>KHG</t>
  </si>
  <si>
    <t>CÔNG TY CỔ PHẦN TẬP ĐOÀN KHẢI HOÀN LAND</t>
  </si>
  <si>
    <t>CÔNG TY CỔ PHẦN KHOÁNG SẢN VÀ VẬT LIỆU XÂY DỰNG HƯNG LONG</t>
  </si>
  <si>
    <t>KHP</t>
  </si>
  <si>
    <t>CÔNG TY CỔ PHẦN ĐIỆN LỰC KHÁNH HÒA</t>
  </si>
  <si>
    <t>KHS</t>
  </si>
  <si>
    <t>CÔNG TY CỔ PHẦN KIÊN HÙNG</t>
  </si>
  <si>
    <t>KHW</t>
  </si>
  <si>
    <t>CÔNG TY CỔ PHẦN CẤP NƯỚC KHÁNH HÒA</t>
  </si>
  <si>
    <t>CÔNG TY CỔ PHẦN K.I.P VIỆT NAM</t>
  </si>
  <si>
    <t>KKC</t>
  </si>
  <si>
    <t>CÔNG TY CỔ PHẦN TẬP ĐOÀN THÀNH THÁI</t>
  </si>
  <si>
    <t>KLB</t>
  </si>
  <si>
    <t>NGÂN HÀNG THƯƠNG MẠI CỔ PHẦN KIÊN LONG</t>
  </si>
  <si>
    <t>KLF</t>
  </si>
  <si>
    <t>CÔNG TY CỔ PHẦN ĐẦU TƯ THƯƠNG MẠI VÀ XUẤT NHẬP KHẨU CFS</t>
  </si>
  <si>
    <t>KIM LOẠI MÀU</t>
  </si>
  <si>
    <t>KMR</t>
  </si>
  <si>
    <t>CÔNG TY CỔ PHẦN MIRAE</t>
  </si>
  <si>
    <t>KMT</t>
  </si>
  <si>
    <t>CÔNG TY CỔ PHẦN KIM KHÍ MIỀN TRUNG</t>
  </si>
  <si>
    <t>KOS</t>
  </si>
  <si>
    <t>CÔNG TY CỔ PHẦN KOSY</t>
  </si>
  <si>
    <t>CÔNG TY CỔ PHẦN ĐẦU TƯ TÀI CHÍNH HOÀNG MINH</t>
  </si>
  <si>
    <t>KSB</t>
  </si>
  <si>
    <t>CÔNG TY CỔ PHẦN KHOÁNG SẢN VÀ XÂY DỰNG BÌNH DƯƠNG</t>
  </si>
  <si>
    <t>KSD</t>
  </si>
  <si>
    <t>CÔNG TY CỔ PHẦN ĐẦU TƯ DNA</t>
  </si>
  <si>
    <t>ĐỒ GIA DỤNG LÂU BỀN</t>
  </si>
  <si>
    <t>KSF</t>
  </si>
  <si>
    <t>CTCP TẬP ĐOÀN REAL TECH</t>
  </si>
  <si>
    <t>KSH</t>
  </si>
  <si>
    <t>CÔNG TY CỔ PHẦN DAMAC GLS</t>
  </si>
  <si>
    <t>KSQ</t>
  </si>
  <si>
    <t>CÔNG TY CỔ PHẦN CNC CAPITAL VIỆT NAM</t>
  </si>
  <si>
    <t>KSS</t>
  </si>
  <si>
    <t>CÔNG TY CỔ PHẦN KHOÁNG SẢN NA RÌ HAMICO</t>
  </si>
  <si>
    <t>KST</t>
  </si>
  <si>
    <t>CÔNG TY CỔ PHẦN KASATI</t>
  </si>
  <si>
    <t>KSV</t>
  </si>
  <si>
    <t>TỔNG CÔNG TY KHOÁNG SẢN TKV - CTCP</t>
  </si>
  <si>
    <t>KTC</t>
  </si>
  <si>
    <t>CÔNG TY CỔ PHẦN THƯƠNG MẠI KIÊN GIANG</t>
  </si>
  <si>
    <t>KTL</t>
  </si>
  <si>
    <t>CÔNG TY CỔ PHẦN KIM KHÍ THĂNG LONG</t>
  </si>
  <si>
    <t>KTS</t>
  </si>
  <si>
    <t>CÔNG TY CỔ PHẦN ĐƯỜNG KON TUM</t>
  </si>
  <si>
    <t>CÔNG TY CỔ PHẦN TẬP ĐOÀN ĐẦU TƯ KTT</t>
  </si>
  <si>
    <t>KVC</t>
  </si>
  <si>
    <t>CÔNG TY CỔ PHẦN SẢN XUẤT XUẤT NHẬP KHẨU INOX KIM VĨ</t>
  </si>
  <si>
    <t>CÔNG TY CỔ PHẦN LILAMA 10</t>
  </si>
  <si>
    <t>CÔNG TY CỔ PHẦN LICOGI 12</t>
  </si>
  <si>
    <t>CÔNG TY CỔ PHẦN LICOGI 14</t>
  </si>
  <si>
    <t>CÔNG TY CỔ PHẦN ĐẦU TƯ VÀ XÂY DỰNG SỐ 18</t>
  </si>
  <si>
    <t>CÔNG TY CỔ PHẦN CƠ KHÍ LẮP MÁY LILAMA</t>
  </si>
  <si>
    <t>CÔNG TY CỔ PHẦN ĐẦU TƯ VÀ XÂY DỰNG 40</t>
  </si>
  <si>
    <t>CÔNG TY CỔ PHẦN LILAMA 45.3</t>
  </si>
  <si>
    <t>CÔNG TY CỔ PHẦN LILAMA 45.4</t>
  </si>
  <si>
    <t>CÔNG TY CỔ PHẦN LILAMA 45.1</t>
  </si>
  <si>
    <t>CÔNG TY CỔ PHẦN LILAMA 69-1</t>
  </si>
  <si>
    <t>CÔNG TY CỔ PHẦN LILAMA 69-2</t>
  </si>
  <si>
    <t>CÔNG TY CỔ PHẦN LILAMA 69-3</t>
  </si>
  <si>
    <t>LAF</t>
  </si>
  <si>
    <t>CÔNG TY CỔ PHẦN CHẾ BIẾN HÀNG XUẤT KHẨU LONG AN</t>
  </si>
  <si>
    <t>CÔNG TY CỔ PHẦN ĐẦU TƯ XÂY DỰNG LONG AN IDICO</t>
  </si>
  <si>
    <t>LAS</t>
  </si>
  <si>
    <t>CÔNG TY CỔ PHẦN SUPE PHỐT PHÁT VÀ HÓA CHẤT LÂM THAO</t>
  </si>
  <si>
    <t>LAW</t>
  </si>
  <si>
    <t>CÔNG TY CỔ PHẦN CẤP THOÁT NƯỚC LONG AN</t>
  </si>
  <si>
    <t>LBE</t>
  </si>
  <si>
    <t>CÔNG TY CỔ PHẦN SÁCH VÀ THIẾT BỊ TRƯỜNG HỌC LONG AN</t>
  </si>
  <si>
    <t>CÔNG TY CỔ PHẦN KHOÁNG SẢN VÀ VẬT LIỆU XÂY DỰNG LÂM ĐỒNG</t>
  </si>
  <si>
    <t>CTCP XI MĂNG HỒNG PHONG</t>
  </si>
  <si>
    <t>CÔNG TY CỔ PHẦN LẮP MÁY - THÍ NGHIỆM CƠ ĐIỆN</t>
  </si>
  <si>
    <t>LCG</t>
  </si>
  <si>
    <t>CÔNG TY CỔ PHẦN LIZEN</t>
  </si>
  <si>
    <t>LCM</t>
  </si>
  <si>
    <t>CÔNG TY CỔ PHẦN KHAI THÁC VÀ CHẾ BIẾN KHOÁNG SẢN LÀO CAI</t>
  </si>
  <si>
    <t>CÔNG TY CỔ PHẦN LICOGI 166</t>
  </si>
  <si>
    <t>LDG</t>
  </si>
  <si>
    <t>CÔNG TY CỔ PHẦN ĐẦU TƯ LDG</t>
  </si>
  <si>
    <t>LDP</t>
  </si>
  <si>
    <t>CÔNG TY CỔ PHẦN DƯỢC LÂM ĐỒNG - LADOPHAR</t>
  </si>
  <si>
    <t>LDW</t>
  </si>
  <si>
    <t>CÔNG TY CỔ PHẦN CẤP THOÁT NƯỚC LÂM ĐỒNG</t>
  </si>
  <si>
    <t>LEC</t>
  </si>
  <si>
    <t>CÔNG TY CỔ PHẦN BẤT ĐỘNG SẢN ĐIỆN LỰC MIỀN TRUNG</t>
  </si>
  <si>
    <t>CÔNG TY CỔ PHẦN CƠ GIỚI VÀ XÂY LẮP SỐ 9</t>
  </si>
  <si>
    <t>CÔNG TY CỔ PHẦN ĐẦU TƯ CẦU ĐƯỜNG CII</t>
  </si>
  <si>
    <t>LGL</t>
  </si>
  <si>
    <t>CÔNG TY CỔ PHẦN ĐẦU TƯ VÀ PHÁT TRIỂN ĐÔ THỊ LONG GIANG</t>
  </si>
  <si>
    <t>LGM</t>
  </si>
  <si>
    <t>CÔNG TY CỔ PHẦN GIÀY DA VÀ MAY MẶC XUẤT KHẨU (LEGAMEX)</t>
  </si>
  <si>
    <t>CÔNG TY CỔ PHẦN ĐẦU TƯ VÀ XÂY DỰNG THỦY LỢI LÂM ĐỒNG</t>
  </si>
  <si>
    <t>LHG</t>
  </si>
  <si>
    <t>CÔNG TY CỔ PHẦN LONG HẬU</t>
  </si>
  <si>
    <t>TỔNG CÔNG TY LICOGI - CTCP</t>
  </si>
  <si>
    <t>CÔNG TY CỔ PHẦN LICOGI 13</t>
  </si>
  <si>
    <t>LIX</t>
  </si>
  <si>
    <t>CÔNG TY CỔ PHẦN BỘT GIẶT LIX</t>
  </si>
  <si>
    <t>LKW</t>
  </si>
  <si>
    <t>CÔNG TY CỔ PHẦN CẤP NƯỚC LONG KHÁNH</t>
  </si>
  <si>
    <t>TỔNG CÔNG TY LẮP MÁY VIỆT NAM - CÔNG TY CỔ PHẦN</t>
  </si>
  <si>
    <t>CÔNG TY CỔ PHẦN LILAMA 3</t>
  </si>
  <si>
    <t>CÔNG TY CỔ PHẦN LILAMA 7</t>
  </si>
  <si>
    <t>CÔNG TY CỔ PHẦN LILAMA 18</t>
  </si>
  <si>
    <t>LMC</t>
  </si>
  <si>
    <t>CÔNG TY CỔ PHẦN KHOÁNG SẢN LATCA</t>
  </si>
  <si>
    <t>LMH</t>
  </si>
  <si>
    <t>CÔNG TY CỔ PHẦN QUỐC TẾ HOLDING</t>
  </si>
  <si>
    <t>CÔNG TY CỔ PHẦN ĐẦU TƯ XÂY DỰNG LẮP MÁY IDICO</t>
  </si>
  <si>
    <t>LNC</t>
  </si>
  <si>
    <t>CÔNG TY CỔ PHẦN LỆ NINH</t>
  </si>
  <si>
    <t>CÔNG TY CỔ PHẦN LILAMA 5</t>
  </si>
  <si>
    <t>LPB</t>
  </si>
  <si>
    <t>CÔNG TY CỔ PHẦN THƯƠNG MẠI VÀ SẢN XUẤT LẬP PHƯƠNG THÀNH</t>
  </si>
  <si>
    <t>CÔNG TY CỔ PHẦN LICOGI QUẢNG NGÃI</t>
  </si>
  <si>
    <t>LSG</t>
  </si>
  <si>
    <t>CÔNG TY CỔ PHẦN BẤT ĐỘNG SẢN SÀI GÒN VINA</t>
  </si>
  <si>
    <t>LSS</t>
  </si>
  <si>
    <t>CÔNG TY CỔ PHẦN MÍA ĐƯỜNG LAM SƠN</t>
  </si>
  <si>
    <t>LTC</t>
  </si>
  <si>
    <t>CÔNG TY CỔ PHẦN ĐIỆN NHẸ VIỄN THÔNG</t>
  </si>
  <si>
    <t>LTG</t>
  </si>
  <si>
    <t>CÔNG TY CỔ PHẦN TẬP ĐOÀN LỘC TRỜI</t>
  </si>
  <si>
    <t>CÔNG TY CỔ PHẦN ĐẦU TƯ XÂY DỰNG LƯƠNG TÀI</t>
  </si>
  <si>
    <t>M10</t>
  </si>
  <si>
    <t>TỔNG CÔNG TY MAY 10 - CÔNG TY CỔ PHẦN</t>
  </si>
  <si>
    <t>MA1</t>
  </si>
  <si>
    <t>CÔNG TY CỔ PHẦN THIẾT BỊ</t>
  </si>
  <si>
    <t>CÔNG TY CỔ PHẦN CUNG ỨNG VÀ DỊCH VỤ KỸ THUẬT HÀNG HẢI</t>
  </si>
  <si>
    <t>MAS</t>
  </si>
  <si>
    <t>CÔNG TY CỔ PHẦN DỊCH VỤ HÀNG KHÔNG SÂN BAY ĐÀ NẴNG</t>
  </si>
  <si>
    <t>MBB</t>
  </si>
  <si>
    <t>NGÂN HÀNG THƯƠNG MẠI CỔ PHẦN QUÂN ĐỘI</t>
  </si>
  <si>
    <t>CÔNG TY CỔ PHẦN TẬP ĐOÀN MBG</t>
  </si>
  <si>
    <t>CÔNG TY CỔ PHẦN MÔI TRƯỜNG VÀ CÔNG TRÌNH ĐÔ THỊ BẮC NINH</t>
  </si>
  <si>
    <t>MBS</t>
  </si>
  <si>
    <t>CÔNG TY CỔ PHẦN CHỨNG KHOÁN MB</t>
  </si>
  <si>
    <t>CÔNG TY CỔ PHẦN GẠCH NGÓI CAO CẤP</t>
  </si>
  <si>
    <t>MCF</t>
  </si>
  <si>
    <t>CÔNG TY CỔ PHẦN XÂY LẮP CƠ KHÍ VÀ LƯƠNG THỰC THỰC PHẨM</t>
  </si>
  <si>
    <t>CÔNG TY CỔ PHẦN NĂNG LƯỢNG VÀ BẤT ĐỘNG SẢN MCG</t>
  </si>
  <si>
    <t>MCH</t>
  </si>
  <si>
    <t>CÔNG TY CỔ PHẦN HÀNG TIÊU DÙNG MASAN</t>
  </si>
  <si>
    <t>CÔNG TY CỔ PHẦN ĐẦU TƯ VÀ XÂY DỰNG BDC VIỆT NAM</t>
  </si>
  <si>
    <t>CÔNG TY CỔ PHẦN IN VÀ BAO BÌ MỸ CHÂU</t>
  </si>
  <si>
    <t>CÔNG TY CỔ PHẦN MÔI TRƯỜNG ĐÔ THỊ ĐÔNG ANH</t>
  </si>
  <si>
    <t>MDC</t>
  </si>
  <si>
    <t>CÔNG TY CỔ PHẦN THAN MÔNG DƯƠNG - VINACOMIN</t>
  </si>
  <si>
    <t>MDF</t>
  </si>
  <si>
    <t>CÔNG TY CỔ PHẦN GỖ MDF VRG QUẢNG TRỊ</t>
  </si>
  <si>
    <t>CÔNG TY CỔ PHẦN MIỀN ĐÔNG</t>
  </si>
  <si>
    <t>CÔNG TY CỔ PHẦN CƠ KHÍ - LẮP MÁY SÔNG ĐÀ</t>
  </si>
  <si>
    <t>MED</t>
  </si>
  <si>
    <t>CÔNG TY CỔ PHẦN DƯỢC TRUNG ƯƠNG MEDIPLANTEX</t>
  </si>
  <si>
    <t>MEF</t>
  </si>
  <si>
    <t>CÔNG TY CỔ PHẦN MEINFA</t>
  </si>
  <si>
    <t>MEL</t>
  </si>
  <si>
    <t>CÔNG TY CỔ PHẦN THÉP MÊ LIN</t>
  </si>
  <si>
    <t>CÔNG TY CỔ PHẦN CƠ ĐIỆN CÔNG TRÌNH</t>
  </si>
  <si>
    <t>MFS</t>
  </si>
  <si>
    <t>CÔNG TY CỔ PHẦN DỊCH VỤ KỸ THUẬT MOBIFONE</t>
  </si>
  <si>
    <t>MGC</t>
  </si>
  <si>
    <t>CÔNG TY CỔ PHẦN ĐỊA CHẤT MỎ - TKV</t>
  </si>
  <si>
    <t>MGG</t>
  </si>
  <si>
    <t>TỔNG CÔNG TY ĐỨC GIANG - CÔNG TY CỔ PHẦN</t>
  </si>
  <si>
    <t>MGR</t>
  </si>
  <si>
    <t>CTCP TẬP ĐOÀN MGROUP</t>
  </si>
  <si>
    <t>MH3</t>
  </si>
  <si>
    <t>CÔNG TY CỔ PHẦN KHU CÔNG NGHIỆP CAO SU BÌNH LONG</t>
  </si>
  <si>
    <t>CÔNG TY CỔ PHẦN MHC</t>
  </si>
  <si>
    <t>MIC</t>
  </si>
  <si>
    <t>CÔNG TY CỔ PHẦN KỸ NGHỆ KHOÁNG SẢN QUẢNG NAM</t>
  </si>
  <si>
    <t>TỔNG CÔNG TY MÁY VÀ THIẾT BỊ CÔNG NGHIỆP - CTCP</t>
  </si>
  <si>
    <t>MIG</t>
  </si>
  <si>
    <t>TỔNG CÔNG TY CỔ PHẦN BẢO HIỂM QUÂN ĐỘI</t>
  </si>
  <si>
    <t>MIM</t>
  </si>
  <si>
    <t>CÔNG TY CỔ PHẦN KHOÁNG SẢN VÀ CƠ KHÍ</t>
  </si>
  <si>
    <t>MKP</t>
  </si>
  <si>
    <t>CÔNG TY CỔ PHẦN HÓA - DƯỢC PHẨM MEKOPHAR</t>
  </si>
  <si>
    <t>MKV</t>
  </si>
  <si>
    <t>CÔNG TY CỔ PHẦN DƯỢC THÚ Y CAI LẬY</t>
  </si>
  <si>
    <t>CÔNG TY CỔ PHẦN MÔI TRƯỜNG ĐÔ THỊ TỈNH LÀO CAI</t>
  </si>
  <si>
    <t>MLS</t>
  </si>
  <si>
    <t>CÔNG TY CỔ PHẦN CHĂN NUÔI - MITRACO</t>
  </si>
  <si>
    <t>MML</t>
  </si>
  <si>
    <t>CÔNG TY CỔ PHẦN MASAN MEATLIFE</t>
  </si>
  <si>
    <t>MNB</t>
  </si>
  <si>
    <t>TỔNG CÔNG TY MAY NHÀ BÈ - CÔNG TY CỔ PHẦN</t>
  </si>
  <si>
    <t>CÔNG TY CỔ PHẦN MÔI TRƯỜNG NAM ĐỊNH</t>
  </si>
  <si>
    <t>MPC</t>
  </si>
  <si>
    <t>CÔNG TY CỔ PHẦN TẬP ĐOÀN THỦY SẢN MINH PHÚ</t>
  </si>
  <si>
    <t>MPT</t>
  </si>
  <si>
    <t>CÔNG TY CỔ PHẦN TẬP ĐOÀN TRƯỜNG TIỀN</t>
  </si>
  <si>
    <t>CÔNG TY CỔ PHẦN MÔI TRƯỜNG ĐÔ THỊ PHÚ YÊN</t>
  </si>
  <si>
    <t>CÔNG TY CỔ PHẦN MÔI TRƯỜNG VÀ PHÁT TRIỂN ĐÔ THỊ QUẢNG BÌNH</t>
  </si>
  <si>
    <t>CÔNG TY CỔ PHẦN MÔI TRƯỜNG ĐÔ THỊ QUẢNG NGÃI</t>
  </si>
  <si>
    <t>MRF</t>
  </si>
  <si>
    <t>CÔNG TY CỔ PHẦN MERUFA</t>
  </si>
  <si>
    <t>MSB</t>
  </si>
  <si>
    <t>NGÂN HÀNG THƯƠNG MẠI CỔ PHẦN HÀNG HẢI VIỆT NAM</t>
  </si>
  <si>
    <t>MSH</t>
  </si>
  <si>
    <t>CÔNG TY CỔ PHẦN MAY SÔNG HỒNG</t>
  </si>
  <si>
    <t>MSN</t>
  </si>
  <si>
    <t>CÔNG TY CỔ PHẦN TẬP ĐOÀN MASAN</t>
  </si>
  <si>
    <t>MSR</t>
  </si>
  <si>
    <t>CÔNG TY CỔ PHẦN MASAN HIGH-TECH MATERIALS</t>
  </si>
  <si>
    <t>CÔNG TY CỔ PHẦN ĐẦU TƯ MST</t>
  </si>
  <si>
    <t>MTA</t>
  </si>
  <si>
    <t>TỔNG CÔNG TY KHOÁNG SẢN VÀ THƯƠNG MẠI HÀ TĨNH - CTCP</t>
  </si>
  <si>
    <t>CÔNG TY CỔ PHẦN MÔI TRƯỜNG VÀ CÔNG TRÌNH ĐÔ THỊ TỈNH THÁI BÌNH</t>
  </si>
  <si>
    <t>MTG</t>
  </si>
  <si>
    <t>CÔNG TY CỔ PHẦN MT GAS</t>
  </si>
  <si>
    <t>CÔNG TY CỔ PHẦN MÔI TRƯỜNG ĐÔ THỊ HÀ ĐÔNG</t>
  </si>
  <si>
    <t>CÔNG TY CỔ PHẦN DỊCH VỤ MÔI TRƯỜNG ĐÔ THỊ TỪ LIÊM</t>
  </si>
  <si>
    <t>MTP</t>
  </si>
  <si>
    <t>CÔNG TY CỔ PHẦN DƯỢC MEDIPHARCO</t>
  </si>
  <si>
    <t>CÔNG TY CỔ PHẦN VẬT TƯ - TKV</t>
  </si>
  <si>
    <t>CÔNG TY CỔ PHẦN DỊCH VỤ MÔI TRƯỜNG VÀ CÔNG TRÌNH ĐÔ THỊ VŨNG TÀU</t>
  </si>
  <si>
    <t>MVB</t>
  </si>
  <si>
    <t>TỔNG CÔNG TY CÔNG NGHIỆP MỎ VIỆT BẮC TKV - CÔNG TY CỔ PHẦN</t>
  </si>
  <si>
    <t>CÔNG TY CỔ PHẦN VẬT LIỆU VÀ XÂY DỰNG BÌNH DƯƠNG</t>
  </si>
  <si>
    <t>TỔNG CÔNG TY HÀNG HẢI VIỆT NAM - CÔNG TY CỔ PHẦN</t>
  </si>
  <si>
    <t>MWG</t>
  </si>
  <si>
    <t>CÔNG TY CỔ PHẦN ĐẦU TƯ THẾ GIỚI DI ĐỘNG</t>
  </si>
  <si>
    <t>NAB</t>
  </si>
  <si>
    <t>NGÂN HÀNG THƯƠNG MẠI CỔ PHẦN NAM Á</t>
  </si>
  <si>
    <t>CÔNG TY CỔ PHẦN TƯ VẤN XÂY DỰNG TỔNG HỢP</t>
  </si>
  <si>
    <t>NAF</t>
  </si>
  <si>
    <t>CÔNG TY CỔ PHẦN NAFOODS GROUP</t>
  </si>
  <si>
    <t>CÔNG TY CỔ PHẦN TẬP ĐOÀN NAGAKAWA</t>
  </si>
  <si>
    <t>CÔNG TY CỔ PHẦN CẢNG NGHỆ TĨNH</t>
  </si>
  <si>
    <t>CÔNG TY CỔ PHẦN DỊCH VỤ HÀNG KHÔNG SÂN BAY NỘI BÀI</t>
  </si>
  <si>
    <t>CÔNG TY CỔ PHẦN MÔI TRƯỜNG VÀ CÔNG TRÌNH ĐÔ THỊ NGHỆ AN</t>
  </si>
  <si>
    <t>NAW</t>
  </si>
  <si>
    <t>CÔNG TY CỔ PHẦN CẤP NƯỚC NGHỆ AN</t>
  </si>
  <si>
    <t>NBB</t>
  </si>
  <si>
    <t>CÔNG TY CỔ PHẦN ĐẦU TƯ NĂM BẢY BẢY</t>
  </si>
  <si>
    <t>NBC</t>
  </si>
  <si>
    <t>CÔNG TY CỔ PHẦN THAN NÚI BÉO – VINACOMIN</t>
  </si>
  <si>
    <t>NBE</t>
  </si>
  <si>
    <t>CÔNG TY CỔ PHẦN SÁCH VÀ THIẾT BỊ GIÁO DỤC MIỀN BẮC</t>
  </si>
  <si>
    <t>NBP</t>
  </si>
  <si>
    <t>CÔNG TY CỔ PHẦN NHIỆT ĐIỆN NINH BÌNH</t>
  </si>
  <si>
    <t>NBT</t>
  </si>
  <si>
    <t>CÔNG TY CỔ PHẦN CẤP THOÁT NƯỚC BẾN TRE</t>
  </si>
  <si>
    <t>NBW</t>
  </si>
  <si>
    <t>CÔNG TY CỔ PHẦN CẤP NƯỚC NHÀ BÈ</t>
  </si>
  <si>
    <t>NCG</t>
  </si>
  <si>
    <t>CÔNG TY CỔ PHẦN TẬP ĐOÀN NOVA CONSUMER</t>
  </si>
  <si>
    <t>NCS</t>
  </si>
  <si>
    <t>CÔNG TY CỔ PHẦN SUẤT ĂN HÀNG KHÔNG NỘI BÀI</t>
  </si>
  <si>
    <t>NCT</t>
  </si>
  <si>
    <t>CÔNG TY CỔ PHẦN DỊCH VỤ HÀNG HÓA NỘI BÀI</t>
  </si>
  <si>
    <t>ND2</t>
  </si>
  <si>
    <t>CÔNG TY CỔ PHẦN ĐẦU TƯ PHÁT TRIỂN ĐIỆN MIỀN BẮC 2</t>
  </si>
  <si>
    <t>NDC</t>
  </si>
  <si>
    <t>CÔNG TY CỔ PHẦN NAM DƯỢC</t>
  </si>
  <si>
    <t>NDF</t>
  </si>
  <si>
    <t>CÔNG TY CỔ PHẦN CHẾ BIẾN THỰC PHẨM NÔNG SẢN XUẤT KHẨU NAM ĐỊNH</t>
  </si>
  <si>
    <t>NDN</t>
  </si>
  <si>
    <t>CÔNG TY CỔ PHẦN ĐẦU TƯ PHÁT TRIỂN NHÀ ĐÀ NẴNG</t>
  </si>
  <si>
    <t>NDP</t>
  </si>
  <si>
    <t>CÔNG TY CỔ PHẦN DƯỢC PHẨM 2/9</t>
  </si>
  <si>
    <t>NDT</t>
  </si>
  <si>
    <t>TỔNG CÔNG TY CỔ PHẦN DỆT MAY NAM ĐỊNH</t>
  </si>
  <si>
    <t>NDW</t>
  </si>
  <si>
    <t>CÔNG TY CỔ PHẦN CẤP NƯỚC NAM ĐỊNH</t>
  </si>
  <si>
    <t>CÔNG TY CỔ PHẦN XÂY LẮP PHÁT TRIỂN NHÀ ĐÀ NẴNG</t>
  </si>
  <si>
    <t>CÔNG TY CỔ PHẦN ĐẦU TƯ VÀ PHÁT TRIỂN ĐIỆN TÂY BẮC</t>
  </si>
  <si>
    <t>CÔNG TY CỔ PHẦN THIẾT BỊ ĐIỆN MIỀN BẮC</t>
  </si>
  <si>
    <t>NET</t>
  </si>
  <si>
    <t>CÔNG TY CỔ PHẦN BỘT GIẶT NET</t>
  </si>
  <si>
    <t>NFC</t>
  </si>
  <si>
    <t>CÔNG TY CỔ PHẦN PHÂN LÂN NINH BÌNH</t>
  </si>
  <si>
    <t>NGC</t>
  </si>
  <si>
    <t>CÔNG TY CỔ PHẦN CHẾ BIẾN THỦY SẢN XUẤT KHẨU NGÔ QUYỀN</t>
  </si>
  <si>
    <t>TỔNG CÔNG TY ĐẦU TƯ PHÁT TRIỂN NHÀ VÀ ĐÔ THỊ NAM HÀ NỘI</t>
  </si>
  <si>
    <t>CÔNG TY CỔ PHẦN GẠCH NGÓI NHỊ HIỆP</t>
  </si>
  <si>
    <t>NHH</t>
  </si>
  <si>
    <t>CÔNG TY CỔ PHẦN NHỰA HÀ NỘI</t>
  </si>
  <si>
    <t>CÔNG TY CỔ PHẦN SẢN XUẤT XUẤT NHẬP KHẨU NHP</t>
  </si>
  <si>
    <t>NHT</t>
  </si>
  <si>
    <t>CÔNG TY CỔ PHẦN SẢN XUẤT VÀ THƯƠNG MẠI NAM HOA</t>
  </si>
  <si>
    <t>ĐỒ CHƠI</t>
  </si>
  <si>
    <t>NHV</t>
  </si>
  <si>
    <t>CÔNG TY CỔ PHẦN ĐẦU TƯ NHV</t>
  </si>
  <si>
    <t>NJC</t>
  </si>
  <si>
    <t>CÔNG TY CỔ PHẦN MAY NAM ĐỊNH</t>
  </si>
  <si>
    <t>NKG</t>
  </si>
  <si>
    <t>CÔNG TY CỔ PHẦN THÉP NAM KIM</t>
  </si>
  <si>
    <t>NLG</t>
  </si>
  <si>
    <t>CÔNG TY CỔ PHẦN ĐẦU TƯ NAM LONG</t>
  </si>
  <si>
    <t>NLS</t>
  </si>
  <si>
    <t>CÔNG TY CỔ PHẦN CẤP THOÁT NƯỚC LẠNG SƠN</t>
  </si>
  <si>
    <t>CÔNG TY CỔ PHẦN ĐÁ NÚI NHỎ</t>
  </si>
  <si>
    <t>NNT</t>
  </si>
  <si>
    <t>CÔNG TY CỔ PHẦN CẤP NƯỚC NINH THUẬN</t>
  </si>
  <si>
    <t>NO1</t>
  </si>
  <si>
    <t>CTCP TẬP ĐOÀN 911</t>
  </si>
  <si>
    <t>CÔNG TY CỔ PHẦN VẬN TẢI BIỂN VÀ THƯƠNG MẠI PHƯƠNG ĐÔNG</t>
  </si>
  <si>
    <t>NQB</t>
  </si>
  <si>
    <t>CÔNG TY CỔ PHẦN CẤP NƯỚC QUẢNG BÌNH</t>
  </si>
  <si>
    <t>NQN</t>
  </si>
  <si>
    <t>CÔNG TY CỔ PHẦN NƯỚC SẠCH QUẢNG NINH</t>
  </si>
  <si>
    <t>NRC</t>
  </si>
  <si>
    <t>CÔNG TY CỔ PHẦN TẬP ĐOÀN DANH KHÔI</t>
  </si>
  <si>
    <t>NS2</t>
  </si>
  <si>
    <t>CÔNG TY CỔ PHẦN NƯỚC SẠCH SỐ 2 HÀ NỘI</t>
  </si>
  <si>
    <t>NSC</t>
  </si>
  <si>
    <t>CÔNG TY CỔ PHẦN TẬP ĐOÀN GIỐNG CÂY TRỒNG VIỆT NAM</t>
  </si>
  <si>
    <t>NSG</t>
  </si>
  <si>
    <t>CÔNG TY CỔ PHẦN NHỰA SÀI GÒN</t>
  </si>
  <si>
    <t>NSH</t>
  </si>
  <si>
    <t>CÔNG TY CỔ PHẦN NHÔM SÔNG HỒNG</t>
  </si>
  <si>
    <t>NHÔM</t>
  </si>
  <si>
    <t>NSL</t>
  </si>
  <si>
    <t>CÔNG TY CỔ PHẦN CẤP NƯỚC SƠN LA</t>
  </si>
  <si>
    <t>NSS</t>
  </si>
  <si>
    <t>CÔNG TY CỔ PHẦN NÔNG SÚC SẢN ĐỒNG NAI</t>
  </si>
  <si>
    <t>NST</t>
  </si>
  <si>
    <t>CÔNG TY CỔ PHẦN NGÂN SƠN</t>
  </si>
  <si>
    <t>NT2</t>
  </si>
  <si>
    <t>CÔNG TY CỔ PHẦN ĐIỆN LỰC DẦU KHÍ NHƠN TRẠCH 2</t>
  </si>
  <si>
    <t>NTB</t>
  </si>
  <si>
    <t>CÔNG TY CỔ PHẦN ĐẦU TƯ XÂY DỰNG VÀ KHAI THÁC CÔNG TRÌNH GIAO THÔNG 584</t>
  </si>
  <si>
    <t>NTC</t>
  </si>
  <si>
    <t>CÔNG TY CỔ PHẦN KHU CÔNG NGHIỆP NAM TÂN UYÊN</t>
  </si>
  <si>
    <t>NTF</t>
  </si>
  <si>
    <t>CÔNG TY CỔ PHẦN DƯỢC - VẬT TƯ Y TẾ NGHỆ AN</t>
  </si>
  <si>
    <t>NTH</t>
  </si>
  <si>
    <t>CÔNG TY CỔ PHẦN THỦY ĐIỆN NƯỚC TRONG</t>
  </si>
  <si>
    <t>NTL</t>
  </si>
  <si>
    <t>CÔNG TY CỔ PHẦN PHÁT TRIỂN ĐÔ THỊ TỪ LIÊM</t>
  </si>
  <si>
    <t>CÔNG TY CỔ PHẦN NHỰA THIẾU NIÊN TIỀN PHONG</t>
  </si>
  <si>
    <t>NTT</t>
  </si>
  <si>
    <t>CÔNG TY CỔ PHẦN DỆT - MAY NHA TRANG</t>
  </si>
  <si>
    <t>NTW</t>
  </si>
  <si>
    <t>CÔNG TY CỔ PHẦN CẤP NƯỚC NHƠN TRẠCH</t>
  </si>
  <si>
    <t>CÔNG TY CỔ PHẦN MÔI TRƯỜNG ĐÔ THỊ NHA TRANG</t>
  </si>
  <si>
    <t>NVB</t>
  </si>
  <si>
    <t>NGÂN HÀNG THƯƠNG MẠI CỔ PHẦN QUỐC DÂN</t>
  </si>
  <si>
    <t>CÔNG TY CỔ PHẦN TẬP ĐOÀN ĐẦU TƯ ĐỊA ỐC NO VA</t>
  </si>
  <si>
    <t>NVP</t>
  </si>
  <si>
    <t>CÔNG TY CỔ PHẦN NƯỚC SẠCH VĨNH PHÚC</t>
  </si>
  <si>
    <t>NVT</t>
  </si>
  <si>
    <t>CÔNG TY CỔ PHẦN BẤT ĐỘNG SẢN DU LỊCH NINH VÂN BAY</t>
  </si>
  <si>
    <t>NWT</t>
  </si>
  <si>
    <t>CÔNG TY CỔ PHẦN VẬN TẢI NEWWAY</t>
  </si>
  <si>
    <t>CÔNG TY CỔ PHẦN SẢN XUẤT VÀ CUNG ỨNG VẬT LIỆU XÂY DỰNG KON TUM</t>
  </si>
  <si>
    <t>OCB</t>
  </si>
  <si>
    <t>NGÂN HÀNG THƯƠNG MẠI CỔ PHẦN PHƯƠNG ĐÔNG</t>
  </si>
  <si>
    <t>OCH</t>
  </si>
  <si>
    <t>CÔNG TY CỔ PHẦN KHÁCH SẠN VÀ DỊCH VỤ OCH</t>
  </si>
  <si>
    <t>ODE</t>
  </si>
  <si>
    <t>CÔNG TY CỔ PHẦN TẬP ĐOÀN TRUYỀN THÔNG VÀ GIẢI TRÍ ODE</t>
  </si>
  <si>
    <t>OGC</t>
  </si>
  <si>
    <t>CÔNG TY CỔ PHẦN TẬP ĐOÀN ĐẠI DƯƠNG</t>
  </si>
  <si>
    <t>OIL</t>
  </si>
  <si>
    <t>TỔNG CÔNG TY DẦU VIỆT NAM - CÔNG TY CỔ PHẦN</t>
  </si>
  <si>
    <t>ONE</t>
  </si>
  <si>
    <t>CÔNG TY CỔ PHẦN TRUYỀN THÔNG SỐ 1</t>
  </si>
  <si>
    <t>ONW</t>
  </si>
  <si>
    <t>CÔNG TY CỔ PHẦN DỊCH VỤ MỘT THẾ GIỚI</t>
  </si>
  <si>
    <t>OPC</t>
  </si>
  <si>
    <t>CÔNG TY CỔ PHẦN DƯỢC PHẨM OPC</t>
  </si>
  <si>
    <t>ORS</t>
  </si>
  <si>
    <t>CÔNG TY CỔ PHẦN CHỨNG KHOÁN TIÊN PHONG</t>
  </si>
  <si>
    <t>PAC</t>
  </si>
  <si>
    <t>CÔNG TY CỔ PHẦN PIN ẮC QUY MIỀN NAM</t>
  </si>
  <si>
    <t>PAI</t>
  </si>
  <si>
    <t>CÔNG TY CỔ PHẦN CÔNG NGHỆ THÔNG TIN, VIỄN THÔNG VÀ TỰ ĐỘNG HÓA DẦU KHÍ</t>
  </si>
  <si>
    <t>PAN</t>
  </si>
  <si>
    <t>CÔNG TY CỔ PHẦN TẬP ĐOÀN PAN</t>
  </si>
  <si>
    <t>CÔNG TY CỔ PHẦN DẦU KHÍ ĐẦU TƯ KHAI THÁC CẢNG PHƯỚC AN</t>
  </si>
  <si>
    <t>PAS</t>
  </si>
  <si>
    <t>CÔNG TY CỔ PHẦN QUỐC TẾ PHƯƠNG ANH</t>
  </si>
  <si>
    <t>PAT</t>
  </si>
  <si>
    <t>CTCP PHỐT PHO APATIT VIỆT NAM</t>
  </si>
  <si>
    <t>PBC</t>
  </si>
  <si>
    <t>CÔNG TY CỔ PHẦN DƯỢC PHẨM TRUNG ƯƠNG I - PHARBACO</t>
  </si>
  <si>
    <t>CÔNG TY CỔ PHẦN BAO BÌ DẦU KHÍ VIỆT NAM</t>
  </si>
  <si>
    <t>CÔNG TY CỔ PHẦN NHÀ VÀ THƯƠNG MẠI DẦU KHÍ</t>
  </si>
  <si>
    <t>PC1</t>
  </si>
  <si>
    <t>CÔNG TY CỔ PHẦN XÂY LẮP ĐIỆN 1</t>
  </si>
  <si>
    <t>CÔNG TY CỔ PHẦN TẬP ĐOÀN XÂY LẮP 1 - PETROLIMEX</t>
  </si>
  <si>
    <t>PCE</t>
  </si>
  <si>
    <t>CÔNG TY CỔ PHẦN PHÂN BÓN VÀ HÓA CHẤT DẦU KHÍ MIỀN TRUNG</t>
  </si>
  <si>
    <t>PCF</t>
  </si>
  <si>
    <t>CÔNG TY CỔ PHẦN CÀ PHÊ PETEC</t>
  </si>
  <si>
    <t>PCG</t>
  </si>
  <si>
    <t>CÔNG TY CỔ PHẦN ĐẦU TƯ VÀ PHÁT TRIỂN GAS ĐÔ THỊ</t>
  </si>
  <si>
    <t>PCH</t>
  </si>
  <si>
    <t>PICOMAT</t>
  </si>
  <si>
    <t>CÔNG TY CỔ PHẦN VẬT LIỆU XÂY DỰNG BƯU ĐIỆN</t>
  </si>
  <si>
    <t>CÔNG TY CỔ PHẦN VẬN TẢI KHÍ VÀ HÓA CHẤT VIỆT NAM</t>
  </si>
  <si>
    <t>CÔNG TY CỐ PHẦN TẬP ĐOÀN ĐẦU TƯ DIN CAPITAL</t>
  </si>
  <si>
    <t>PDC</t>
  </si>
  <si>
    <t>CÔNG TY CỔ PHẦN DU LỊCH DẦU KHÍ PHƯƠNG ĐÔNG</t>
  </si>
  <si>
    <t>CÔNG TY CỔ PHẦN CẢNG ĐỒNG NAI</t>
  </si>
  <si>
    <t>PDR</t>
  </si>
  <si>
    <t>CÔNG TY CỔ PHẦN PHÁT TRIỂN BẤT ĐỘNG SẢN PHÁT ĐẠT</t>
  </si>
  <si>
    <t>CÔNG TY CỔ PHẦN VẬN TẢI DẦU PHƯƠNG ĐÔNG VIỆT</t>
  </si>
  <si>
    <t>CÔNG TY CỔ PHẦN CƠ KHÍ ĐIỆN LỰC</t>
  </si>
  <si>
    <t>PEG</t>
  </si>
  <si>
    <t>TỔNG CÔNG TY THƯƠNG MẠI KỸ THUẬT VÀ ĐẦU TƯ - CÔNG TY CỔ PHẦN</t>
  </si>
  <si>
    <t>CÔNG TY CỔ PHẦN XÂY LẮP III PETROLIMEX</t>
  </si>
  <si>
    <t>PEQ</t>
  </si>
  <si>
    <t>CÔNG TY CỔ PHẦN THIẾT BỊ XĂNG DẦU PETROLIMEX</t>
  </si>
  <si>
    <t>THIẾT BỊ VÀ DỊCH VỤ DẦU KHÍ</t>
  </si>
  <si>
    <t>THIẾT BỊ, DỊCH VỤ VÀ PHÂN PHỐI DẦU KHÍ</t>
  </si>
  <si>
    <t>PET</t>
  </si>
  <si>
    <t>TỔNG CÔNG TY CỔ PHẦN DỊCH VỤ TỔNG HỢP DẦU KHÍ</t>
  </si>
  <si>
    <t>CÔNG TY CỔ PHẦN DẦU KHÍ ĐÔNG ĐÔ</t>
  </si>
  <si>
    <t>PGB</t>
  </si>
  <si>
    <t>NGÂN HÀNG TMCP XĂNG DẦU PETROLIMEX</t>
  </si>
  <si>
    <t>PGC</t>
  </si>
  <si>
    <t>TỔNG CÔNG TY GAS PETROLIMEX-CÔNG TY CỔ PHẦN</t>
  </si>
  <si>
    <t>PGD</t>
  </si>
  <si>
    <t>CÔNG TY CỔ PHẦN PHÂN PHỐI KHÍ THẤP ÁP DẦU KHÍ VIỆT NAM</t>
  </si>
  <si>
    <t>PGI</t>
  </si>
  <si>
    <t>TỔNG CÔNG TY CỔ PHẦN BẢO HIỂM PETROLIMEX</t>
  </si>
  <si>
    <t>PGN</t>
  </si>
  <si>
    <t>CÔNG TY CỔ PHẦN PHỤ GIA NHỰA</t>
  </si>
  <si>
    <t>PGS</t>
  </si>
  <si>
    <t>CÔNG TY CỔ PHẦN KINH DOANH KHÍ MIỀN NAM</t>
  </si>
  <si>
    <t>PGT</t>
  </si>
  <si>
    <t>CÔNG TY CỔ PHẦN PGT HOLDINGS</t>
  </si>
  <si>
    <t>PGV</t>
  </si>
  <si>
    <t>TỔNG CÔNG TY PHÁT ĐIỆN 3 - CÔNG TY CỔ PHẦN</t>
  </si>
  <si>
    <t>CÔNG TY CỔ PHẦN XÂY DỰNG PHỤC HƯNG HOLDINGS</t>
  </si>
  <si>
    <t>CÔNG TY CỔ PHẦN HỒNG HÀ VIỆT NAM</t>
  </si>
  <si>
    <t>CÔNG TY CỔ PHẦN PIN HÀ NỘI</t>
  </si>
  <si>
    <t>CÔNG TY CỔ PHẦN CẢNG HẢI PHÒNG</t>
  </si>
  <si>
    <t>PHR</t>
  </si>
  <si>
    <t>CÔNG TY CỔ PHẦN CAO SU PHƯỚC HÒA</t>
  </si>
  <si>
    <t>PHS</t>
  </si>
  <si>
    <t>CÔNG TY CỔ PHẦN CHỨNG KHOÁN PHÚ HƯNG</t>
  </si>
  <si>
    <t>PIA</t>
  </si>
  <si>
    <t>CÔNG TY CỔ PHẦN TIN HỌC VIỄN THÔNG PETROLIMEX</t>
  </si>
  <si>
    <t>PIC</t>
  </si>
  <si>
    <t>CÔNG TY CỔ PHẦN ĐẦU TƯ ĐIỆN LỰC 3</t>
  </si>
  <si>
    <t>CÔNG TY CỔ PHẦN TRANG TRÍ NỘI THẤT DẦU KHÍ</t>
  </si>
  <si>
    <t>PIS</t>
  </si>
  <si>
    <t>TỔNG CÔNG TY PISICO BÌNH ĐỊNH - CTCP</t>
  </si>
  <si>
    <t>PIT</t>
  </si>
  <si>
    <t>CÔNG TY CỔ PHẦN XUẤT NHẬP KHẨU PETROLIMEX</t>
  </si>
  <si>
    <t>PIV</t>
  </si>
  <si>
    <t>CÔNG TY CỔ PHẦN PIV</t>
  </si>
  <si>
    <t>PJC</t>
  </si>
  <si>
    <t>CÔNG TY CỔ PHẦN THƯƠNG MẠI VÀ VẬN TẢI PETROLIMEX HÀ NỘI</t>
  </si>
  <si>
    <t>PJS</t>
  </si>
  <si>
    <t>CÔNG TY CỔ PHẦN CẤP NƯỚC PHÚ HÒA TÂN</t>
  </si>
  <si>
    <t>CÔNG TY CỔ PHẦN VẬN TẢI XĂNG DẦU ĐƯỜNG THỦY PETROLIMEX</t>
  </si>
  <si>
    <t>PLA</t>
  </si>
  <si>
    <t>CÔNG TY CỔ PHẦN ĐẦU TƯ DỊCH VỤ HẠ TẦNG XĂNG DẦU</t>
  </si>
  <si>
    <t>PLC</t>
  </si>
  <si>
    <t>TỔNG CÔNG TY HÓA DẦU PETROLIMEX-CÔNG TY CỔ PHẦN</t>
  </si>
  <si>
    <t>CÔNG TY CỔ PHẦN TƯ VẤN XÂY DỰNG PETROLIMEX</t>
  </si>
  <si>
    <t>CÔNG TY CỔ PHẦN KHO VẬN PETEC</t>
  </si>
  <si>
    <t>PLP</t>
  </si>
  <si>
    <t>CÔNG TY CỔ PHẦN SẢN XUẤT VÀ CÔNG NGHỆ NHỰA PHA LÊ</t>
  </si>
  <si>
    <t>PLX</t>
  </si>
  <si>
    <t>TẬP ĐOÀN XĂNG DẦU VIỆT NAM</t>
  </si>
  <si>
    <t>PMB</t>
  </si>
  <si>
    <t>CÔNG TY CỔ PHẦN PHÂN BÓN VÀ HÓA CHẤT DẦU KHÍ MIỀN BẮC</t>
  </si>
  <si>
    <t>PMC</t>
  </si>
  <si>
    <t>CÔNG TY CỔ PHẦN DƯỢC PHẨM DƯỢC LIỆU PHARMEDIC</t>
  </si>
  <si>
    <t>PMG</t>
  </si>
  <si>
    <t>CÔNG TY CỔ PHẦN ĐẦU TƯ VÀ SẢN XUẤT PETRO MIỀN TRUNG</t>
  </si>
  <si>
    <t>PMJ</t>
  </si>
  <si>
    <t>CÔNG TY CỔ PHẦN VẬT TƯ BƯU ĐIỆN</t>
  </si>
  <si>
    <t>CÔNG TY CỔ PHẦN BAO BÌ ĐẠM PHÚ MỸ</t>
  </si>
  <si>
    <t>CÔNG TY CỔ PHẦN CƠ KHÍ XĂNG DẦU</t>
  </si>
  <si>
    <t>PMT</t>
  </si>
  <si>
    <t>CÔNG TY CỔ PHẦN VIỄN THÔNG TELVINA VIỆT NAM</t>
  </si>
  <si>
    <t>PMW</t>
  </si>
  <si>
    <t>CÔNG TY CỔ PHẦN CẤP NƯỚC PHÚ MỸ</t>
  </si>
  <si>
    <t>PNC</t>
  </si>
  <si>
    <t>CÔNG TY CỔ PHẦN VĂN HOÁ PHƯƠNG NAM</t>
  </si>
  <si>
    <t>PND</t>
  </si>
  <si>
    <t>CÔNG TY CỔ PHẦN XĂNG DẦU DẦU KHÍ NAM ĐỊNH</t>
  </si>
  <si>
    <t>PNG</t>
  </si>
  <si>
    <t>CÔNG TY CỔ PHẦN THƯƠNG MẠI PHÚ NHUẬN</t>
  </si>
  <si>
    <t>PNJ</t>
  </si>
  <si>
    <t>CÔNG TY CỔ PHẦN VÀNG BẠC ĐÁ QUÝ PHÚ NHUẬN</t>
  </si>
  <si>
    <t>CÔNG TY CỔ PHẦN TÂN CẢNG - PHÚ HỮU</t>
  </si>
  <si>
    <t>CÔNG TY CỔ PHẦN KỸ THUẬT XÂY DỰNG PHÚ NHUẬN</t>
  </si>
  <si>
    <t>POB</t>
  </si>
  <si>
    <t>CÔNG TY CỔ PHẦN XĂNG DẦU DẦU KHÍ THÁI BÌNH</t>
  </si>
  <si>
    <t>POM</t>
  </si>
  <si>
    <t>CÔNG TY CỔ PHẦN THÉP POMINA</t>
  </si>
  <si>
    <t>POS</t>
  </si>
  <si>
    <t>CÔNG TY CỔ PHẦN DỊCH VỤ LẮP ĐẶT, VẬN HÀNH VÀ BẢO DƯỠNG CÔNG TRÌNH DẦU KHÍ BIỂN PTSC</t>
  </si>
  <si>
    <t>POT</t>
  </si>
  <si>
    <t>CÔNG TY CỔ PHẦN THIẾT BỊ BƯU ĐIỆN</t>
  </si>
  <si>
    <t>POV</t>
  </si>
  <si>
    <t>CÔNG TY CỔ PHẦN XĂNG DẦU DẦU KHÍ VŨNG ÁNG</t>
  </si>
  <si>
    <t>POW</t>
  </si>
  <si>
    <t>TỔNG CÔNG TY ĐIỆN LỰC DẦU KHÍ VIỆT NAM - CÔNG TY CỔ PHẦN</t>
  </si>
  <si>
    <t>PPC</t>
  </si>
  <si>
    <t>CÔNG TY CỔ PHẦN NHIỆT ĐIỆN PHẢ LẠI</t>
  </si>
  <si>
    <t>CTCP TƯ VẤN ĐẦU TƯ PP ENTERPRISE</t>
  </si>
  <si>
    <t>PPH</t>
  </si>
  <si>
    <t>TỔNG CÔNG TY CỔ PHẦN PHONG PHÚ</t>
  </si>
  <si>
    <t>PPI</t>
  </si>
  <si>
    <t>CÔNG TY CỔ PHẦN ĐẦU TƯ VÀ PHÁT TRIỂN DỰ ÁN HẠ TẦNG THÁI BÌNH DƯƠNG</t>
  </si>
  <si>
    <t>PPP</t>
  </si>
  <si>
    <t>CÔNG TY CỔ PHẦN DƯỢC PHẨM PHONG PHÚ</t>
  </si>
  <si>
    <t>CÔNG TY CỔ PHẦN DỊCH VỤ KỸ THUẬT ĐIỆN LỰC DẦU KHÍ VIỆT NAM</t>
  </si>
  <si>
    <t>PPT</t>
  </si>
  <si>
    <t>CÔNG TY CỔ PHẦN PETRO TIMES</t>
  </si>
  <si>
    <t>PPY</t>
  </si>
  <si>
    <t>CÔNG TY CỔ PHẦN XĂNG DẦU DẦU KHÍ PHÚ YÊN</t>
  </si>
  <si>
    <t>CÔNG TY CỔ PHẦN DỊCH VỤ DẦU KHÍ QUẢNG NGÃI PTSC</t>
  </si>
  <si>
    <t>CÔNG TY CỔ PHẦN LOGISTICS PORTSERCO</t>
  </si>
  <si>
    <t>PRE</t>
  </si>
  <si>
    <t>TỔNG CÔNG TY CỔ PHẦN TÁI BẢO HIỂM PVI</t>
  </si>
  <si>
    <t>TÁI BẢO HIỂM</t>
  </si>
  <si>
    <t>PRO</t>
  </si>
  <si>
    <t>CÔNG TY CỔ PHẦN PROCIMEX VIỆT NAM</t>
  </si>
  <si>
    <t>PRT</t>
  </si>
  <si>
    <t>TỔNG CÔNG TY SẢN XUẤT - XUẤT NHẬP KHẨU BÌNH DƯƠNG - TNHH MTV</t>
  </si>
  <si>
    <t>CÔNG TY CỔ PHẦN ĐẦU TƯ DẦU KHÍ SAO MAI – BẾN ĐÌNH</t>
  </si>
  <si>
    <t>CÔNG TY CỔ PHẦN VẬN TẢI VÀ DỊCH VỤ PETROLIMEX SÀI GÒN</t>
  </si>
  <si>
    <t>PSD</t>
  </si>
  <si>
    <t>CÔNG TY CỔ PHẦN DỊCH VỤ PHÂN PHỐI TỔNG HỢP DẦU KHÍ</t>
  </si>
  <si>
    <t>PSE</t>
  </si>
  <si>
    <t>CÔNG TY CỔ PHẦN PHÂN BÓN VÀ HÓA CHẤT DẦU KHÍ ĐÔNG NAM BỘ</t>
  </si>
  <si>
    <t>CÔNG TY CỔ PHẦN ĐẦU TƯ VÀ XÂY LẮP DẦU KHÍ SÀI GÒN</t>
  </si>
  <si>
    <t>PSH</t>
  </si>
  <si>
    <t>CÔNG TY CỔ PHẦN THƯƠNG MẠI ĐẦU TƯ DẦU KHÍ NAM SÔNG HẬU</t>
  </si>
  <si>
    <t>PSI</t>
  </si>
  <si>
    <t>CÔNG TY CỔ PHẦN CHỨNG KHOÁN DẦU KHÍ</t>
  </si>
  <si>
    <t>PSL</t>
  </si>
  <si>
    <t>CÔNG TY CỔ PHẦN CHĂN NUÔI PHÚ SƠN</t>
  </si>
  <si>
    <t>CÔNG TY CỔ PHẦN DỊCH VỤ KỸ THUẬT PTSC THANH HÓA</t>
  </si>
  <si>
    <t>CÔNG TY CỔ PHẦN CẢNG DỊCH VỤ DẦU KHÍ ĐÌNH VŨ</t>
  </si>
  <si>
    <t>PSW</t>
  </si>
  <si>
    <t>CÔNG TY CỔ PHẦN PHÂN BÓN VÀ HÓA CHẤT DẦU KHÍ TÂY NAM BỘ</t>
  </si>
  <si>
    <t>PTB</t>
  </si>
  <si>
    <t>CÔNG TY CỔ PHẦN PHÚ TÀI</t>
  </si>
  <si>
    <t>CÔNG TY CỔ PHẦN ĐẦU TƯ ICAPITAL</t>
  </si>
  <si>
    <t>CÔNG TY CỔ PHẦN THIẾT KẾ - XÂY DỰNG - THƯƠNG MẠI PHÚC THỊNH</t>
  </si>
  <si>
    <t>CÔNG TY CỔ PHẦN XI MĂNG PHÚ THỌ</t>
  </si>
  <si>
    <t>PTG</t>
  </si>
  <si>
    <t>CÔNG TY CỔ PHẦN MAY XUẤT KHẨU PHAN THIẾT</t>
  </si>
  <si>
    <t>PTH</t>
  </si>
  <si>
    <t>CÔNG TY CỔ PHẦN VẬN TẢI VÀ DỊCH VỤ PETROLIMEX HÀ TÂY</t>
  </si>
  <si>
    <t>PTI</t>
  </si>
  <si>
    <t>TỔNG CÔNG TY CỔ PHẦN BẢO HIỂM BƯU ĐIỆN</t>
  </si>
  <si>
    <t>PTL</t>
  </si>
  <si>
    <t>CÔNG TY CỔ PHẦN VICTORY CAPITAL</t>
  </si>
  <si>
    <t>CÔNG TY CỔ PHẦN DỊCH VỤ - XÂY DỰNG CÔNG TRÌNH BƯU ĐIỆN</t>
  </si>
  <si>
    <t>PTP</t>
  </si>
  <si>
    <t>CÔNG TY CỔ PHẦN DỊCH VỤ VIỄN THÔNG VÀ IN BƯU ĐIỆN</t>
  </si>
  <si>
    <t>CÔNG TY CỔ PHẦN VẬN TẢI VÀ DỊCH VỤ PETROLIMEX HẢI PHÒNG</t>
  </si>
  <si>
    <t>CÔNG TY CỔ PHẦN VẬN TẢI DẦU KHÍ ĐÔNG DƯƠNG</t>
  </si>
  <si>
    <t>PTV</t>
  </si>
  <si>
    <t>CÔNG TY CỔ PHẦN THƯƠNG MẠI DẦU KHÍ</t>
  </si>
  <si>
    <t>CÔNG TY CỔ PHẦN VẬN TẢI VÀ DỊCH VỤ PETROLIMEX NGHỆ TĨNH</t>
  </si>
  <si>
    <t>PV2</t>
  </si>
  <si>
    <t>CÔNG TY CỔ PHẦN ĐẦU TƯ PV2</t>
  </si>
  <si>
    <t>CÔNG TY CỔ PHẦN TỔNG CÔNG TY XÂY LẮP DẦU KHÍ NGHỆ AN</t>
  </si>
  <si>
    <t>PVB</t>
  </si>
  <si>
    <t>CÔNG TY CỔ PHẦN BỌC ỐNG DẦU KHÍ VIỆT NAM</t>
  </si>
  <si>
    <t>PVC</t>
  </si>
  <si>
    <t>TỔNG CÔNG TY HÓA CHẤT VÀ DỊCH VỤ DẦU KHÍ - CÔNG TY CỔ PHẦN</t>
  </si>
  <si>
    <t>PVD</t>
  </si>
  <si>
    <t>TỔNG CÔNG TY CỔ PHẦN KHOAN VÀ DỊCH VỤ KHOAN DẦU KHÍ</t>
  </si>
  <si>
    <t>PVE</t>
  </si>
  <si>
    <t>TỔNG CÔNG TY TƯ VẤN THIẾT KẾ DẦU KHÍ-CÔNG TY CỔ PHẦN</t>
  </si>
  <si>
    <t>PVG</t>
  </si>
  <si>
    <t>CÔNG TY CỔ PHẦN KINH DOANH LPG VIỆT NAM</t>
  </si>
  <si>
    <t>CÔNG TY CỔ PHẦN XÂY LẮP DẦU KHÍ THANH HÓA</t>
  </si>
  <si>
    <t>PVI</t>
  </si>
  <si>
    <t>CÔNG TY CỔ PHẦN PVI</t>
  </si>
  <si>
    <t>PVL</t>
  </si>
  <si>
    <t>CÔNG TY CỔ PHẦN ĐẦU TƯ NHÀ ĐẤT VIỆT</t>
  </si>
  <si>
    <t>CÔNG TY CỔ PHẦN MÁY - THIẾT BỊ DẦU KHÍ</t>
  </si>
  <si>
    <t>PVO</t>
  </si>
  <si>
    <t>CÔNG TY CỔ PHẦN DẦU NHỜN PV OIL</t>
  </si>
  <si>
    <t>PVP</t>
  </si>
  <si>
    <t>CÔNG TY CỔ PHẦN VẬN TẢI DẦU KHÍ THÁI BÌNH DƯƠNG</t>
  </si>
  <si>
    <t>PVR</t>
  </si>
  <si>
    <t>CÔNG TY CỔ PHẦN ĐẦU TƯ PVR HÀ NỘI</t>
  </si>
  <si>
    <t>PVS</t>
  </si>
  <si>
    <t>TỔNG CÔNG TY CỔ PHẦN DỊCH VỤ KỸ THUẬT DẦU KHÍ VIỆT NAM</t>
  </si>
  <si>
    <t>PVT</t>
  </si>
  <si>
    <t>TỔNG CÔNG TY CỔ PHẦN VẬN TẢI DẦU KHÍ</t>
  </si>
  <si>
    <t>CÔNG TY CỔ PHẦN VINACONEX 39</t>
  </si>
  <si>
    <t>TỔNG CÔNG TY CỔ PHẦN XÂY LẮP DẦU KHÍ VIỆT NAM</t>
  </si>
  <si>
    <t>CÔNG TY CỔ PHẦN CHẾ TẠO GIÀN KHOAN DẦU KHÍ</t>
  </si>
  <si>
    <t>PWA</t>
  </si>
  <si>
    <t>CÔNG TY CỔ PHẦN BẤT ĐỘNG SẢN DẦU KHÍ</t>
  </si>
  <si>
    <t>PWS</t>
  </si>
  <si>
    <t>CÔNG TY CỔ PHẦN CẤP THOÁT NƯỚC PHÚ YÊN</t>
  </si>
  <si>
    <t>CÔNG TY CỔ PHẦN XI MĂNG SÔNG LAM 2</t>
  </si>
  <si>
    <t>PXA</t>
  </si>
  <si>
    <t>CÔNG TY CỔ PHẦN ĐẦU TƯ &amp; THƯƠNG MẠI DẦU KHÍ NGHỆ AN</t>
  </si>
  <si>
    <t>PXC</t>
  </si>
  <si>
    <t>CÔNG TY CỔ PHẦN PHÁT TRIỂN ĐÔ THỊ DẦU KHÍ</t>
  </si>
  <si>
    <t>CÔNG TY CỔ PHẦN XÂY DỰNG CÔNG NGHIỆP VÀ DÂN DỤNG DẦU KHÍ</t>
  </si>
  <si>
    <t>PXL</t>
  </si>
  <si>
    <t>TỔNG CÔNG TY CỔ PHẦN ĐẦU TƯ VÀ PHÁT TRIỂN KCN DẦU KHÍ-LONG SƠN</t>
  </si>
  <si>
    <t>CÔNG TY CỔ PHẦN XÂY LẮP DẦU KHÍ MIỀN TRUNG</t>
  </si>
  <si>
    <t>CÔNG TY CỔ PHẦN KẾT CẤU KIM LOẠI VÀ LẮP MÁY DẦU KHÍ</t>
  </si>
  <si>
    <t>CÔNG TY CỔ PHẦN XÂY LẮP ĐƯỜNG ỐNG BỂ CHỨA DẦU KHÍ</t>
  </si>
  <si>
    <t>QBS</t>
  </si>
  <si>
    <t>CÔNG TY CỔ PHẦN XUẤT NHẬP KHẨU QUẢNG BÌNH</t>
  </si>
  <si>
    <t>CÔNG TY CỔ PHẦN ĐẦU TƯ XÂY DỰNG VÀ PHÁT TRIỂN HẠ TẦNG VIỄN THÔNG</t>
  </si>
  <si>
    <t>QCG</t>
  </si>
  <si>
    <t>CÔNG TY CỔ PHẦN QUỐC CƯỜNG GIA LAI</t>
  </si>
  <si>
    <t>CÔNG TY CỔ PHẦN QUE HÀN ĐIỆN VIỆT ĐỨC</t>
  </si>
  <si>
    <t>CÔNG NGHIỆP PHỨC HỢP</t>
  </si>
  <si>
    <t>QHW</t>
  </si>
  <si>
    <t>CÔNG TY CỔ PHẦN NƯỚC KHOÁNG QUẢNG NINH</t>
  </si>
  <si>
    <t>CÔNG TY CỔ PHẦN XI MĂNG VÀ XÂY DỰNG QUẢNG NINH</t>
  </si>
  <si>
    <t>CÔNG TY CỔ PHẦN CẢNG QUY NHƠN</t>
  </si>
  <si>
    <t>QNS</t>
  </si>
  <si>
    <t>CÔNG TY CỔ PHẦN ĐƯỜNG QUẢNG NGÃI</t>
  </si>
  <si>
    <t>CÔNG TY CỔ PHẦN TƯ VẤN VÀ ĐẦU TƯ PHÁT TRIỂN QUẢNG NAM</t>
  </si>
  <si>
    <t>CÔNG TY CỔ PHẦN MÔI TRƯỜNG ĐÔ THỊ QUẢNG NAM</t>
  </si>
  <si>
    <t>QNW</t>
  </si>
  <si>
    <t>CÔNG TY CỔ PHẦN CẤP THOÁT NƯỚC VÀ XÂY DỰNG QUẢNG NGÃI</t>
  </si>
  <si>
    <t>QPH</t>
  </si>
  <si>
    <t>CÔNG TY CỔ PHẦN THỦY ĐIỆN QUẾ PHONG</t>
  </si>
  <si>
    <t>CÔNG TY CỔ PHẦN TÂN CẢNG QUY NHƠN</t>
  </si>
  <si>
    <t>QST</t>
  </si>
  <si>
    <t>CÔNG TY CỔ PHẦN SÁCH VÀ THIẾT BỊ TRƯỜNG HỌC QUẢNG NINH</t>
  </si>
  <si>
    <t>CÔNG TY CỔ PHẦN CÔNG TRÌNH GIAO THÔNG VẬN TẢI QUẢNG NAM</t>
  </si>
  <si>
    <t>QTP</t>
  </si>
  <si>
    <t>CÔNG TY CỔ PHẦN NHIỆT ĐIỆN QUẢNG NINH</t>
  </si>
  <si>
    <t>RAL</t>
  </si>
  <si>
    <t>CÔNG TY CỔ PHẦN BÓNG ĐÈN PHÍCH NƯỚC RẠNG ĐÔNG</t>
  </si>
  <si>
    <t>CÔNG TY CỔ PHẦN VẬN TẢI VÀ THƯƠNG MẠI ĐƯỜNG SẮT</t>
  </si>
  <si>
    <t>RBC</t>
  </si>
  <si>
    <t>CÔNG TY CỔ PHẦN CÔNG NGHIỆP VÀ XUẤT NHẬP KHẨU CAO SU</t>
  </si>
  <si>
    <t>CÔNG TY CỔ PHẦN TỔNG CÔNG TY CÔNG TRÌNH ĐƯỜNG SẮT</t>
  </si>
  <si>
    <t>CÔNG TY CỔ PHẦN XÂY DỰNG - ĐỊA ỐC CAO SU</t>
  </si>
  <si>
    <t>RCL</t>
  </si>
  <si>
    <t>CÔNG TY CỔ PHẦN ĐỊA ỐC CHỢ LỚN</t>
  </si>
  <si>
    <t>RDP</t>
  </si>
  <si>
    <t>CÔNG TY CỔ PHẦN RẠNG ĐÔNG HOLDING</t>
  </si>
  <si>
    <t>REE</t>
  </si>
  <si>
    <t>CÔNG TY CỔ PHẦN CƠ ĐIỆN LẠNH</t>
  </si>
  <si>
    <t>RIC</t>
  </si>
  <si>
    <t>CÔNG TY CỔ PHẦN QUỐC TẾ HOÀNG GIA</t>
  </si>
  <si>
    <t>RTB</t>
  </si>
  <si>
    <t>CÔNG TY CỔ PHẦN CAO SU TÂN BIÊN</t>
  </si>
  <si>
    <t>CÔNG TY CỔ PHẦN SÔNG ĐÀ 12</t>
  </si>
  <si>
    <t>CÔNG TY CỔ PHẦN SÔNG ĐÀ 27</t>
  </si>
  <si>
    <t>S4A</t>
  </si>
  <si>
    <t>CÔNG TY CỔ PHẦN THỦY ĐIỆN SÊ SAN 4A</t>
  </si>
  <si>
    <t>CÔNG TY CỔ PHẦN SÔNG ĐÀ 505</t>
  </si>
  <si>
    <t>CÔNG TY CỔ PHẦN SÔNG ĐÀ 7.02</t>
  </si>
  <si>
    <t>CÔNG TY CỔ PHẦN SÔNG ĐÀ 7.04</t>
  </si>
  <si>
    <t>CÔNG TY CỔ PHẦN SÔNG ĐÀ 9.06</t>
  </si>
  <si>
    <t>CÔNG TY CỔ PHẦN SCI</t>
  </si>
  <si>
    <t>SAB</t>
  </si>
  <si>
    <t>TỔNG CÔNG TY CỔ PHẦN BIA - RƯỢU - NƯỚC GIẢI KHÁT SÀI GÒN</t>
  </si>
  <si>
    <t>CÔNG TY CỔ PHẦN XẾP DỠ VÀ DỊCH VỤ CẢNG SÀI GÒN</t>
  </si>
  <si>
    <t>SAF</t>
  </si>
  <si>
    <t>CÔNG TY CỔ PHẦN LƯƠNG THỰC THỰC PHẨM SAFOCO</t>
  </si>
  <si>
    <t>CÔNG TY CỔ PHẦN TRỤC VỚT CỨU HỘ VIỆT NAM</t>
  </si>
  <si>
    <t>SAM</t>
  </si>
  <si>
    <t>CÔNG TY CỔ PHẦN SAM HOLDINGS</t>
  </si>
  <si>
    <t>SAP</t>
  </si>
  <si>
    <t>CÔNG TY CỔ PHẦN IN SÁCH GIÁO KHOA TẠI TP.HỒ CHÍ MINH</t>
  </si>
  <si>
    <t>SAS</t>
  </si>
  <si>
    <t>CÔNG TY CỔ PHẦN DỊCH VỤ HÀNG KHÔNG SÂN BAY TÂN SƠN NHẤT</t>
  </si>
  <si>
    <t>SAV</t>
  </si>
  <si>
    <t>CÔNG TY CỔ PHẦN HỢP TÁC KINH TẾ VÀ XUẤT NHẬP KHẨU SAVIMEX</t>
  </si>
  <si>
    <t>SB1</t>
  </si>
  <si>
    <t>CÔNG TY CỔ PHẦN BIA SÀI GÒN - NGHỆ TĨNH</t>
  </si>
  <si>
    <t>SBA</t>
  </si>
  <si>
    <t>CÔNG TY CỔ PHẦN SÔNG BA</t>
  </si>
  <si>
    <t>SBB</t>
  </si>
  <si>
    <t>CÔNG TY CỔ PHẦN TẬP ĐOÀN BIA SÀI GÒN BÌNH TÂY</t>
  </si>
  <si>
    <t>SBD</t>
  </si>
  <si>
    <t>CÔNG TY CỔ PHẦN CÔNG NGHỆ SAO BẮC ĐẨU</t>
  </si>
  <si>
    <t>SBG</t>
  </si>
  <si>
    <t>CÔNG TY CỔ PHẦN TẬP ĐOÀN CƠ KHÍ CÔNG NGHỆ CAO SIBA</t>
  </si>
  <si>
    <t>SBH</t>
  </si>
  <si>
    <t>CÔNG TY CỔ PHẦN THỦY ĐIỆN SÔNG BA HẠ</t>
  </si>
  <si>
    <t>SBL</t>
  </si>
  <si>
    <t>CÔNG TY CỔ PHẦN BIA SÀI GÒN - BẠC LIÊU</t>
  </si>
  <si>
    <t>CÔNG TY CỔ PHẦN ĐẦU TƯ PHÁT TRIỂN BẮC MINH</t>
  </si>
  <si>
    <t>SBR</t>
  </si>
  <si>
    <t>CÔNG TY CỔ PHẦN CAO SU SÔNG BÉ</t>
  </si>
  <si>
    <t>SBS</t>
  </si>
  <si>
    <t>CÔNG TY CỔ PHẦN CHỨNG KHOÁN NGÂN HÀNG SÀI GÒN THƯƠNG TÍN</t>
  </si>
  <si>
    <t>SBT</t>
  </si>
  <si>
    <t>CÔNG TY CỔ PHẦN THÀNH THÀNH CÔNG - BIÊN HÒA</t>
  </si>
  <si>
    <t>SBV</t>
  </si>
  <si>
    <t>CÔNG TY CỔ PHẦN SIAM BROTHERS VIỆT NAM</t>
  </si>
  <si>
    <t>CÔNG TY CỔ PHẦN XÂY DỰNG SỐ 5</t>
  </si>
  <si>
    <t>CÔNG TY CỔ PHẦN ĐẦU TƯ THƯƠNG MẠI HƯNG LONG TỈNH HÒA BÌNH</t>
  </si>
  <si>
    <t>SCD</t>
  </si>
  <si>
    <t>CÔNG TY CỔ PHẦN NƯỚC GIẢI KHÁT CHƯƠNG DƯƠNG</t>
  </si>
  <si>
    <t>CÔNG TY CỔ PHẦN XÂY DỰNG SCG</t>
  </si>
  <si>
    <t>CÔNG TY CỔ PHẦN SCI E&amp;C</t>
  </si>
  <si>
    <t>CÔNG TY CỔ PHẦN XI MĂNG SÀI SƠN</t>
  </si>
  <si>
    <t>CÔNG TY CỔ PHẦN SÔNG ĐÀ CAO CƯỜNG</t>
  </si>
  <si>
    <t>CÔNG TY CỔ PHẦN CÔNG NGHIỆP THỦY SẢN</t>
  </si>
  <si>
    <t>SCR</t>
  </si>
  <si>
    <t>CÔNG TY CỔ PHẦN ĐỊA ỐC SÀI GÒN THƯƠNG TÍN</t>
  </si>
  <si>
    <t>SCS</t>
  </si>
  <si>
    <t>CÔNG TY CỔ PHẦN DỊCH VỤ HÀNG HÓA SÀI GÒN</t>
  </si>
  <si>
    <t>CÔNG TY CỔ PHẦN SÔNG ĐÀ 1</t>
  </si>
  <si>
    <t>CÔNG TY CỔ PHẦN SÔNG ĐÀ 2</t>
  </si>
  <si>
    <t>CÔNG TY CỔ PHẦN SÔNG ĐÀ 3</t>
  </si>
  <si>
    <t>CÔNG TY CỔ PHẦN SÔNG ĐÀ 4</t>
  </si>
  <si>
    <t>CÔNG TY CỔ PHẦN SÔNG ĐÀ 5</t>
  </si>
  <si>
    <t>CÔNG TY CỔ PHẦN SÔNG ĐÀ 6</t>
  </si>
  <si>
    <t>CÔNG TY CỔ PHẦN SÔNG ĐÀ 7</t>
  </si>
  <si>
    <t>CÔNG TY CỔ PHẦN SÔNG ĐÀ 8</t>
  </si>
  <si>
    <t>CÔNG TY CỔ PHẦN SÔNG ĐÀ 9</t>
  </si>
  <si>
    <t>CÔNG TY CỔ PHẦN SIMCO SÔNG ĐÀ</t>
  </si>
  <si>
    <t>CÔNG TY CỔ PHẦN SÔNG ĐÀ 207</t>
  </si>
  <si>
    <t>CÔNG TY CỔ PHẦN TƯ VẤN SÔNG ĐÀ</t>
  </si>
  <si>
    <t>CÔNG TY CỔ PHẦN ĐẦU TƯ VÀ XÂY LẮP SÔNG ĐÀ</t>
  </si>
  <si>
    <t>CÔNG TY CỔ PHẦN SADICO CẦN THƠ</t>
  </si>
  <si>
    <t>CÔNG TY CỔ PHẦN CƠ KHÍ LUYỆN KIM</t>
  </si>
  <si>
    <t>CÔNG TY CỔ PHẦN SƠN ĐỒNG NAI</t>
  </si>
  <si>
    <t>CÔNG TY CỔ PHẦN SDP</t>
  </si>
  <si>
    <t>CÔNG TY CỔ PHẦN SÔNG ĐÀ 10</t>
  </si>
  <si>
    <t>CÔNG TY CỔ PHẦN ĐẦU TƯ XÂY DỰNG VÀ PHÁT TRIỂN ĐÔ THỊ SÔNG ĐÀ</t>
  </si>
  <si>
    <t>CÔNG TY CỔ PHẦN DỊCH VỤ SONADEZI</t>
  </si>
  <si>
    <t>CÔNG TY CỔ PHẦN PHÒNG CHÁY CHỮA CHÁY VÀ ĐẦU TƯ XÂY DỰNG SÔNG ĐÀ</t>
  </si>
  <si>
    <t>CÔNG TY CỔ PHẦN XI MĂNG SÔNG ĐÀ YALY</t>
  </si>
  <si>
    <t>SEA</t>
  </si>
  <si>
    <t>TỔNG CÔNG TY THỦY SẢN VIỆT NAM – CÔNG TY CỔ PHẦN</t>
  </si>
  <si>
    <t>SEB</t>
  </si>
  <si>
    <t>CÔNG TY CỔ PHẦN ĐẦU TƯ VÀ PHÁT TRIỂN ĐIỆN MIỀN TRUNG</t>
  </si>
  <si>
    <t>SED</t>
  </si>
  <si>
    <t>CÔNG TY CỔ PHẦN ĐẦU TƯ VÀ PHÁT TRIỂN GIÁO DỤC PHƯƠNG NAM</t>
  </si>
  <si>
    <t>SEP</t>
  </si>
  <si>
    <t>CÔNG TY CỔ PHẦN TỔNG CÔNG TY THƯƠNG MẠI QUẢNG TRỊ</t>
  </si>
  <si>
    <t>SFC</t>
  </si>
  <si>
    <t>CÔNG TY CỔ PHẦN NHIÊN LIỆU SÀI GÒN</t>
  </si>
  <si>
    <t>SFG</t>
  </si>
  <si>
    <t>CÔNG TY CỔ PHẦN PHÂN BÓN MIỀN NAM</t>
  </si>
  <si>
    <t>CÔNG TY CỔ PHẦN ĐẠI LÝ VẬN TẢI SAFI</t>
  </si>
  <si>
    <t>CÔNG TY CỔ PHẦN DỆT LƯỚI SÀI GÒN</t>
  </si>
  <si>
    <t>SGB</t>
  </si>
  <si>
    <t>NGÂN HÀNG TMCP SÀI GÒN CÔNG THƯƠNG</t>
  </si>
  <si>
    <t>SGC</t>
  </si>
  <si>
    <t>CÔNG TY CỔ PHẦN XUẤT NHẬP KHẨU SA GIANG</t>
  </si>
  <si>
    <t>SGD</t>
  </si>
  <si>
    <t>CÔNG TY CỔ PHẦN SÁCH GIÁO DỤC TẠI T.P HỒ CHÍ MINH</t>
  </si>
  <si>
    <t>SGH</t>
  </si>
  <si>
    <t>CÔNG TY CỔ PHẦN KHÁCH SẠN SÀI GÒN</t>
  </si>
  <si>
    <t>SGI</t>
  </si>
  <si>
    <t>CÔNG TY CỔ PHẦN ĐẦU TƯ PHÁT TRIỂN SÀI GÒN 3 GROUP</t>
  </si>
  <si>
    <t>CÔNG TY CỔ PHẦN PHỤC VỤ MẶT ĐẤT SÀI GÒN</t>
  </si>
  <si>
    <t>CÔNG TY CỔ PHẦN CẢNG SÀI GÒN</t>
  </si>
  <si>
    <t>SGR</t>
  </si>
  <si>
    <t>CÔNG TY CỔ PHẦN TỔNG CÔNG TY CỔ PHẦN ĐỊA ỐC SÀI GÒN</t>
  </si>
  <si>
    <t>CÔNG TY CỔ PHẦN VẬN TẢI BIỂN SÀI GÒN</t>
  </si>
  <si>
    <t>SGT</t>
  </si>
  <si>
    <t>CÔNG TY CỔ PHẦN CÔNG NGHỆ VIỄN THÔNG SÀI GÒN</t>
  </si>
  <si>
    <t>INTERNET</t>
  </si>
  <si>
    <t>SHA</t>
  </si>
  <si>
    <t>CÔNG TY CỔ PHẦN SƠN HÀ SÀI GÒN</t>
  </si>
  <si>
    <t>NGÂN HÀNG THƯƠNG MẠI CỔ PHẦN SÀI GÒN - HÀ NỘI</t>
  </si>
  <si>
    <t>CÔNG TY CỔ PHẦN HÀNG HẢI SÀI GÒN</t>
  </si>
  <si>
    <t>SHE</t>
  </si>
  <si>
    <t>CÔNG TY CỔ PHẦN PHÁT TRIỂN NĂNG LƯỢNG SƠN HÀ</t>
  </si>
  <si>
    <t>TỔNG CÔNG TY CỔ PHẦN SÔNG HỒNG</t>
  </si>
  <si>
    <t>SHI</t>
  </si>
  <si>
    <t>CÔNG TY CỔ PHẦN QUỐC TẾ SƠN HÀ</t>
  </si>
  <si>
    <t>SHN</t>
  </si>
  <si>
    <t>CÔNG TY CỔ PHẦN ĐẦU TƯ TỔNG HỢP HÀ NỘI</t>
  </si>
  <si>
    <t>SHP</t>
  </si>
  <si>
    <t>CÔNG TY CỔ PHẦN THỦY ĐIỆN MIỀN NAM</t>
  </si>
  <si>
    <t>SHS</t>
  </si>
  <si>
    <t>CÔNG TY CỔ PHẦN CHỨNG KHOÁN SÀI GÒN HÀ NỘI</t>
  </si>
  <si>
    <t>SID</t>
  </si>
  <si>
    <t>CÔNG TY CỔ PHẦN ĐẦU TƯ PHÁT TRIỂN SÀI GÒN CO.OP</t>
  </si>
  <si>
    <t>CÔNG TY CỔ PHẦN ĐẦU TƯ VÀ THƯƠNG MẠI SÔNG ĐÀ</t>
  </si>
  <si>
    <t>SII</t>
  </si>
  <si>
    <t>CÔNG TY CỔ PHẦN HẠ TẦNG NƯỚC SÀI GÒN</t>
  </si>
  <si>
    <t>SIP</t>
  </si>
  <si>
    <t>CÔNG TY CỔ PHẦN ĐẦU TƯ SÀI GÒN VRG</t>
  </si>
  <si>
    <t>SIV</t>
  </si>
  <si>
    <t>CÔNG TY CỔ PHẦN SIVICO</t>
  </si>
  <si>
    <t>SJ1</t>
  </si>
  <si>
    <t>CÔNG TY CỔ PHẦN NÔNG NGHIỆP HÙNG HẬU</t>
  </si>
  <si>
    <t>CÔNG TY CỔ PHẦN SÔNG ĐÀ 1.01</t>
  </si>
  <si>
    <t>SJD</t>
  </si>
  <si>
    <t>CÔNG TY CỔ PHẦN THỦY ĐIỆN CẦN ĐƠN</t>
  </si>
  <si>
    <t>CÔNG TY CỔ PHẦN SÔNG ĐÀ 11</t>
  </si>
  <si>
    <t>SJF</t>
  </si>
  <si>
    <t>CÔNG TY CỔ PHẦN ĐẦU TƯ SAO THÁI DƯƠNG</t>
  </si>
  <si>
    <t>TỔNG CÔNG TY SÔNG ĐÀ - CTCP</t>
  </si>
  <si>
    <t>CÔNG TY CỔ PHẦN SÔNG ĐÀ 19</t>
  </si>
  <si>
    <t>SJS</t>
  </si>
  <si>
    <t>CÔNG TY CỔ PHẦN ĐẦU TƯ PHÁT TRIỂN ĐÔ THỊ VÀ KHU CÔNG NGHIỆP SÔNG ĐÀ</t>
  </si>
  <si>
    <t>SKG</t>
  </si>
  <si>
    <t>CÔNG TY CỔ PHẦN TÀU CAO TỐC SUPERDONG – KIÊN GIANG</t>
  </si>
  <si>
    <t>SKH</t>
  </si>
  <si>
    <t>CÔNG TY CỔ PHẦN NƯỚC GIẢI KHÁT SANEST KHÁNH HÒA</t>
  </si>
  <si>
    <t>SKN</t>
  </si>
  <si>
    <t>CÔNG TY CỔ PHẦN NƯỚC GIẢI KHÁT SANNA KHÁNH HÒA</t>
  </si>
  <si>
    <t>SKV</t>
  </si>
  <si>
    <t>CÔNG TY CỔ PHẦN NƯỚC GIẢI KHÁT YẾN SÀO KHÁNH HÒA</t>
  </si>
  <si>
    <t>SLS</t>
  </si>
  <si>
    <t>CÔNG TY CỔ PHẦN MÍA ĐƯỜNG SƠN LA</t>
  </si>
  <si>
    <t>SMA</t>
  </si>
  <si>
    <t>CÔNG TY CỔ PHẦN THIẾT BỊ PHỤ TÙNG SÀI GÒN</t>
  </si>
  <si>
    <t>SMB</t>
  </si>
  <si>
    <t>CÔNG TY CỔ PHẦN BIA SÀI GÒN - MIỀN TRUNG</t>
  </si>
  <si>
    <t>SMC</t>
  </si>
  <si>
    <t>CÔNG TY CỔ PHẦN ÐẦU TƯ THƯƠNG MẠI SMC</t>
  </si>
  <si>
    <t>SMN</t>
  </si>
  <si>
    <t>CÔNG TY CỔ PHẦN SÁCH VÀ THIẾT BỊ GIÁO DỤC MIỀN NAM</t>
  </si>
  <si>
    <t>SMT</t>
  </si>
  <si>
    <t>CÔNG TY CỔ PHẦN SAMETEL</t>
  </si>
  <si>
    <t>SNC</t>
  </si>
  <si>
    <t>CÔNG TY CỔ PHẦN XUẤT NHẬP KHẨU THỦY SẢN NĂM CĂN</t>
  </si>
  <si>
    <t>TỔNG CÔNG TY CỔ PHẦN PHÁT TRIỂN KHU CÔNG NGHIỆP</t>
  </si>
  <si>
    <t>SP2</t>
  </si>
  <si>
    <t>CÔNG TY CỔ PHẦN THỦY ĐIỆN SỬ PÁN 2</t>
  </si>
  <si>
    <t>SPB</t>
  </si>
  <si>
    <t>CÔNG TY CỔ PHẦN SỢI PHÚ BÀI</t>
  </si>
  <si>
    <t>SPC</t>
  </si>
  <si>
    <t>CÔNG TY CỔ PHẦN BẢO VỆ THỰC VẬT SÀI GÒN</t>
  </si>
  <si>
    <t>SPD</t>
  </si>
  <si>
    <t>CÔNG TY CỔ PHẦN XUẤT NHẬP KHẨU THỦY SẢN MIỀN TRUNG</t>
  </si>
  <si>
    <t>SPH</t>
  </si>
  <si>
    <t>CÔNG TY CỔ PHẦN XUẤT NHẬP KHẨU THỦY SẢN HÀ NỘI</t>
  </si>
  <si>
    <t>SPI</t>
  </si>
  <si>
    <t>CÔNG TY CỔ PHẦN SPIRAL GALAXY</t>
  </si>
  <si>
    <t>SPM</t>
  </si>
  <si>
    <t>CÔNG TY CỔ PHẦN S.P.M</t>
  </si>
  <si>
    <t>SPV</t>
  </si>
  <si>
    <t>CÔNG TY CỔ PHẦN THỦY ĐẶC SẢN</t>
  </si>
  <si>
    <t>SQC</t>
  </si>
  <si>
    <t>CÔNG TY CỔ PHẦN KHOÁNG SẢN SÀI GÒN - QUY NHƠN</t>
  </si>
  <si>
    <t>SRA</t>
  </si>
  <si>
    <t>CÔNG TY CỔ PHẦN SARA VIỆT NAM</t>
  </si>
  <si>
    <t>SRB</t>
  </si>
  <si>
    <t>CÔNG TY CỔ PHẦN TẬP ĐOÀN SARA</t>
  </si>
  <si>
    <t>SRC</t>
  </si>
  <si>
    <t>CÔNG TY CỔ PHẦN CAO SU SAO VÀNG</t>
  </si>
  <si>
    <t>SRF</t>
  </si>
  <si>
    <t>CÔNG TY CỔ PHẦN SEAREFICO</t>
  </si>
  <si>
    <t>SSB</t>
  </si>
  <si>
    <t>NGÂN HÀNG THƯƠNG MẠI CỔ PHẦN ĐÔNG NAM Á</t>
  </si>
  <si>
    <t>SSC</t>
  </si>
  <si>
    <t>CÔNG TY CỔ PHẦN GIỐNG CÂY TRỒNG MIỀN NAM</t>
  </si>
  <si>
    <t>SSF</t>
  </si>
  <si>
    <t>CÔNG TY CỔ PHẦN GIẦY SÀI GÒN</t>
  </si>
  <si>
    <t>CÔNG TY CỔ PHẦN VẬN TẢI BIỂN HẢI ÂU</t>
  </si>
  <si>
    <t>SSH</t>
  </si>
  <si>
    <t>CÔNG TY CỔ PHẦN PHÁT TRIỂN SUNSHINE HOMES</t>
  </si>
  <si>
    <t>CÔNG TY CỔ PHẦN CHỨNG KHOÁN SSI</t>
  </si>
  <si>
    <t>SSM</t>
  </si>
  <si>
    <t>CÔNG TY CỔ PHẦN CHẾ TẠO KẾT CẤU THÉP VNECO.SSM</t>
  </si>
  <si>
    <t>SSN</t>
  </si>
  <si>
    <t>CÔNG TY CỔ PHẦN XUẤT NHẬP KHẨU THỦY SẢN SÀI GÒN</t>
  </si>
  <si>
    <t>ST8</t>
  </si>
  <si>
    <t>CÔNG TY CỔ PHẦN SIÊU THANH</t>
  </si>
  <si>
    <t>THIẾT BỊ VĂN PHÒNG</t>
  </si>
  <si>
    <t>STB</t>
  </si>
  <si>
    <t>NGÂN HÀNG THƯƠNG MẠI CỔ PHẦN SÀI GÒN THƯƠNG TÍN</t>
  </si>
  <si>
    <t>STC</t>
  </si>
  <si>
    <t>CÔNG TY CỔ PHẦN SÁCH VÀ THIẾT BỊ TRƯỜNG HỌC TP. HỒ CHÍ MINH</t>
  </si>
  <si>
    <t>CÔNG TY CỔ PHẦN KHO VẬN MIỀN NAM</t>
  </si>
  <si>
    <t>STH</t>
  </si>
  <si>
    <t>CÔNG TY CỔ PHẦN PHÁT HÀNH SÁCH THÁI NGUYÊN</t>
  </si>
  <si>
    <t>STK</t>
  </si>
  <si>
    <t>CÔNG TY CỔ PHẦN SỢI THẾ KỶ</t>
  </si>
  <si>
    <t>STL</t>
  </si>
  <si>
    <t>CÔNG TY CỔ PHẦN SÔNG ĐÀ - THĂNG LONG</t>
  </si>
  <si>
    <t>CÔNG TY CỔ PHẦN CÔNG NGHIỆP THƯƠNG MẠI SÔNG ĐÀ</t>
  </si>
  <si>
    <t>CÔNG TY CỔ PHẦN DỊCH VỤ VẬN TẢI SÀI GÒN</t>
  </si>
  <si>
    <t>STT</t>
  </si>
  <si>
    <t>CÔNG TY CỔ PHẦN VẬN CHUYỂN SÀI GÒN TOURIST</t>
  </si>
  <si>
    <t>STW</t>
  </si>
  <si>
    <t>CÔNG TY CỔ PHẦN CẤP NƯỚC SÓC TRĂNG</t>
  </si>
  <si>
    <t>SVC</t>
  </si>
  <si>
    <t>CÔNG TY CỔ PHẦN DỊCH VỤ TỔNG HỢP SÀI GÒN</t>
  </si>
  <si>
    <t>SVD</t>
  </si>
  <si>
    <t>CÔNG TY CỔ PHẦN ĐẦU TƯ VÀ THƯƠNG MẠI VŨ ĐĂNG</t>
  </si>
  <si>
    <t>CÔNG TY CỔ PHẦN HƠI KỸ NGHỆ QUE HÀN</t>
  </si>
  <si>
    <t>SVH</t>
  </si>
  <si>
    <t>CÔNG TY CỔ PHẦN THỦY ĐIỆN SÔNG VÀNG</t>
  </si>
  <si>
    <t>CÔNG TY CỔ PHẦN BAO BÌ BIÊN HÒA</t>
  </si>
  <si>
    <t>CÔNG TY CỔ PHẦN TẬP ĐOÀN VEXILLA VIỆT NAM</t>
  </si>
  <si>
    <t>SVT</t>
  </si>
  <si>
    <t>CÔNG TY CỔ PHẦN CÔNG NGHỆ SÀI GÒN VIỄN ĐÔNG</t>
  </si>
  <si>
    <t>TỔNG CÔNG TY CỔ PHẦN ĐƯỜNG SÔNG MIỀN NAM</t>
  </si>
  <si>
    <t>SZB</t>
  </si>
  <si>
    <t>CÔNG TY CỔ PHẦN SONADEZI LONG BÌNH</t>
  </si>
  <si>
    <t>SZC</t>
  </si>
  <si>
    <t>CÔNG TY CỔ PHẦN SONADEZI CHÂU ĐỨC</t>
  </si>
  <si>
    <t>CÔNG TY CỔ PHẦN MÔI TRƯỜNG SONADEZI</t>
  </si>
  <si>
    <t>CÔNG TY CỔ PHẦN ĐẦU TƯ VÀ XÂY LẮP THÀNH AN 665</t>
  </si>
  <si>
    <t>CÔNG TY CỔ PHẦN XÂY LẮP THÀNH AN 96</t>
  </si>
  <si>
    <t>TAL</t>
  </si>
  <si>
    <t>CÔNG TY CỔ PHẦN ĐẦU TƯ BẤT ĐỘNG SẢN TASECO</t>
  </si>
  <si>
    <t>TAN</t>
  </si>
  <si>
    <t>CÔNG TY TNHH MỘT THÀNH VIÊN CÀ PHÊ THUẬN AN</t>
  </si>
  <si>
    <t>TAR</t>
  </si>
  <si>
    <t>CÔNG TY CỔ PHẦN NÔNG NGHIỆP CÔNG NGHỆ CAO TRUNG AN</t>
  </si>
  <si>
    <t>TAW</t>
  </si>
  <si>
    <t>CÔNG TY CỔ PHẦN CẤP NƯỚC TRUNG AN</t>
  </si>
  <si>
    <t>CÔNG TY CỔ PHẦN SẢN XUẤT VÀ KINH DOANH VẬT TƯ THIẾT BỊ - VVMI</t>
  </si>
  <si>
    <t>TBC</t>
  </si>
  <si>
    <t>CÔNG TY CỔ PHẦN THỦY ĐIỆN THÁC BÀ</t>
  </si>
  <si>
    <t>TỔNG CÔNG TY THIẾT BỊ ĐIỆN ĐÔNG ANH - CÔNG TY CỔ PHẦN</t>
  </si>
  <si>
    <t>CÔNG TY CỔ PHẦN TỔNG BÁCH HÓA</t>
  </si>
  <si>
    <t>TBR</t>
  </si>
  <si>
    <t>CÔNG TY CỔ PHẦN ĐỊA ỐC TÂN BÌNH</t>
  </si>
  <si>
    <t>TBW</t>
  </si>
  <si>
    <t>CÔNG TY CỔ PHẦN NƯỚC SẠCH THÁI BÌNH</t>
  </si>
  <si>
    <t>CÔNG TY CỔ PHẦN XI MĂNG THÁI BÌNH</t>
  </si>
  <si>
    <t>NGÂN HÀNG TMCP KỸ THƯƠNG VIỆT NAM (TECHCOMBANK)</t>
  </si>
  <si>
    <t>CÔNG TY CỔ PHẦN ĐẦU TƯ PHÁT TRIỂN CÔNG NGHIỆP VÀ VẬN TẢI</t>
  </si>
  <si>
    <t>TCH</t>
  </si>
  <si>
    <t>CÔNG TY CỔ PHẦN ĐẦU TƯ DỊCH VỤ TÀI CHÍNH HOÀNG HUY</t>
  </si>
  <si>
    <t>TCI</t>
  </si>
  <si>
    <t>CÔNG TY CỔ PHẦN CHỨNG KHOÁN THÀNH CÔNG</t>
  </si>
  <si>
    <t>TCJ</t>
  </si>
  <si>
    <t>CÔNG TY CỔ PHẦN TÔ CHÂU</t>
  </si>
  <si>
    <t>TỔNG CÔNG TY CƠ KHÍ XÂY DỰNG - CTCP</t>
  </si>
  <si>
    <t>TCL</t>
  </si>
  <si>
    <t>CÔNG TY CỔ PHẦN ĐẠI LÝ GIAO NHẬN VẬN TẢI XẾP DỠ TÂN CẢNG</t>
  </si>
  <si>
    <t>TCM</t>
  </si>
  <si>
    <t>CÔNG TY CỔ PHẦN DỆT MAY - ĐẦU TƯ - THƯƠNG MẠI THÀNH CÔNG</t>
  </si>
  <si>
    <t>CÔNG TY CỔ PHẦN VẬN TẢI ĐA PHƯƠNG THỨC DUYÊN HẢI</t>
  </si>
  <si>
    <t>CÔNG TY CỔ PHẦN CÔNG NGHIỆP GỐM SỨ TAICERA</t>
  </si>
  <si>
    <t>TCT</t>
  </si>
  <si>
    <t>CÔNG TY CỔ PHẦN CÁP TREO NÚI BÀ TÂY NINH</t>
  </si>
  <si>
    <t>CÔNG TY CỔ PHẦN KHO VẬN TÂN CẢNG</t>
  </si>
  <si>
    <t>TDB</t>
  </si>
  <si>
    <t>CÔNG TY CỔ PHẦN THỦY ĐIỆN ĐỊNH BÌNH</t>
  </si>
  <si>
    <t>TDC</t>
  </si>
  <si>
    <t>CÔNG TY CỔ PHẦN KINH DOANH VÀ PHÁT TRIỂN BÌNH DƯƠNG</t>
  </si>
  <si>
    <t>CÔNG TY CỔ PHẦN TRUNG ĐÔ</t>
  </si>
  <si>
    <t>TDG</t>
  </si>
  <si>
    <t>CÔNG TY CỔ PHẦN ĐẦU TƯ TDG GLOBAL</t>
  </si>
  <si>
    <t>TDH</t>
  </si>
  <si>
    <t>CÔNG TY CỔ PHẦN PHÁT TRIỂN NHÀ THỦ ĐỨC</t>
  </si>
  <si>
    <t>TDM</t>
  </si>
  <si>
    <t>CÔNG TY CỔ PHẦN NƯỚC THỦ DẦU MỘT</t>
  </si>
  <si>
    <t>CÔNG TY CỔ PHẦN THUẬN ĐỨC</t>
  </si>
  <si>
    <t>TDS</t>
  </si>
  <si>
    <t>CÔNG TY CỔ PHẦN THÉP THỦ ĐỨC - VNSTEEL</t>
  </si>
  <si>
    <t>TDT</t>
  </si>
  <si>
    <t>CÔNG TY CỔ PHẦN ĐẦU TƯ VÀ PHÁT TRIỂN TDT</t>
  </si>
  <si>
    <t>TDW</t>
  </si>
  <si>
    <t>CÔNG TY CỔ PHẦN CẤP NƯỚC THỦ ĐỨC</t>
  </si>
  <si>
    <t>TỔNG CÔNG TY TƯ VẤN THIẾT KẾ GIAO THÔNG VẬN TẢI - CTCP</t>
  </si>
  <si>
    <t>TEG</t>
  </si>
  <si>
    <t>CÔNG TY CỔ PHẦN NĂNG LƯỢNG VÀ BẤT ĐỘNG SẢN TRƯỜNG THÀNH</t>
  </si>
  <si>
    <t>CÔNG TY CỔ PHẦN PHÁT TRIỂN CÔNG TRÌNH VIỄN THÔNG</t>
  </si>
  <si>
    <t>TET</t>
  </si>
  <si>
    <t>CÔNG TY CỔ PHẦN VẢI SỢI MAY MẶC MIỀN BẮC</t>
  </si>
  <si>
    <t>TFC</t>
  </si>
  <si>
    <t>CÔNG TY CỔ PHẦN TRANG</t>
  </si>
  <si>
    <t>CÔNG TY CỔ PHẦN LOUIS CAPITAL</t>
  </si>
  <si>
    <t>CÔNG TY CỔ PHẦN TRƯỜNG PHÚ</t>
  </si>
  <si>
    <t>TH1</t>
  </si>
  <si>
    <t>CÔNG TY CỔ PHẦN XUẤT NHẬP KHẨU TỔNG HỢP I VIỆT NAM</t>
  </si>
  <si>
    <t>THB</t>
  </si>
  <si>
    <t>CÔNG TY CỔ PHẦN BIA HÀ NỘI - THANH HÓA</t>
  </si>
  <si>
    <t>THD</t>
  </si>
  <si>
    <t>CÔNG TY CỔ PHẦN THAIHOLDINGS</t>
  </si>
  <si>
    <t>THG</t>
  </si>
  <si>
    <t>CÔNG TY CỔ PHẦN ĐẦU TƯ VÀ XÂY DỰNG TIỀN GIANG</t>
  </si>
  <si>
    <t>THM</t>
  </si>
  <si>
    <t>CÔNG TY CỔ PHẦN TỨ HẢI HÀ NAM</t>
  </si>
  <si>
    <t>THN</t>
  </si>
  <si>
    <t>CÔNG TY CỔ PHẦN CẤP NƯỚC THANH HÓA</t>
  </si>
  <si>
    <t>THP</t>
  </si>
  <si>
    <t>CÔNG TY CỔ PHẦN THỦY SẢN VÀ THƯƠNG MẠI THUẬN PHƯỚC</t>
  </si>
  <si>
    <t>THS</t>
  </si>
  <si>
    <t>CÔNG TY CỔ PHẦN THANH HOA - SÔNG ĐÀ</t>
  </si>
  <si>
    <t>THT</t>
  </si>
  <si>
    <t>CÔNG TY CỔ PHẦN THAN HÀ TU - VINACOMIN</t>
  </si>
  <si>
    <t>CÔNG TY CỔ PHẦN MÔI TRƯỜNG VÀ CÔNG TRÌNH ĐÔ THỊ THANH HÓA</t>
  </si>
  <si>
    <t>THW</t>
  </si>
  <si>
    <t>CÔNG TY CỔ PHẦN CẤP NƯỚC TÂN HÒA</t>
  </si>
  <si>
    <t>TID</t>
  </si>
  <si>
    <t>CÔNG TY CỔ PHẦN TỔNG CÔNG TY TÍN NGHĨA</t>
  </si>
  <si>
    <t>CÔNG TY CỔ PHẦN TIE</t>
  </si>
  <si>
    <t>TIG</t>
  </si>
  <si>
    <t>CÔNG TY CỔ PHẦN TẬP ĐOÀN ĐẦU TƯ THĂNG LONG</t>
  </si>
  <si>
    <t>TIN</t>
  </si>
  <si>
    <t>CÔNG TY TÀI CHÍNH CỔ PHẦN TÍN VIỆT</t>
  </si>
  <si>
    <t>QUẢN LÝ TÀI SẢN</t>
  </si>
  <si>
    <t>TIP</t>
  </si>
  <si>
    <t>CÔNG TY CỔ PHẦN PHÁT TRIỂN KHU CÔNG NGHIỆP TÍN NGHĨA</t>
  </si>
  <si>
    <t>TIS</t>
  </si>
  <si>
    <t>CÔNG TY CỔ PHẦN GANG THÉP THÁI NGUYÊN</t>
  </si>
  <si>
    <t>TIX</t>
  </si>
  <si>
    <t>CÔNG TY CỔ PHẦN SẢN XUẤT KINH DOANH XUẤT NHẬP KHẨU DỊCH VỤ VÀ ĐẦU TƯ TÂN BÌNH</t>
  </si>
  <si>
    <t>CÔNG TY CỔ PHẦN DỊCH VỤ VẬN TẢI VÀ THƯƠNG MẠI</t>
  </si>
  <si>
    <t>CÔNG TY CỔ PHẦN BAO BÌ TÂN KHÁNH AN</t>
  </si>
  <si>
    <t>CÔNG TY CỔ PHẦN XÂY DỰNG VÀ KINH DOANH ĐỊA ỐC TÂN KỶ</t>
  </si>
  <si>
    <t>TKG</t>
  </si>
  <si>
    <t>CÔNG TY CỔ PHẦN SẢN XUẤT VÀ THƯƠNG MẠI TÙNG KHÁNH</t>
  </si>
  <si>
    <t>TKU</t>
  </si>
  <si>
    <t>CÔNG TY CỔ PHẦN CÔNG NGHIỆP TUNG KUANG</t>
  </si>
  <si>
    <t>TỔNG CÔNG TY XÂY DỰNG THỦY LỢI 4 - CÔNG TY CỔ PHẦN</t>
  </si>
  <si>
    <t>TLD</t>
  </si>
  <si>
    <t>CÔNG TY CỔ PHẦN ĐẦU TƯ XÂY DỰNG VÀ PHÁT TRIỂN ĐÔ THỊ THĂNG LONG</t>
  </si>
  <si>
    <t>TLG</t>
  </si>
  <si>
    <t>CÔNG TY CỔ PHẦN TẬP ĐOÀN THIÊN LONG</t>
  </si>
  <si>
    <t>ĐỒ GIA DỤNG MỘT LẦN</t>
  </si>
  <si>
    <t>TLH</t>
  </si>
  <si>
    <t>CÔNG TY CỔ PHẦN TẬP ĐOÀN THÉP TIẾN LÊN</t>
  </si>
  <si>
    <t>TLI</t>
  </si>
  <si>
    <t>CÔNG TY CỔ PHẦN MAY QUỐC TẾ THẮNG LỢI</t>
  </si>
  <si>
    <t>TLP</t>
  </si>
  <si>
    <t>TỔNG CÔNG TY THƯƠNG MẠI XUẤT NHẬP KHẨU THANH LỄ - CÔNG TY CỔ PHẦN</t>
  </si>
  <si>
    <t>CÔNG TY CỔ PHẦN VIGLACERA THĂNG LONG</t>
  </si>
  <si>
    <t>TMB</t>
  </si>
  <si>
    <t>CÔNG TY CỔ PHẦN KINH DOANH THAN MIỀN BẮC - VINACOMIN</t>
  </si>
  <si>
    <t>TMC</t>
  </si>
  <si>
    <t>CÔNG TY CỔ PHẦN THƯƠNG MẠI - XUẤT NHẬP KHẨU THỦ ĐỨC</t>
  </si>
  <si>
    <t>TMG</t>
  </si>
  <si>
    <t>CÔNG TY CỔ PHẦN KIM LOẠI MÀU THÁI NGUYÊN - VIMICO</t>
  </si>
  <si>
    <t>TMP</t>
  </si>
  <si>
    <t>CÔNG TY CỔ PHẦN THỦY ĐIỆN THÁC MƠ</t>
  </si>
  <si>
    <t>CÔNG TY CỔ PHẦN TRANSIMEX</t>
  </si>
  <si>
    <t>TMT</t>
  </si>
  <si>
    <t>CÔNG TY CỔ PHẦN Ô TÔ TMT</t>
  </si>
  <si>
    <t>TMW</t>
  </si>
  <si>
    <t>CÔNG TY CỔ PHẦN TỔNG HỢP GỖ TÂN MAI</t>
  </si>
  <si>
    <t>CÔNG TY CỔ PHẦN VICEM THƯƠNG MẠI XI MĂNG</t>
  </si>
  <si>
    <t>TN1</t>
  </si>
  <si>
    <t>CÔNG TY CỔ PHẦN THƯƠNG MẠI DỊCH VỤ TNS HOLDINGS</t>
  </si>
  <si>
    <t>TNA</t>
  </si>
  <si>
    <t>CÔNG TY CỔ PHẦN THƯƠNG MẠI XUẤT NHẬP KHẨU THIÊN NAM</t>
  </si>
  <si>
    <t>TNB</t>
  </si>
  <si>
    <t>CÔNG TY CỔ PHẦN THÉP NHÀ BÈ - VNSTEEL</t>
  </si>
  <si>
    <t>TNC</t>
  </si>
  <si>
    <t>CÔNG TY CỔ PHẦN CAO SU THỐNG NHẤT</t>
  </si>
  <si>
    <t>TNG</t>
  </si>
  <si>
    <t>CÔNG TY CỔ PHẦN ĐẦU TƯ VÀ THƯƠNG MẠI TNG</t>
  </si>
  <si>
    <t>TNH</t>
  </si>
  <si>
    <t>CÔNG TY CỔ PHẦN BỆNH VIỆN QUỐC TẾ THÁI NGUYÊN</t>
  </si>
  <si>
    <t>CHĂM SÓC Y TẾ</t>
  </si>
  <si>
    <t>TNI</t>
  </si>
  <si>
    <t>CÔNG TY CỔ PHẦN TẬP ĐOÀN THÀNH NAM</t>
  </si>
  <si>
    <t>CÔNG TY CỔ PHẦN XUẤT NHẬP KHẨU VÀ XÂY DỰNG CÔNG TRÌNH</t>
  </si>
  <si>
    <t>CÔNG TY CỔ PHẦN CẢNG THỊ NẠI</t>
  </si>
  <si>
    <t>TNS</t>
  </si>
  <si>
    <t>CÔNG TY CỔ PHẦN THÉP TẤM LÁ THỐNG NHẤT</t>
  </si>
  <si>
    <t>TNT</t>
  </si>
  <si>
    <t>CÔNG TY CỔ PHẦN TẬP ĐOÀN TNT</t>
  </si>
  <si>
    <t>TNW</t>
  </si>
  <si>
    <t>CÔNG TY CỔ PHẦN NƯỚC SẠCH THÁI NGUYÊN</t>
  </si>
  <si>
    <t>TOP</t>
  </si>
  <si>
    <t>CÔNG TY CỔ PHẦN PHÂN PHỐI TOP ONE</t>
  </si>
  <si>
    <t>TOS</t>
  </si>
  <si>
    <t>CÔNG TY CỔ PHẦN DỊCH VỤ BIỂN TÂN CẢNG</t>
  </si>
  <si>
    <t>CÔNG TY CỔ PHẦN TRANSIMEX LOGISTICS</t>
  </si>
  <si>
    <t>TOW</t>
  </si>
  <si>
    <t>CÔNG TY CỔ PHẦN CẤP NƯỚC TRÀ NÓC - Ô MÔN</t>
  </si>
  <si>
    <t>TPB</t>
  </si>
  <si>
    <t>NGÂN HÀNG THƯƠNG MẠI CỔ PHẦN TIÊN PHONG</t>
  </si>
  <si>
    <t>TPC</t>
  </si>
  <si>
    <t>CÔNG TY CỔ PHẦN NHỰA TÂN ĐẠI HƯNG</t>
  </si>
  <si>
    <t>CÔNG TY CỔ PHẦN TÂN PHÚ VIỆT NAM</t>
  </si>
  <si>
    <t>TPS</t>
  </si>
  <si>
    <t>CÔNG TY CỔ PHẦN BẾN BÃI VẬN TẢI SÀI GÒN</t>
  </si>
  <si>
    <t>TQN</t>
  </si>
  <si>
    <t>CÔNG TY CỔ PHẦN THÔNG QUẢNG NINH</t>
  </si>
  <si>
    <t>TQW</t>
  </si>
  <si>
    <t>CÔNG TY CỔ PHẦN CẤP THOÁT NƯỚC TUYÊN QUANG</t>
  </si>
  <si>
    <t>CÔNG TY CỔ PHẦN VẬN TẢI 1 TRACO</t>
  </si>
  <si>
    <t>TRA</t>
  </si>
  <si>
    <t>CÔNG TY CỔ PHẦN TRAPHACO</t>
  </si>
  <si>
    <t>TRC</t>
  </si>
  <si>
    <t>CÔNG TY CỔ PHẦN CAO SU TÂY NINH</t>
  </si>
  <si>
    <t>CÔNG TY CỔ PHẦN VẬN TẢI VÀ DỊCH VỤ HÀNG HẢI</t>
  </si>
  <si>
    <t>CÔNG TY CỔ PHẦN REDSTARCERA</t>
  </si>
  <si>
    <t>CÔNG TY CỔ PHẦN TRƯỜNG SƠN 532</t>
  </si>
  <si>
    <t>TS4</t>
  </si>
  <si>
    <t>CÔNG TY CỔ PHẦN THỦY SẢN SỐ 4</t>
  </si>
  <si>
    <t>CÔNG TY CỔ PHẦN ẮC QUY TIA SÁNG</t>
  </si>
  <si>
    <t>TSC</t>
  </si>
  <si>
    <t>CÔNG TY CỔ PHẦN VẬT TƯ KỸ THUẬT NÔNG NGHIỆP CẦN THƠ</t>
  </si>
  <si>
    <t>TSD</t>
  </si>
  <si>
    <t>CÔNG TY CỔ PHẦN DU LỊCH TRƯỜNG SƠN COECCO</t>
  </si>
  <si>
    <t>CÔNG TY CỔ PHẦN THÔNG TIN TÍN HIỆU ĐƯỜNG SẮT SÀI GÒN</t>
  </si>
  <si>
    <t>TSJ</t>
  </si>
  <si>
    <t>CÔNG TY CỔ PHẦN DU LỊCH DỊCH VỤ HÀ NỘI</t>
  </si>
  <si>
    <t>TST</t>
  </si>
  <si>
    <t>CÔNG TY CỔ PHẦN DỊCH VỤ KỸ THUẬT VIỄN THÔNG</t>
  </si>
  <si>
    <t>CÔNG TY CỔ PHẦN TẬP ĐOÀN TIẾN BỘ</t>
  </si>
  <si>
    <t>CÔNG TY CỔ PHẦN GẠCH MEN THANH THANH</t>
  </si>
  <si>
    <t>TTD</t>
  </si>
  <si>
    <t>CÔNG TY CỔ PHẦN BỆNH VIỆN TIM TÂM ĐỨC</t>
  </si>
  <si>
    <t>TTE</t>
  </si>
  <si>
    <t>CÔNG TY CỔ PHẦN ĐẦU TƯ NĂNG LƯỢNG TRƯỜNG THỊNH</t>
  </si>
  <si>
    <t>TTF</t>
  </si>
  <si>
    <t>CÔNG TY CỔ PHẦN TẬP ĐOÀN KỸ NGHỆ GỖ TRƯỜNG THÀNH</t>
  </si>
  <si>
    <t>TTG</t>
  </si>
  <si>
    <t>CÔNG TY CỔ PHẦN MAY THANH TRÌ</t>
  </si>
  <si>
    <t>TTH</t>
  </si>
  <si>
    <t>CÔNG TY CỔ PHẦN THƯƠNG MẠI VÀ DỊCH VỤ TIẾN THÀNH</t>
  </si>
  <si>
    <t>TỔNG CÔNG TY THĂNG LONG - CÔNG TY CỔ PHẦN</t>
  </si>
  <si>
    <t>TTN</t>
  </si>
  <si>
    <t>CÔNG TY CỔ PHẦN CÔNG NGHỆ VÀ TRUYỀN THÔNG VIỆT NAM</t>
  </si>
  <si>
    <t>TTS</t>
  </si>
  <si>
    <t>CÔNG TY CỔ PHẦN CÁN THÉP THÁI TRUNG</t>
  </si>
  <si>
    <t>TTT</t>
  </si>
  <si>
    <t>CÔNG TY CỔ PHẦN DU LỊCH – THƯƠNG MẠI TÂY NINH</t>
  </si>
  <si>
    <t>CÔNG TY CỔ PHẦN ĐẦU TƯ XÂY DỰNG VÀ CÔNG NGHỆ TIẾN TRUNG</t>
  </si>
  <si>
    <t>CÔNG TY CỔ PHẦN LAI DẮT VÀ VẬN TẢI CẢNG HẢI PHÒNG</t>
  </si>
  <si>
    <t>CÔNG TY CỔ PHẦN TƯ VẤN XÂY DỰNG ĐIỆN 1</t>
  </si>
  <si>
    <t>CÔNG TY CỔ PHẦN TƯ VẤN XÂY DỰNG ĐIỆN 2</t>
  </si>
  <si>
    <t>CÔNG TY CỔ PHẦN TƯ VẤN XÂY DỰNG ĐIỆN 3</t>
  </si>
  <si>
    <t>CÔNG TY CỔ PHẦN TƯ VẤN XÂY DỰNG ĐIỆN 4</t>
  </si>
  <si>
    <t>TV6</t>
  </si>
  <si>
    <t>CÔNG TY CỔ PHẦN THƯƠNG MẠI ĐẦU TƯ XÂY LẮP ĐIỆN THỊNH VƯỢNG</t>
  </si>
  <si>
    <t>CÔNG TY CỔ PHẦN SỨ VIGLACERA THANH TRÌ</t>
  </si>
  <si>
    <t>TVB</t>
  </si>
  <si>
    <t>CÔNG TY CỔ PHẦN CHỨNG KHOÁN TRÍ VIỆT</t>
  </si>
  <si>
    <t>TVC</t>
  </si>
  <si>
    <t>CÔNG TY CỔ PHẦN TẬP ĐOÀN QUẢN LÝ TÀI SẢN TRÍ VIỆT</t>
  </si>
  <si>
    <t>TVD</t>
  </si>
  <si>
    <t>CÔNG TY CỔ PHẦN THAN VÀNG DANH - VINACOMIN</t>
  </si>
  <si>
    <t>CÔNG TY CỔ PHẦN TƯ VẤN ĐẦU TƯ VÀ XÂY DỰNG GIAO THÔNG VẬN TẢI</t>
  </si>
  <si>
    <t>CÔNG TY CỔ PHẦN TƯ VẤN VÀ XÂY DỰNG CÔNG TRÌNH HÀNG HẢI</t>
  </si>
  <si>
    <t>CÔNG TY CỔ PHẦN TƯ VẤN ĐẦU TƯ MỎ VÀ CÔNG NGHIỆP - VINACOMIN</t>
  </si>
  <si>
    <t>TVN</t>
  </si>
  <si>
    <t>TỔNG CÔNG TY THÉP VIỆT NAM - CTCP</t>
  </si>
  <si>
    <t>TVS</t>
  </si>
  <si>
    <t>CÔNG TY CỔ PHẦN CHỨNG KHOÁN THIÊN VIỆT</t>
  </si>
  <si>
    <t>TVT</t>
  </si>
  <si>
    <t>TỔNG CÔNG TY VIỆT THẮNG - CTCP</t>
  </si>
  <si>
    <t>TW3</t>
  </si>
  <si>
    <t>CÔNG TY CỔ PHẦN DƯỢC TRUNG ƯƠNG 3</t>
  </si>
  <si>
    <t>CÔNG TY CỔ PHẦN VICEM THẠCH CAO XI MĂNG</t>
  </si>
  <si>
    <t>CÔNG TY CỔ PHẦN DÂY VÀ CÁP ĐIỆN TAYA VIỆT NAM</t>
  </si>
  <si>
    <t>CÔNG TY CỔ PHẦN ĐÔ THỊ CẦN THƠ</t>
  </si>
  <si>
    <t>CÔNG TY CỔ PHẦN XÂY DỰNG VÀ PHÁT TRIỂN ĐÔ THỊ TỈNH BÀ RỊA-VŨNG TÀU</t>
  </si>
  <si>
    <t>CÔNG TY CỔ PHẦN PHÁT TRIỂN ĐÔ THỊ</t>
  </si>
  <si>
    <t>CÔNG TY CỔ PHẦN ĐÔ THỊ VÀ MÔI TRƯỜNG ĐẮK LẮK</t>
  </si>
  <si>
    <t>CÔNG TY CỔ PHẦN CƠ ĐIỆN UÔNG BÍ- VINACOMIN</t>
  </si>
  <si>
    <t>UIC</t>
  </si>
  <si>
    <t>CÔNG TY CỔ PHẦN ĐẦU TƯ PHÁT TRIỂN NHÀ VÀ ĐÔ THỊ IDICO</t>
  </si>
  <si>
    <t>CÔNG TY CỔ PHẦN CÔNG TRÌNH ĐÔ THỊ NAM ĐỊNH</t>
  </si>
  <si>
    <t>UNI</t>
  </si>
  <si>
    <t>CÔNG TY CỔ PHẦN ĐẦU TƯ VÀ PHÁT TRIỂN SAO MAI VIỆT</t>
  </si>
  <si>
    <t>UPC</t>
  </si>
  <si>
    <t>CÔNG TY CỔ PHẦN PHÁT TRIỂN CÔNG VIÊN CÂY XANH VÀ ĐÔ THỊ VŨNG TÀU</t>
  </si>
  <si>
    <t>UPH</t>
  </si>
  <si>
    <t>CÔNG TY CỔ PHẦN DƯỢC PHẨM TW25</t>
  </si>
  <si>
    <t>CÔNG TY CỔ PHẦN KHẢO SÁT VÀ XÂY DỰNG - USCO</t>
  </si>
  <si>
    <t>CÔNG TY CỔ PHẦN CÔNG TRÌNH ĐÔ THỊ SÓC TRĂNG</t>
  </si>
  <si>
    <t>CTCP XÂY DỰNG SỐ 12</t>
  </si>
  <si>
    <t>CÔNG TY CỔ PHẦN XÂY DỰNG SỐ 15</t>
  </si>
  <si>
    <t>V21</t>
  </si>
  <si>
    <t>CÔNG TY CỔ PHẦN VINACONEX 21</t>
  </si>
  <si>
    <t>VAB</t>
  </si>
  <si>
    <t>NGÂN HÀNG THƯƠNG MẠI CỔ PHẦN VIỆT Á</t>
  </si>
  <si>
    <t>VAF</t>
  </si>
  <si>
    <t>CÔNG TY CỔ PHẦN PHÂN LÂN NUNG CHẢY VĂN ĐIỂN</t>
  </si>
  <si>
    <t>VAV</t>
  </si>
  <si>
    <t>CÔNG TY CỔ PHẦN VIWACO</t>
  </si>
  <si>
    <t>VBB</t>
  </si>
  <si>
    <t>NGÂN HÀNG THƯƠNG MẠI CỔ PHẦN VIỆT NAM THƯƠNG TÍN</t>
  </si>
  <si>
    <t>CÔNG TY CỔ PHẦN NHỰA BAO BÌ VINH</t>
  </si>
  <si>
    <t>VBG</t>
  </si>
  <si>
    <t>CÔNG TY CỔ PHẦN ĐỊA CHẤT VIỆT BẮC - TKV</t>
  </si>
  <si>
    <t>CÔNG TY CỔ PHẦN ĐIỆN TỬ BÌNH HÒA</t>
  </si>
  <si>
    <t>CÔNG TY CỔ PHẦN XÂY DỰNG SỐ 1</t>
  </si>
  <si>
    <t>CÔNG TY CỔ PHẦN ĐẦU TƯ VÀ XÂY DỰNG VINA2</t>
  </si>
  <si>
    <t>VC3</t>
  </si>
  <si>
    <t>CÔNG TY CỔ PHẦN TẬP ĐOÀN NAM MÊ KÔNG</t>
  </si>
  <si>
    <t>CÔNG TY CỔ PHẦN XÂY DỰNG VÀ ĐẦU TƯ VISICONS</t>
  </si>
  <si>
    <t>CÔNG TY CỔ PHẦN TẬP ĐOÀN BGI</t>
  </si>
  <si>
    <t>CÔNG TY CỔ PHẦN XÂY DỰNG SỐ 9 - VC9</t>
  </si>
  <si>
    <t>VCA</t>
  </si>
  <si>
    <t>CÔNG TY CỔ PHẦN THÉP VICASA - VNSTEEL</t>
  </si>
  <si>
    <t>NGÂN HÀNG THƯƠNG MẠI CỔ PHẦN NGOẠI THƯƠNG VIỆT NAM</t>
  </si>
  <si>
    <t>CÔNG TY CỔ PHẦN VINACONEX 25</t>
  </si>
  <si>
    <t>CÔNG TY CỔ PHẦN XÂY LẮP MÔI TRƯỜNG - TKV</t>
  </si>
  <si>
    <t>VCF</t>
  </si>
  <si>
    <t>CÔNG TY CỔ PHẦN VINACAFÉ BIÊN HÒA</t>
  </si>
  <si>
    <t>VCG</t>
  </si>
  <si>
    <t>TỔNG CÔNG TY CỔ PHẦN XUẤT NHẬP KHẨU VÀ XÂY DỰNG VIỆT NAM</t>
  </si>
  <si>
    <t>VCI</t>
  </si>
  <si>
    <t>CÔNG TY CỔ PHẦN CHỨNG KHOÁN VIETCAP</t>
  </si>
  <si>
    <t>CÔNG TY CỔ PHẦN NHÂN LỰC VÀ THƯƠNG MẠI VINACONEX</t>
  </si>
  <si>
    <t>VCP</t>
  </si>
  <si>
    <t>CÔNG TY CỔ PHẦN XÂY DỰNG VÀ NĂNG LƯỢNG VCP</t>
  </si>
  <si>
    <t>VCR</t>
  </si>
  <si>
    <t>CÔNG TY CỔ PHẦN ĐẦU TƯ VÀ PHÁT TRIỂN DU LỊCH VINACONEX</t>
  </si>
  <si>
    <t>CÔNG TY CỔ PHẦN VICOSTONE</t>
  </si>
  <si>
    <t>CÔNG TY CỔ PHẦN TƯ VẤN XÂY DỰNG VINACONEX</t>
  </si>
  <si>
    <t>VCW</t>
  </si>
  <si>
    <t>CÔNG TY CỔ PHẦN ĐẦU TƯ NƯỚC SẠCH SÔNG ĐÀ</t>
  </si>
  <si>
    <t>CÔNG TY CỔ PHẦN XI MĂNG YÊN BÌNH</t>
  </si>
  <si>
    <t>VDB</t>
  </si>
  <si>
    <t>CÔNG TY CỔ PHẦN VẬN TẢI VÀ CHẾ BIẾN THAN ĐÔNG BẮC</t>
  </si>
  <si>
    <t>VDL</t>
  </si>
  <si>
    <t>CÔNG TY CỔ PHẦN THỰC PHẨM LÂM ĐỒNG</t>
  </si>
  <si>
    <t>VDN</t>
  </si>
  <si>
    <t>CÔNG TY CỔ PHẦN VINATEX ĐÀ NẴNG</t>
  </si>
  <si>
    <t>VDP</t>
  </si>
  <si>
    <t>CÔNG TY CỔ PHẦN DƯỢC PHẨM TRUNG ƯƠNG VIDIPHA</t>
  </si>
  <si>
    <t>VDS</t>
  </si>
  <si>
    <t>CÔNG TY CỔ PHẦN CHỨNG KHOÁN RỒNG VIỆT</t>
  </si>
  <si>
    <t>VDT</t>
  </si>
  <si>
    <t>CÔNG TY CỔ PHẦN LƯỚI THÉP BÌNH TÂY</t>
  </si>
  <si>
    <t>CÔNG TY CỔ PHẦN XÂY DỰNG ĐIỆN VNECO 1</t>
  </si>
  <si>
    <t>CÔNG TY CỔ PHẦN XÂY DỰNG ĐIỆN VNECO 2</t>
  </si>
  <si>
    <t>CÔNG TY CỔ PHẦN XÂY DỰNG ĐIỆN VNECO 3</t>
  </si>
  <si>
    <t>CÔNG TY CỔ PHẦN XÂY DỰNG ĐIỆN VNECO4</t>
  </si>
  <si>
    <t>CÔNG TY CỔ PHẦN XÂY DỰNG ĐIỆN VNECO 8</t>
  </si>
  <si>
    <t>CÔNG TY CỔ PHẦN ĐẦU TƯ VÀ XÂY DỰNG VNECO 9</t>
  </si>
  <si>
    <t>TỔNG CÔNG TY MÁY ĐỘNG LỰC VÀ MÁY NÔNG NGHIỆP VIỆT NAM - CÔNG TY CỔ PHẦN</t>
  </si>
  <si>
    <t>VEC</t>
  </si>
  <si>
    <t>TỔNG CÔNG TY CỔ PHẦN ĐIỆN TỬ VÀ TIN HỌC VIỆT NAM</t>
  </si>
  <si>
    <t>VEF</t>
  </si>
  <si>
    <t>CÔNG TY CỔ PHẦN TRUNG TÂM HỘI CHỢ TRIỂN LÃM VIỆT NAM</t>
  </si>
  <si>
    <t>CÔNG TY CỔ PHẦN ĐẦU TƯ VÀ XÂY DỰNG ĐIỆN MÊ CA VNECO</t>
  </si>
  <si>
    <t>VET</t>
  </si>
  <si>
    <t>CÔNG TY CỔ PHẦN THUỐC THÚ Y TRUNG ƯƠNG NAVETCO</t>
  </si>
  <si>
    <t>CÔNG TY CỔ PHẦN VINAFCO</t>
  </si>
  <si>
    <t>VFG</t>
  </si>
  <si>
    <t>CÔNG TY CỔ PHẦN KHỬ TRÙNG VIỆT NAM</t>
  </si>
  <si>
    <t>CÔNG TY CỔ PHẦN VẬN TẢI VÀ THUÊ TÀU</t>
  </si>
  <si>
    <t>VFS</t>
  </si>
  <si>
    <t>CÔNG TY CỔ PHẦN CHỨNG KHOÁN NHẤT VIỆT</t>
  </si>
  <si>
    <t>VGC</t>
  </si>
  <si>
    <t>TỔNG CÔNG TY VIGLACERA - CTCP</t>
  </si>
  <si>
    <t>VGG</t>
  </si>
  <si>
    <t>TỔNG CÔNG TY CỔ PHẦN MAY VIỆT TIẾN</t>
  </si>
  <si>
    <t>VGI</t>
  </si>
  <si>
    <t>TỔNG CÔNG TY CỔ PHẦN ĐẦU TƯ QUỐC TẾ VIETTEL</t>
  </si>
  <si>
    <t>VGL</t>
  </si>
  <si>
    <t>CÔNG TY CỔ PHẦN MẠ KẼM CÔNG NGHIỆP VINGAL - VNSTEEL</t>
  </si>
  <si>
    <t>CÔNG TY CỔ PHẦN CẢNG RAU QUẢ</t>
  </si>
  <si>
    <t>CÔNG TY CỔ PHẦN CẢNG XANH VIP</t>
  </si>
  <si>
    <t>VGS</t>
  </si>
  <si>
    <t>CÔNG TY CỔ PHẦN ỐNG THÉP VIỆT ĐỨC VG PIPE</t>
  </si>
  <si>
    <t>VGT</t>
  </si>
  <si>
    <t>TẬP ĐOÀN DỆT MAY VIỆT NAM</t>
  </si>
  <si>
    <t>VGV</t>
  </si>
  <si>
    <t>TỔNG CÔNG TY TƯ VẤN XÂY DỰNG VIỆT NAM - CTCP</t>
  </si>
  <si>
    <t>VHC</t>
  </si>
  <si>
    <t>CÔNG TY CỔ PHẦN VĨNH HOÀN</t>
  </si>
  <si>
    <t>VHD</t>
  </si>
  <si>
    <t>CÔNG TY CỔ PHẦN ĐẦU TƯ PHÁT TRIỂN NHÀ VÀ ĐÔ THỊ VINACONEX</t>
  </si>
  <si>
    <t>VHE</t>
  </si>
  <si>
    <t>CÔNG TY CỔ PHẦN DƯỢC LIỆU VÀ THỰC PHẨM VIỆT NAM</t>
  </si>
  <si>
    <t>VHF</t>
  </si>
  <si>
    <t>CÔNG TY CỔ PHẦN XÂY DỰNG VÀ CHẾ BIẾN LƯƠNG THỰC VĨNH HÀ</t>
  </si>
  <si>
    <t>CÔNG TY CỔ PHẦN TẬP ĐOÀN TÂY BÀ NÀ</t>
  </si>
  <si>
    <t>CÔNG TY CỔ PHẦN ĐẦU TƯ KINH DOANH NHÀ THÀNH ĐẠT</t>
  </si>
  <si>
    <t>CÔNG TY CỔ PHẦN VIGLACERA HẠ LONG</t>
  </si>
  <si>
    <t>VHM</t>
  </si>
  <si>
    <t>CÔNG TY CỔ PHẦN VINHOMES</t>
  </si>
  <si>
    <t>VIB</t>
  </si>
  <si>
    <t>NGÂN HÀNG THƯƠNG MẠI CỔ PHẦN QUỐC TẾ VIỆT NAM</t>
  </si>
  <si>
    <t>VIC</t>
  </si>
  <si>
    <t>TẬP ĐOÀN VINGROUP - CTCP</t>
  </si>
  <si>
    <t>VID</t>
  </si>
  <si>
    <t>CÔNG TY CỔ PHẦN ĐẦU TƯ PHÁT TRIỂN THƯƠNG MẠI VIỄN ĐÔNG</t>
  </si>
  <si>
    <t>VIE</t>
  </si>
  <si>
    <t>CÔNG TY CỔ PHẦN CÔNG NGHỆ VIỄN THÔNG VITECO</t>
  </si>
  <si>
    <t>CÔNG TY CỔ PHẦN VIGLACERA HÀ NỘI</t>
  </si>
  <si>
    <t>VIM</t>
  </si>
  <si>
    <t>CÔNG TY CỔ PHẦN KHOÁNG SẢN VIGLACERA</t>
  </si>
  <si>
    <t>CÔNG TY CỔ PHẦN GIAO NHẬN KHO VẬN NGOẠI THƯƠNG VIỆT NAM</t>
  </si>
  <si>
    <t>VIP</t>
  </si>
  <si>
    <t>CÔNG TY CỔ PHẦN VẬN TẢI XĂNG DẦU VIPCO</t>
  </si>
  <si>
    <t>VIR</t>
  </si>
  <si>
    <t>CÔNG TY CỔ PHẦN DU LỊCH QUỐC TẾ VŨNG TÀU</t>
  </si>
  <si>
    <t>CÔNG TY CỔ PHẦN VIGLACERA TIÊN SƠN</t>
  </si>
  <si>
    <t>TỔNG CÔNG TY ĐẦU TƯ NƯỚC VÀ MÔI TRƯỜNG VIỆT NAM - CTCP</t>
  </si>
  <si>
    <t>VIX</t>
  </si>
  <si>
    <t>CÔNG TY CỔ PHẦN CHỨNG KHOÁN VIX</t>
  </si>
  <si>
    <t>VJC</t>
  </si>
  <si>
    <t>CÔNG TY CỔ PHẦN HÀNG KHÔNG VIETJET</t>
  </si>
  <si>
    <t>VKC</t>
  </si>
  <si>
    <t>CÔNG TY CỔ PHẦN VKCHOLDINGS</t>
  </si>
  <si>
    <t>VKP</t>
  </si>
  <si>
    <t>CÔNG TY CỔ PHẦN NHỰA TÂN HÓA</t>
  </si>
  <si>
    <t>VLA</t>
  </si>
  <si>
    <t>CÔNG TY CỔ PHẦN ĐẦU TƯ VÀ PHÁT TRIỂN CÔNG NGHỆ VĂN LANG</t>
  </si>
  <si>
    <t>CÔNG TY CỔ PHẦN XÂY DỰNG VÀ SẢN XUẤT VẬT LIỆU XÂY DỰNG BIÊN HÒA</t>
  </si>
  <si>
    <t>VLC</t>
  </si>
  <si>
    <t>TỔNG CÔNG TY CHĂN NUÔI VIỆT NAM - CTCP</t>
  </si>
  <si>
    <t>VLF</t>
  </si>
  <si>
    <t>CÔNG TY CỔ PHẦN LƯƠNG THỰC THỰC PHẨM VĨNH LONG</t>
  </si>
  <si>
    <t>CÔNG TY CỔ PHẦN VINALINES LOGISTICS - VIỆT NAM</t>
  </si>
  <si>
    <t>CÔNG TY CỔ PHẦN CÔNG TRÌNH CÔNG CỘNG VĨNH LONG</t>
  </si>
  <si>
    <t>VLW</t>
  </si>
  <si>
    <t>CÔNG TY CỔ PHẦN CẤP NƯỚC VĨNH LONG</t>
  </si>
  <si>
    <t>VMA</t>
  </si>
  <si>
    <t>CÔNG TY CỔ PHẦN CÔNG NGHIỆP Ô TÔ – VINACOMIN</t>
  </si>
  <si>
    <t>CÔNG TY CỔ PHẦN VIMECO</t>
  </si>
  <si>
    <t>VMD</t>
  </si>
  <si>
    <t>CÔNG TY CỔ PHẦN Y DƯỢC PHẨM VIMEDIMEX</t>
  </si>
  <si>
    <t>VMG</t>
  </si>
  <si>
    <t>CÔNG TY CỔ PHẦN THƯƠNG MẠI VÀ DỊCH VỤ DẦU KHÍ VŨNG TÀU</t>
  </si>
  <si>
    <t>VMK</t>
  </si>
  <si>
    <t>CÔNG TY CỔ PHẦN VIMARKO</t>
  </si>
  <si>
    <t>CÔNG TY CỔ PHẦN PHÁT TRIỂN HÀNG HẢI</t>
  </si>
  <si>
    <t>CÔNG TY CỔ PHẦN GIAO NHẬN VẬN TẢI MIỀN TRUNG</t>
  </si>
  <si>
    <t>CÔNG TY CỔ PHẦN VẬN TẢI BIỂN VINASHIP</t>
  </si>
  <si>
    <t>VNB</t>
  </si>
  <si>
    <t>CÔNG TY CỔ PHẦN SÁCH VIỆT NAM</t>
  </si>
  <si>
    <t>CÔNG TY CỔ PHẦN TẬP ĐOÀN VINACONTROL</t>
  </si>
  <si>
    <t>CÔNG TY CỔ PHẦN CHỨNG KHOÁN VNDIRECT</t>
  </si>
  <si>
    <t>VNE</t>
  </si>
  <si>
    <t>TỔNG CÔNG TY CỔ PHẦN XÂY DỰNG ĐIỆN VIỆT NAM</t>
  </si>
  <si>
    <t>CÔNG TY CỔ PHẦN VINAFREIGHT</t>
  </si>
  <si>
    <t>VNG</t>
  </si>
  <si>
    <t>CÔNG TY CỔ PHẦN DU LỊCH THÀNH THÀNH CÔNG</t>
  </si>
  <si>
    <t>VNH</t>
  </si>
  <si>
    <t>CÔNG TY CỔ PHẦN ĐẦU TƯ VIỆT VIỆT NHẬT</t>
  </si>
  <si>
    <t>VNI</t>
  </si>
  <si>
    <t>CÔNG TY CỔ PHẦN ĐẦU TƯ BẤT ĐỘNG SẢN VIỆT NAM</t>
  </si>
  <si>
    <t>CÔNG TY CỔ PHẦN LOGISTICS VINALINK</t>
  </si>
  <si>
    <t>VNM</t>
  </si>
  <si>
    <t>CÔNG TY CỔ PHẦN SỮA VIỆT NAM</t>
  </si>
  <si>
    <t>VNP</t>
  </si>
  <si>
    <t>CÔNG TY CỔ PHẦN NHỰA VIỆT NAM</t>
  </si>
  <si>
    <t>VNR</t>
  </si>
  <si>
    <t>TỔNG CÔNG TY CỔ PHẦN TÁI BẢO HIỂM QUỐC GIA VIỆT NAM</t>
  </si>
  <si>
    <t>VNS</t>
  </si>
  <si>
    <t>CÔNG TY CỔ PHẦN ÁNH DƯƠNG VIỆT NAM</t>
  </si>
  <si>
    <t>CÔNG TY CỔ PHẦN GIAO NHẬN VẬN TẢI NGOẠI THƯƠNG</t>
  </si>
  <si>
    <t>VNX</t>
  </si>
  <si>
    <t>CÔNG TY CỔ PHẦN QUẢNG CÁO VÀ HỘI CHỢ THƯƠNG MẠI</t>
  </si>
  <si>
    <t>VNY</t>
  </si>
  <si>
    <t>CÔNG TY CỔ PHẦN THUỐC THÚ Y TRUNG ƯƠNG I</t>
  </si>
  <si>
    <t>VNZ</t>
  </si>
  <si>
    <t>CÔNG TY CỔ PHẦN VNG</t>
  </si>
  <si>
    <t>VOC</t>
  </si>
  <si>
    <t>TỔNG CÔNG TY CÔNG NGHIỆP DẦU THỰC VẬT VIỆT NAM - CÔNG TY CỔ PHẦN</t>
  </si>
  <si>
    <t>VOS</t>
  </si>
  <si>
    <t>CÔNG TY CỔ PHẦN VẬN TẢI BIỂN VIỆT NAM</t>
  </si>
  <si>
    <t>CÔNG TY CỔ PHẦN VẬN TẢI HÓA DẦU VP</t>
  </si>
  <si>
    <t>VPB</t>
  </si>
  <si>
    <t>NGÂN HÀNG THƯƠNG MẠI CỔ PHẦN VIỆT NAM THỊNH VƯỢNG</t>
  </si>
  <si>
    <t>CÔNG TY CỔ PHẦN ĐẦU TƯ VÀ PHÁT TRIỂN NĂNG LƯỢNG VIỆT NAM</t>
  </si>
  <si>
    <t>VPD</t>
  </si>
  <si>
    <t>CÔNG TY CỔ PHẦN PHÁT TRIỂN ĐIỆN LỰC VIỆT NAM</t>
  </si>
  <si>
    <t>VPG</t>
  </si>
  <si>
    <t>CÔNG TY CỔ PHẦN ĐẦU TƯ THƯƠNG MẠI XUẤT NHẬP KHẨU VIỆT PHÁT</t>
  </si>
  <si>
    <t>VPH</t>
  </si>
  <si>
    <t>CÔNG TY CỔ PHẦN VẠN PHÁT HƯNG</t>
  </si>
  <si>
    <t>VPI</t>
  </si>
  <si>
    <t>CÔNG TY CỔ PHẦN ĐẦU TƯ VĂN PHÚ - INVEST</t>
  </si>
  <si>
    <t>VPR</t>
  </si>
  <si>
    <t>CÔNG TY CỔ PHẦN IN VÀ THƯƠNG MẠI VINA</t>
  </si>
  <si>
    <t>VPS</t>
  </si>
  <si>
    <t>CÔNG TY CỔ PHẦN THUỐC SÁT TRÙNG VIỆT NAM</t>
  </si>
  <si>
    <t>VPW</t>
  </si>
  <si>
    <t>CÔNG TY CỔ PHẦN CẤP THOÁT NƯỚC SỐ 1 VĨNH PHÚC</t>
  </si>
  <si>
    <t>CÔNG TY CỔ PHẦN GIÁM ĐỊNH VINACOMIN</t>
  </si>
  <si>
    <t>VRC</t>
  </si>
  <si>
    <t>CÔNG TY CỔ PHẦN BẤT ĐỘNG SẢN VÀ ĐẦU TƯ VRC</t>
  </si>
  <si>
    <t>VRE</t>
  </si>
  <si>
    <t>CÔNG TY CỔ PHẦN VINCOM RETAIL</t>
  </si>
  <si>
    <t>VRG</t>
  </si>
  <si>
    <t>CÔNG TY CỔ PHẦN PHÁT TRIỂN ĐÔ THỊ VÀ KHU CÔNG NGHIỆP CAO SU VIỆT NAM</t>
  </si>
  <si>
    <t>CÔNG TY CỔ PHẦN ĐẠI LÝ HÀNG HẢI VIỆT NAM</t>
  </si>
  <si>
    <t>VSC</t>
  </si>
  <si>
    <t>CÔNG TY CỔ PHẦN TẬP ĐOÀN CONTAINER VIỆT NAM</t>
  </si>
  <si>
    <t>CÔNG TY CỔ PHẦN DỊCH VỤ ĐƯỜNG CAO TỐC VIỆT NAM</t>
  </si>
  <si>
    <t>VSF</t>
  </si>
  <si>
    <t>TỔNG CÔNG TY LƯƠNG THỰC MIỀN NAM - CÔNG TY CỔ PHẦN</t>
  </si>
  <si>
    <t>CÔNG TY CỔ PHẦN CONTAINER PHÍA NAM</t>
  </si>
  <si>
    <t>VSH</t>
  </si>
  <si>
    <t>CÔNG TY CỔ PHẦN THỦY ĐIỆN VĨNH SƠN - SÔNG HINH</t>
  </si>
  <si>
    <t>VSI</t>
  </si>
  <si>
    <t>CÔNG TY CỔ PHẦN ĐẦU TƯ VÀ XÂY DỰNG CẤP THOÁT NƯỚC</t>
  </si>
  <si>
    <t>CÔNG TY CỔ PHẦN CONTAINER MIỀN TRUNG</t>
  </si>
  <si>
    <t>VSN</t>
  </si>
  <si>
    <t>CÔNG TY CỔ PHẦN VIỆT NAM KỸ NGHỆ SÚC SẢN</t>
  </si>
  <si>
    <t>CÔNG TY CỔ PHẦN VẬN TẢI VÀ THUÊ TÀU BIỂN VIỆT NAM</t>
  </si>
  <si>
    <t>CÔNG TY CỔ PHẦN VITALY</t>
  </si>
  <si>
    <t>CÔNG TY CỔ PHẦN VIETTRONICS TÂN BÌNH</t>
  </si>
  <si>
    <t>VTC</t>
  </si>
  <si>
    <t>CÔNG TY CỔ PHẦN VIỄN THÔNG VTC</t>
  </si>
  <si>
    <t>VTD</t>
  </si>
  <si>
    <t>CÔNG TY CỔ PHẦN DU LỊCH VIETOURIST</t>
  </si>
  <si>
    <t>VTE</t>
  </si>
  <si>
    <t>CÔNG TY CỔ PHẦN VIỄN THÔNG ĐIỆN TỬ VINACAP</t>
  </si>
  <si>
    <t>VTG</t>
  </si>
  <si>
    <t>CÔNG TY CỔ PHẦN DU LỊCH TỈNH BÀ RỊA - VŨNG TÀU</t>
  </si>
  <si>
    <t>VTH</t>
  </si>
  <si>
    <t>CÔNG TY CỔ PHẦN TẬP ĐOÀN VIỆT THÁI</t>
  </si>
  <si>
    <t>VTI</t>
  </si>
  <si>
    <t>CÔNG TY CỔ PHẦN SẢN XUẤT – XUẤT NHẬP KHẨU DỆT MAY</t>
  </si>
  <si>
    <t>VTJ</t>
  </si>
  <si>
    <t>CÔNG TY CỔ PHẦN THƯƠNG MẠI VÀ ĐẦU TƯ VINATABA</t>
  </si>
  <si>
    <t>VTK</t>
  </si>
  <si>
    <t>CÔNG TY CỔ PHẦN TƯ VẤN THIẾT KẾ VIETTEL</t>
  </si>
  <si>
    <t>VTL</t>
  </si>
  <si>
    <t>CÔNG TY CỔ PHẦN VANG THĂNG LONG</t>
  </si>
  <si>
    <t>VTM</t>
  </si>
  <si>
    <t>CÔNG TY CỔ PHẦN VẬN TẢI VÀ ĐƯA ĐÓN THỢ MỎ - VINACOMIN</t>
  </si>
  <si>
    <t>VTO</t>
  </si>
  <si>
    <t>CÔNG TY CỔ PHẦN VẬN TẢI XĂNG DẦU VITACO</t>
  </si>
  <si>
    <t>VTP</t>
  </si>
  <si>
    <t>TỔNG CÔNG TY CỔ PHẦN BƯU CHÍNH VIETTEL</t>
  </si>
  <si>
    <t>VTQ</t>
  </si>
  <si>
    <t>CÔNG TY CỔ PHẦN VIỆT TRUNG QUẢNG BÌNH</t>
  </si>
  <si>
    <t>VTR</t>
  </si>
  <si>
    <t>CÔNG TY CỔ PHẦN DU LỊCH VÀ TIẾP THỊ GIAO THÔNG VẬN TẢI VIỆT NAM - VIETRAVEL</t>
  </si>
  <si>
    <t>VTS</t>
  </si>
  <si>
    <t>CÔNG TY CỔ PHẦN VIGLACERA TỪ SƠN</t>
  </si>
  <si>
    <t>VTV</t>
  </si>
  <si>
    <t>CÔNG TY CỔ PHẦN NĂNG LƯỢNG VÀ MÔI TRƯỜNG VICEM</t>
  </si>
  <si>
    <t>VTX</t>
  </si>
  <si>
    <t>CÔNG TY CỔ PHẦN VẬN TẢI ĐA PHƯƠNG THỨC VIETRANSTIMEX</t>
  </si>
  <si>
    <t>VTZ</t>
  </si>
  <si>
    <t>CÔNG TY CỔ PHẦN SẢN XUẤT VÀ THƯƠNG MẠI NHỰA VIỆT THÀNH</t>
  </si>
  <si>
    <t>VUA</t>
  </si>
  <si>
    <t>CÔNG TY CỔ PHẦN CHỨNG KHOÁN STANLEY BROTHERS</t>
  </si>
  <si>
    <t>VVN</t>
  </si>
  <si>
    <t>TỔNG CÔNG TY CỔ PHẦN XÂY DỰNG CÔNG NGHIỆP VIỆT NAM</t>
  </si>
  <si>
    <t>VVS</t>
  </si>
  <si>
    <t>CTCP ĐẦU TƯ PHÁT TRIỂN MÁY VIỆT NAM</t>
  </si>
  <si>
    <t>VW3</t>
  </si>
  <si>
    <t>CÔNG TY CỔ PHẦN VIWASEEN3</t>
  </si>
  <si>
    <t>VWS</t>
  </si>
  <si>
    <t>CÔNG TY CỔ PHẦN NƯỚC VÀ MÔI TRƯỜNG VIỆT NAM</t>
  </si>
  <si>
    <t>VXB</t>
  </si>
  <si>
    <t>CÔNG TY CỔ PHẦN VẬT LIỆU XÂY DỰNG BẾN TRE</t>
  </si>
  <si>
    <t>VXP</t>
  </si>
  <si>
    <t>CÔNG TY CỔ PHẦN THUỐC THÚ Y TRUNG ƯƠNG VETVACO</t>
  </si>
  <si>
    <t>VXT</t>
  </si>
  <si>
    <t>CÔNG TY CỔ PHẦN KHO VẬN VÀ DỊCH VỤ THƯƠNG MẠI</t>
  </si>
  <si>
    <t>WCS</t>
  </si>
  <si>
    <t>CÔNG TY CỔ PHẦN BẾN XE MIỀN TÂY</t>
  </si>
  <si>
    <t>WSB</t>
  </si>
  <si>
    <t>CÔNG TY CỔ PHẦN BIA SÀI GÒN - MIỀN TÂY</t>
  </si>
  <si>
    <t>WSS</t>
  </si>
  <si>
    <t>CÔNG TY CỔ PHẦN CHỨNG KHOÁN PHỐ WALL</t>
  </si>
  <si>
    <t>WTC</t>
  </si>
  <si>
    <t>CÔNG TY CỔ PHẦN VẬN TẢI THỦY - VINACOMIN</t>
  </si>
  <si>
    <t>X20</t>
  </si>
  <si>
    <t>CÔNG TY CỔ PHẦN X20</t>
  </si>
  <si>
    <t>X26</t>
  </si>
  <si>
    <t>CÔNG TY CỔ PHẦN 26</t>
  </si>
  <si>
    <t>X77</t>
  </si>
  <si>
    <t>CÔNG TY CỔ PHẦN THÀNH AN 77</t>
  </si>
  <si>
    <t>XDH</t>
  </si>
  <si>
    <t>CÔNG TY CỔ PHẦN ĐẦU TƯ XÂY DỰNG DÂN DỤNG HÀ NỘI</t>
  </si>
  <si>
    <t>XHC</t>
  </si>
  <si>
    <t>CÔNG TY CỔ PHẦN XUÂN HÒA VIỆT NAM</t>
  </si>
  <si>
    <t>XLV</t>
  </si>
  <si>
    <t>CÔNG TY CỔ PHẦN XÂY LẮP VÀ DỊCH VỤ SÔNG ĐÀ</t>
  </si>
  <si>
    <t>XMC</t>
  </si>
  <si>
    <t>CÔNG TY CỔ PHẦN ĐẦU TƯ VÀ XÂY DỰNG XUÂN MAI</t>
  </si>
  <si>
    <t>XMD</t>
  </si>
  <si>
    <t>CÔNG TY CỔ PHẦN XUÂN MAI - ĐẠO TÚ</t>
  </si>
  <si>
    <t>XMP</t>
  </si>
  <si>
    <t>CÔNG TY CỔ PHẦN THỦY ĐIỆN XUÂN MINH</t>
  </si>
  <si>
    <t>XPH</t>
  </si>
  <si>
    <t>CÔNG TY CỔ PHẦN XÀ PHÒNG HÀ NỘI</t>
  </si>
  <si>
    <t>YBC</t>
  </si>
  <si>
    <t>CÔNG TY CỔ PHẦN XI MĂNG VÀ KHOÁNG SẢN YÊN BÁI</t>
  </si>
  <si>
    <t>YBM</t>
  </si>
  <si>
    <t>CÔNG TY CỔ PHẦN KHOÁNG SẢN CÔNG NGHIỆP YÊN BÁI</t>
  </si>
  <si>
    <t>YEG</t>
  </si>
  <si>
    <t>CÔNG TY CỔ PHẦN TẬP ĐOÀN YEAH1</t>
  </si>
  <si>
    <t>YTC</t>
  </si>
  <si>
    <t>CÔNG TY CỔ PHẦN XUẤT NHẬP KHẨU Y TẾ THÀNH PHỐ HỒ CHÍ MINH</t>
  </si>
  <si>
    <t>TIỀN CHI TRẢ NỢ GỐC VAY</t>
  </si>
  <si>
    <t>CHI PHÍ LÃI VÀ CÁC CHI PHÍ TƯƠNG TỰ ĐÃ TRẢ</t>
  </si>
  <si>
    <t>LÃI CƠ BẢN TRÊN CỔ PHIẾU</t>
  </si>
  <si>
    <t>LỢI NHUẬN GỘP</t>
  </si>
  <si>
    <t>LỢI NHUẬN SAU THUẾ THU NHẬP DOANH NGHIỆP</t>
  </si>
  <si>
    <t>NGÀNH NGHỀ</t>
  </si>
  <si>
    <t>ROE</t>
  </si>
  <si>
    <t>ROA</t>
  </si>
  <si>
    <t>EPS</t>
  </si>
  <si>
    <t>MÃ CHỨNG KHOÁN</t>
  </si>
  <si>
    <t>P/E</t>
  </si>
  <si>
    <t>P/B</t>
  </si>
  <si>
    <t>GIÁ CỔ PHIẾU HIỆN TẠI</t>
  </si>
  <si>
    <t>BVPS_CR</t>
  </si>
  <si>
    <t>OUTSTANDING_SHARES</t>
  </si>
  <si>
    <t>PRICE_HIGHEST_CR_52W</t>
  </si>
  <si>
    <t>PRICE_LOWEST_CR_52W</t>
  </si>
  <si>
    <t>KỲ VỌNG</t>
  </si>
  <si>
    <t>FUTURE TAGET</t>
  </si>
  <si>
    <t>CUTLOSS</t>
  </si>
  <si>
    <t>CUT LOSS PRICE</t>
  </si>
  <si>
    <t>up/dw</t>
  </si>
  <si>
    <t>Giá mua</t>
  </si>
  <si>
    <t>Ngân Hàng</t>
  </si>
  <si>
    <t>Giá đóng cửa</t>
  </si>
  <si>
    <t>KLGD/1000</t>
  </si>
  <si>
    <t>BĐ giá</t>
  </si>
  <si>
    <t>KL/KLTB21
phiên</t>
  </si>
  <si>
    <t>KL/
KLTB5 phiên</t>
  </si>
  <si>
    <t>Đỉnh/Đáy</t>
  </si>
  <si>
    <t>Cao nhất
2tháng</t>
  </si>
  <si>
    <t>Thấp nhất
2tháng</t>
  </si>
  <si>
    <t>Tăng so
đáy 2tháng</t>
  </si>
  <si>
    <t>Hành động</t>
  </si>
  <si>
    <t>T#</t>
  </si>
  <si>
    <t>Khung lựa chọn</t>
  </si>
  <si>
    <t>Mua</t>
  </si>
  <si>
    <t>Quan sát</t>
  </si>
  <si>
    <t>Giảm so
đỉnh 2tháng</t>
  </si>
  <si>
    <t>Giá TB5 phiên/
Giá TB21 phiên</t>
  </si>
  <si>
    <t>Bán</t>
  </si>
  <si>
    <t>Đánh ngắn</t>
  </si>
  <si>
    <t>Giữ</t>
  </si>
  <si>
    <t>Row Labels</t>
  </si>
  <si>
    <t>Grand Total</t>
  </si>
  <si>
    <t>Giá TB5 phiên/Giá TB21 phiên</t>
  </si>
  <si>
    <t>KL/KLTB5 phiên</t>
  </si>
  <si>
    <t>Tăng</t>
  </si>
  <si>
    <t>Giảm</t>
  </si>
  <si>
    <t>Sum of BĐ giá</t>
  </si>
  <si>
    <t>Sum of KL/KLTB21
phiên</t>
  </si>
  <si>
    <t>Bất Động Sản</t>
  </si>
  <si>
    <t>AVG</t>
  </si>
  <si>
    <t>CÔNG TY CỔ PHẦN PHÂN BÓN QUỐC TẾ ÂU VIỆT</t>
  </si>
  <si>
    <t>BGE</t>
  </si>
  <si>
    <t>CÔNG TY CỔ PHẦN BCG ENERGY</t>
  </si>
  <si>
    <t>CCC</t>
  </si>
  <si>
    <t>CÔNG TY CỔ PHẦN XÂY DỰNG CDC</t>
  </si>
  <si>
    <t>DSE</t>
  </si>
  <si>
    <t>CÔNG TY CỔ PHẦN CHỨNG KHOÁN DNSE</t>
  </si>
  <si>
    <t>CÔNG TY CỔ PHẦN CÔNG NGHỆ HA LÔ</t>
  </si>
  <si>
    <t>NGÂN HÀNG TMCP LỘC PHÁT VIỆT NAM</t>
  </si>
  <si>
    <t>MCM</t>
  </si>
  <si>
    <t>CÔNG TY CỔ PHẦN GIỐNG BÒ SỮA MỘC CHÂU</t>
  </si>
  <si>
    <t>CÔNG TY CỔ PHẦN ĐẦU TƯ VÀ XÂY LẮP TRƯỜNG SƠN</t>
  </si>
  <si>
    <t>Chứng Khoán</t>
  </si>
  <si>
    <t>Canh chỉnh</t>
  </si>
  <si>
    <t>Công Nghệ</t>
  </si>
  <si>
    <t>THÉP</t>
  </si>
  <si>
    <t>THỰC PHẨM - THỦY SẢN</t>
  </si>
  <si>
    <t>Chỉ số</t>
  </si>
  <si>
    <t>Name</t>
  </si>
  <si>
    <t>%thay đổi</t>
  </si>
  <si>
    <t>thay đổi</t>
  </si>
  <si>
    <t>Khu vực</t>
  </si>
  <si>
    <t>Châu Mỹ</t>
  </si>
  <si>
    <t>Châu Á</t>
  </si>
  <si>
    <t>Dệt May</t>
  </si>
  <si>
    <t>Chỉ số chứng khoán</t>
  </si>
  <si>
    <t>Ngành</t>
  </si>
  <si>
    <t>Y TẾ - DƯỢC PHẨM</t>
  </si>
  <si>
    <t>Châu Âu</t>
  </si>
  <si>
    <t>GEE</t>
  </si>
  <si>
    <t>KL/KLTB21</t>
  </si>
  <si>
    <t>BĐS</t>
  </si>
  <si>
    <t>CÔNG NGHỆ</t>
  </si>
  <si>
    <t>DỆT MAY</t>
  </si>
  <si>
    <t>THÉP</t>
  </si>
  <si>
    <t>AVERAGE</t>
  </si>
  <si>
    <t>BĐ Giá</t>
  </si>
  <si>
    <t>Mã</t>
  </si>
  <si>
    <t>BĐ giá</t>
  </si>
  <si>
    <t>NGÂN HÀNG</t>
  </si>
  <si>
    <t>Định giá VNINDEX</t>
  </si>
  <si>
    <t>Tỷ trọng</t>
  </si>
  <si>
    <t>TÊN CHỈ TIÊU</t>
  </si>
  <si>
    <t>Định giá</t>
  </si>
  <si>
    <t>Giảm</t>
  </si>
  <si>
    <t>Tham chiếu</t>
  </si>
  <si>
    <t>NỢ TRÊN VỐN</t>
  </si>
  <si>
    <t>Chỉ số chứng khoán thế giới</t>
  </si>
  <si>
    <t>Giá vàng</t>
  </si>
  <si>
    <t>Vàng</t>
  </si>
  <si>
    <t>thay đổi</t>
  </si>
  <si>
    <t>%thay đổi</t>
  </si>
  <si>
    <t>Biến động Giá Vàng</t>
  </si>
  <si>
    <t>KL/TBKL21</t>
  </si>
  <si>
    <t>CHỨNG KHOÁN</t>
  </si>
  <si>
    <t>S BĐ giá</t>
  </si>
  <si>
    <t>Thanh khoản</t>
  </si>
  <si>
    <t>Đấu thầu thị trường mở</t>
  </si>
  <si>
    <t>Loại hình giao dịch</t>
  </si>
  <si>
    <t>Số thành viên tham gia/trúng thầu</t>
  </si>
  <si>
    <t>Khối lượng trúng thầu</t>
  </si>
  <si>
    <t>(Tỷ đồng)</t>
  </si>
  <si>
    <t>Lãi suất trúng thầu</t>
  </si>
  <si>
    <t>(%/năm)</t>
  </si>
  <si>
    <t>Mua kỳ hạn</t>
  </si>
  <si>
    <t>Tổng cộng</t>
  </si>
  <si>
    <t>Tổng KL</t>
  </si>
  <si>
    <t>SL thành viên</t>
  </si>
  <si>
    <t>LS trúng thầu</t>
  </si>
  <si>
    <t>LS cũ</t>
  </si>
  <si>
    <t>- Kỳ hạn 7</t>
  </si>
  <si>
    <t>T/T</t>
  </si>
  <si>
    <t>KL cũ</t>
  </si>
  <si>
    <t>TẬP ĐOÀN BẢO VIỆT</t>
  </si>
  <si>
    <t>BẢO HIỂM NHÂN THỌ</t>
  </si>
  <si>
    <t>HTP</t>
  </si>
  <si>
    <t>CÔNG TY CỔ PHẦN IN SÁCH GIÁO KHOA HÒA PHÁT</t>
  </si>
  <si>
    <t>TTA</t>
  </si>
  <si>
    <t>CÔNG TY CỔ PHẦN ĐẦU TƯ XÂY DỰNG VÀ PHÁT TRIỂN TRƯỜNG THÀNH</t>
  </si>
  <si>
    <t>Số lượng</t>
  </si>
  <si>
    <t>CÔNG TY CỔ PHẦN CẢNG QUẢNG NINH</t>
  </si>
  <si>
    <t>FUEABVND</t>
  </si>
  <si>
    <t>QUỸ ETF ABFVN DIAMOND</t>
  </si>
  <si>
    <t>CÔNG TY CỔ PHẦN THIẾT BỊ ĐIỆN GELEX</t>
  </si>
  <si>
    <t>CÔNG TY CỔ PHẦN CÔNG TRÌNH ĐÔ THỊ GÒ CÔNG</t>
  </si>
  <si>
    <t>SZG</t>
  </si>
  <si>
    <t>CÔNG TY CỔ PHẦN SONADEZI GIANG ĐIỀN</t>
  </si>
  <si>
    <t>SZL</t>
  </si>
  <si>
    <t>CÔNG TY CỔ PHẦN SONADEZI LONG THÀNH</t>
  </si>
  <si>
    <t>TT6</t>
  </si>
  <si>
    <t>CÔNG TY CỔ PHẦN TẬP ĐOÀN TIẾN THỊNH</t>
  </si>
  <si>
    <t>VIF</t>
  </si>
  <si>
    <t>TỔNG CÔNG TY LÂM NGHIỆP VIỆT NAM - CÔNG TY CỔ PHẦN</t>
  </si>
  <si>
    <t>VIG</t>
  </si>
  <si>
    <t>CÔNG TY CỔ PHẦN CHỨNG KHOÁN ĐẦU TƯ VIỆT NAM</t>
  </si>
  <si>
    <t>HÓA CHẤT - NHỰA</t>
  </si>
  <si>
    <t>BẢO HIỂM -DV TC</t>
  </si>
  <si>
    <t>DẦU - KHÍ ĐỐT</t>
  </si>
  <si>
    <t>BẢO HIỂM - DV TÀI CHÍNH</t>
  </si>
  <si>
    <t>NĂNG LƯỢNG - TB ĐIỆN</t>
  </si>
  <si>
    <t>Y TẾ - DƯỢC</t>
  </si>
  <si>
    <t>VLXD - NỘI THẤT</t>
  </si>
  <si>
    <t>Sum of KL/KLTB21</t>
  </si>
  <si>
    <t>F1M</t>
  </si>
  <si>
    <t>F2M</t>
  </si>
  <si>
    <t>Tây</t>
  </si>
  <si>
    <t>VN30F1M</t>
  </si>
  <si>
    <t>Tổng KL Mua</t>
  </si>
  <si>
    <t>Tổng KL Bán</t>
  </si>
  <si>
    <t>Tổng GT Mua</t>
  </si>
  <si>
    <t>Tổng GT Bán</t>
  </si>
  <si>
    <t>Tổng KLGD</t>
  </si>
  <si>
    <t>Tổng GTGD</t>
  </si>
  <si>
    <t>VN30F2M</t>
  </si>
  <si>
    <t>Thống kê Tây Giao dịch</t>
  </si>
  <si>
    <t>Thống kê Tự doanh Giao dịch</t>
  </si>
  <si>
    <t>Tự Doanh</t>
  </si>
  <si>
    <t>Tổng Mua</t>
  </si>
  <si>
    <t>Tổng Bán</t>
  </si>
  <si>
    <t>Đang mở</t>
  </si>
  <si>
    <t>Giá TB</t>
  </si>
  <si>
    <t>buy/sell</t>
  </si>
  <si>
    <t>Giá Cao</t>
  </si>
  <si>
    <t>Giá Thấp</t>
  </si>
  <si>
    <t>Ngày</t>
  </si>
  <si>
    <t>Bên thứ 3</t>
  </si>
  <si>
    <t>Tổng Mở OI</t>
  </si>
  <si>
    <t>Chênh Lệch 
ta/tây</t>
  </si>
  <si>
    <t>Tổng Tự Doanh</t>
  </si>
  <si>
    <t>Nắm giữ</t>
  </si>
  <si>
    <t>Giá Mua TB</t>
  </si>
  <si>
    <t>Giá Bán TB</t>
  </si>
  <si>
    <t>Tổng Tây Lông</t>
  </si>
  <si>
    <t>Giá Mua</t>
  </si>
  <si>
    <t>Giá Bán</t>
  </si>
  <si>
    <t>VN30F1Q</t>
  </si>
  <si>
    <t>CP</t>
  </si>
  <si>
    <t>Mua moi</t>
  </si>
  <si>
    <t>Cutloss</t>
  </si>
  <si>
    <t>Target</t>
  </si>
  <si>
    <t>Sum of KLGD/1000</t>
  </si>
  <si>
    <t>- Kỳ hạn 14</t>
  </si>
  <si>
    <t>Bán hẳn</t>
  </si>
  <si>
    <t>-</t>
  </si>
  <si>
    <t>Chỉ tiêu</t>
  </si>
  <si>
    <t>Tỷ lệ tăng trưởng</t>
  </si>
  <si>
    <t>Tăng trưởng doanh thu</t>
  </si>
  <si>
    <t>Tăng trưởng Lợi nhuận</t>
  </si>
  <si>
    <t>Tăng trưởng Vốn chủ sở hữu</t>
  </si>
  <si>
    <t>Tăng trưởng Tổng tài sản</t>
  </si>
  <si>
    <t>Tăng trưởng tài sản</t>
  </si>
  <si>
    <t>Vốn chủ sở hữu</t>
  </si>
  <si>
    <t>Lợi nhuận sau thuế thu nhập doanh nghiệp</t>
  </si>
  <si>
    <t>Thu nhập lãi thuần</t>
  </si>
  <si>
    <t>Doanh thu thuần</t>
  </si>
  <si>
    <t>Lợi nhuận sau thuế/Tổng tài sản</t>
  </si>
  <si>
    <t>Lợi nhuận sau thuế/Vốn sở hữu</t>
  </si>
  <si>
    <t>Lợi nhuận sau thuế/Doanh thu</t>
  </si>
  <si>
    <t>Vốn chủ sở hữu/Tổng tài sản</t>
  </si>
  <si>
    <t>THU NHẬP LÃI THUẦN</t>
  </si>
  <si>
    <t>NTP</t>
  </si>
  <si>
    <t xml:space="preserve"> DẦU -KHÍ ĐỐT</t>
  </si>
  <si>
    <t>Danh Sách</t>
  </si>
  <si>
    <t>Ngày</t>
  </si>
  <si>
    <t>Giá tham gia</t>
  </si>
  <si>
    <t>Giá Target</t>
  </si>
  <si>
    <t>Giá SL</t>
  </si>
  <si>
    <t>G36</t>
  </si>
  <si>
    <t>HBC</t>
  </si>
  <si>
    <t>MST</t>
  </si>
  <si>
    <t>PDB</t>
  </si>
  <si>
    <t>S99</t>
  </si>
  <si>
    <t>SCI</t>
  </si>
  <si>
    <t>VC9</t>
  </si>
  <si>
    <t>HT1</t>
  </si>
  <si>
    <t>VLB</t>
  </si>
  <si>
    <t xml:space="preserve"> ĐTC</t>
  </si>
  <si>
    <t>VLXD-NỘI THẤT</t>
  </si>
  <si>
    <t>VEA</t>
  </si>
  <si>
    <t>TV2</t>
  </si>
  <si>
    <t>PHP</t>
  </si>
  <si>
    <t>PDN</t>
  </si>
  <si>
    <t>DVP</t>
  </si>
  <si>
    <t>MVN</t>
  </si>
  <si>
    <t>SWC</t>
  </si>
  <si>
    <t>XÂY DỰNG - ĐTC</t>
  </si>
  <si>
    <t>DGT</t>
  </si>
  <si>
    <t>KCN - BĐS KCN</t>
  </si>
  <si>
    <t>Cân đối kế toán</t>
  </si>
  <si>
    <t>Tài sản ngắn hạn</t>
  </si>
  <si>
    <t>Nợ phải trả</t>
  </si>
  <si>
    <t>Nợ ngắn hạn</t>
  </si>
  <si>
    <t>Tiền và các khoản tương đương tiền</t>
  </si>
  <si>
    <t>Phải thu khách hàng</t>
  </si>
  <si>
    <t>KQKD</t>
  </si>
  <si>
    <t>Lợi nhuận gộp</t>
  </si>
  <si>
    <t>Lợi nhuận sau thuế của Công ty mẹ</t>
  </si>
  <si>
    <t>%yoy</t>
  </si>
  <si>
    <t>Thời gian hết hạn</t>
  </si>
  <si>
    <t>SL chứng quyền</t>
  </si>
  <si>
    <t>Ước tính lãi lỗ:</t>
  </si>
  <si>
    <t>Vốn</t>
  </si>
  <si>
    <t>Dự tính Chứng Quyền</t>
  </si>
  <si>
    <t>Ước tính nếu đạt</t>
  </si>
  <si>
    <t>-&gt; Nhập bằng tay</t>
  </si>
  <si>
    <t>NT</t>
  </si>
  <si>
    <t>Nếu mục ước tính này lỗ thì đế ngày đáo hạn sẽ mất phần vốn mua</t>
  </si>
  <si>
    <t>Mã chứng quyền nhập vào ô bên cạnh: -&gt;</t>
  </si>
  <si>
    <t>BÁN LẺ - Oto</t>
  </si>
  <si>
    <t>BÁN LẺ - Ôtô</t>
  </si>
  <si>
    <t>VPL</t>
  </si>
  <si>
    <t>VINGROUP</t>
  </si>
  <si>
    <t>Giá TB dự tính tăng</t>
  </si>
  <si>
    <t>Lãi/lỗ theo</t>
  </si>
  <si>
    <t>Giá CW Mua</t>
  </si>
  <si>
    <t>ssb</t>
  </si>
  <si>
    <t>Giá TH điều chỉnh  :</t>
  </si>
  <si>
    <t>TLCĐ điều chỉnh  :</t>
  </si>
  <si>
    <t>Giá thực hiện  :</t>
  </si>
  <si>
    <t>Tỷ lệ chuyển đổi  :</t>
  </si>
  <si>
    <t>CFPT2516</t>
  </si>
  <si>
    <t>AIG</t>
  </si>
  <si>
    <t>CÔNG TY CỔ PHẦN NGUYÊN LIỆU Á CHÂU AIG</t>
  </si>
  <si>
    <t>BHH</t>
  </si>
  <si>
    <t>CÔNG TY CỔ PHẦN THƯƠNG MẠI BIA HÀ NỘI- HƯNG YÊN 89</t>
  </si>
  <si>
    <t>BMK</t>
  </si>
  <si>
    <t>CÔNG TY CỔ PHẦN KỸ THUẬT NHIỆT MÈO ĐEN</t>
  </si>
  <si>
    <t>CLL</t>
  </si>
  <si>
    <t>CMD</t>
  </si>
  <si>
    <t>CMI</t>
  </si>
  <si>
    <t>CMK</t>
  </si>
  <si>
    <t>CMP</t>
  </si>
  <si>
    <t>CMS</t>
  </si>
  <si>
    <t>CNN</t>
  </si>
  <si>
    <t>CNT</t>
  </si>
  <si>
    <t>CPI</t>
  </si>
  <si>
    <t>CQN</t>
  </si>
  <si>
    <t>CQT</t>
  </si>
  <si>
    <t>CRC</t>
  </si>
  <si>
    <t>CSC</t>
  </si>
  <si>
    <t>CT3</t>
  </si>
  <si>
    <t>CT6</t>
  </si>
  <si>
    <t>CTA</t>
  </si>
  <si>
    <t>CTB</t>
  </si>
  <si>
    <t>CTN</t>
  </si>
  <si>
    <t>CTT</t>
  </si>
  <si>
    <t>CTX</t>
  </si>
  <si>
    <t>CVT</t>
  </si>
  <si>
    <t>CX8</t>
  </si>
  <si>
    <t>CYC</t>
  </si>
  <si>
    <t>DAC</t>
  </si>
  <si>
    <t>DAS</t>
  </si>
  <si>
    <t>DC1</t>
  </si>
  <si>
    <t>DC2</t>
  </si>
  <si>
    <t>DC4</t>
  </si>
  <si>
    <t>DCF</t>
  </si>
  <si>
    <t>DCR</t>
  </si>
  <si>
    <t>DCT</t>
  </si>
  <si>
    <t>DDB</t>
  </si>
  <si>
    <t>CTCP THƯƠNG MẠI VÀ XÂY DỰNG ĐÔNG DƯƠNG</t>
  </si>
  <si>
    <t>DDH</t>
  </si>
  <si>
    <t>DDM</t>
  </si>
  <si>
    <t>DFF</t>
  </si>
  <si>
    <t>DHA</t>
  </si>
  <si>
    <t>DHP</t>
  </si>
  <si>
    <t>DIC</t>
  </si>
  <si>
    <t>DID</t>
  </si>
  <si>
    <t>DIH</t>
  </si>
  <si>
    <t>DKG</t>
  </si>
  <si>
    <t>CÔNG TY CỔ PHẦN TẬP ĐOÀN DAMIK</t>
  </si>
  <si>
    <t>DKW</t>
  </si>
  <si>
    <t>CÔNG TY CỔ PHẦN CẤP NƯỚC SINH HOẠT CHÂU THÀNH</t>
  </si>
  <si>
    <t>DL1</t>
  </si>
  <si>
    <t>DLR</t>
  </si>
  <si>
    <t>DND</t>
  </si>
  <si>
    <t>DNE</t>
  </si>
  <si>
    <t>DNL</t>
  </si>
  <si>
    <t>DNP</t>
  </si>
  <si>
    <t>DOP</t>
  </si>
  <si>
    <t>DPC</t>
  </si>
  <si>
    <t>DS3</t>
  </si>
  <si>
    <t>DSG</t>
  </si>
  <si>
    <t>DSH</t>
  </si>
  <si>
    <t>CÔNG TY CỔ PHẦN ĐẦU TƯ HẠ TẦNG ĐÔNG SƠN</t>
  </si>
  <si>
    <t>DTC</t>
  </si>
  <si>
    <t>DUS</t>
  </si>
  <si>
    <t>DVG</t>
  </si>
  <si>
    <t>DVT</t>
  </si>
  <si>
    <t>TRUNG TÂM ĐÀO TẠO NGHIỆP VỤ GIAO THÔNG VẬN TẢI BÌNH ĐỊNH</t>
  </si>
  <si>
    <t>DVW</t>
  </si>
  <si>
    <t>DXP</t>
  </si>
  <si>
    <t>DXV</t>
  </si>
  <si>
    <t>DZM</t>
  </si>
  <si>
    <t>E12</t>
  </si>
  <si>
    <t>E29</t>
  </si>
  <si>
    <t>ECO</t>
  </si>
  <si>
    <t>CÔNG TY CỔ PHẦN NHỰA SINH THÁI VIỆT NAM</t>
  </si>
  <si>
    <t>EIC</t>
  </si>
  <si>
    <t>EME</t>
  </si>
  <si>
    <t>EMG</t>
  </si>
  <si>
    <t>EMS</t>
  </si>
  <si>
    <t>EVG</t>
  </si>
  <si>
    <t>F88</t>
  </si>
  <si>
    <t>CÔNG TY CỔ PHẦN ĐẦU TƯ F88</t>
  </si>
  <si>
    <t>FBC</t>
  </si>
  <si>
    <t>FCM</t>
  </si>
  <si>
    <t>FIC</t>
  </si>
  <si>
    <t>FSO</t>
  </si>
  <si>
    <t>FT1</t>
  </si>
  <si>
    <t>FUETCC50</t>
  </si>
  <si>
    <t>QUỸ ETF TECHCOM CAPITAL VNX50</t>
  </si>
  <si>
    <t>GAB</t>
  </si>
  <si>
    <t>GH3</t>
  </si>
  <si>
    <t>GIC</t>
  </si>
  <si>
    <t>GKM</t>
  </si>
  <si>
    <t>GMH</t>
  </si>
  <si>
    <t>GMX</t>
  </si>
  <si>
    <t>GND</t>
  </si>
  <si>
    <t>GSP</t>
  </si>
  <si>
    <t>GTS</t>
  </si>
  <si>
    <t>H11</t>
  </si>
  <si>
    <t>HAM</t>
  </si>
  <si>
    <t>HAN</t>
  </si>
  <si>
    <t>HAS</t>
  </si>
  <si>
    <t>HBD</t>
  </si>
  <si>
    <t>HC1</t>
  </si>
  <si>
    <t>HC3</t>
  </si>
  <si>
    <t>HCC</t>
  </si>
  <si>
    <t>HCI</t>
  </si>
  <si>
    <t>HCT</t>
  </si>
  <si>
    <t>HDA</t>
  </si>
  <si>
    <t>HDO</t>
  </si>
  <si>
    <t>HEC</t>
  </si>
  <si>
    <t>HEJ</t>
  </si>
  <si>
    <t>HEP</t>
  </si>
  <si>
    <t>HFB</t>
  </si>
  <si>
    <t>HHN</t>
  </si>
  <si>
    <t>HID</t>
  </si>
  <si>
    <t>HLO</t>
  </si>
  <si>
    <t>HLS</t>
  </si>
  <si>
    <t>HLY</t>
  </si>
  <si>
    <t>HMD</t>
  </si>
  <si>
    <t>CÔNG TY CỔ PHẦN HÓA CHẤT MINH ĐỨC</t>
  </si>
  <si>
    <t>HMH</t>
  </si>
  <si>
    <t>HMR</t>
  </si>
  <si>
    <t>HMS</t>
  </si>
  <si>
    <t>HNB</t>
  </si>
  <si>
    <t>HOM</t>
  </si>
  <si>
    <t>HPB</t>
  </si>
  <si>
    <t>HPP</t>
  </si>
  <si>
    <t>HSA</t>
  </si>
  <si>
    <t>HSP</t>
  </si>
  <si>
    <t>HTI</t>
  </si>
  <si>
    <t>HTV</t>
  </si>
  <si>
    <t>HU1</t>
  </si>
  <si>
    <t>HU3</t>
  </si>
  <si>
    <t>HU4</t>
  </si>
  <si>
    <t>HVH</t>
  </si>
  <si>
    <t>HVX</t>
  </si>
  <si>
    <t>ICC</t>
  </si>
  <si>
    <t>ICG</t>
  </si>
  <si>
    <t>ICI</t>
  </si>
  <si>
    <t>ICN</t>
  </si>
  <si>
    <t>ILB</t>
  </si>
  <si>
    <t>ILC</t>
  </si>
  <si>
    <t>ILS</t>
  </si>
  <si>
    <t>IME</t>
  </si>
  <si>
    <t>INC</t>
  </si>
  <si>
    <t>ING</t>
  </si>
  <si>
    <t>INN</t>
  </si>
  <si>
    <t>IPA</t>
  </si>
  <si>
    <t>ISG</t>
  </si>
  <si>
    <t>IST</t>
  </si>
  <si>
    <t>ITS</t>
  </si>
  <si>
    <t>KDM</t>
  </si>
  <si>
    <t>KHL</t>
  </si>
  <si>
    <t>KIP</t>
  </si>
  <si>
    <t>KPF</t>
  </si>
  <si>
    <t>KTT</t>
  </si>
  <si>
    <t>KWA</t>
  </si>
  <si>
    <t>CÔNG TY CỔ PHẦN CẤP THOÁT NƯỚC VÀ MÔI TRƯỜNG KIẾN TƯỜNG</t>
  </si>
  <si>
    <t>L10</t>
  </si>
  <si>
    <t>L12</t>
  </si>
  <si>
    <t>L14</t>
  </si>
  <si>
    <t>L18</t>
  </si>
  <si>
    <t>L35</t>
  </si>
  <si>
    <t>L40</t>
  </si>
  <si>
    <t>L43</t>
  </si>
  <si>
    <t>L44</t>
  </si>
  <si>
    <t>L45</t>
  </si>
  <si>
    <t>L61</t>
  </si>
  <si>
    <t>L62</t>
  </si>
  <si>
    <t>L63</t>
  </si>
  <si>
    <t>LAI</t>
  </si>
  <si>
    <t>LBM</t>
  </si>
  <si>
    <t>LCC</t>
  </si>
  <si>
    <t>LCD</t>
  </si>
  <si>
    <t>LCS</t>
  </si>
  <si>
    <t>LG9</t>
  </si>
  <si>
    <t>LGC</t>
  </si>
  <si>
    <t>LHC</t>
  </si>
  <si>
    <t>LIC</t>
  </si>
  <si>
    <t>LIG</t>
  </si>
  <si>
    <t>LLM</t>
  </si>
  <si>
    <t>LM3</t>
  </si>
  <si>
    <t>LM7</t>
  </si>
  <si>
    <t>LM8</t>
  </si>
  <si>
    <t>LMI</t>
  </si>
  <si>
    <t>LO5</t>
  </si>
  <si>
    <t>LPT</t>
  </si>
  <si>
    <t>LQN</t>
  </si>
  <si>
    <t>LUT</t>
  </si>
  <si>
    <t>MAC</t>
  </si>
  <si>
    <t>MBG</t>
  </si>
  <si>
    <t>MBN</t>
  </si>
  <si>
    <t>MBT</t>
  </si>
  <si>
    <t>CÔNG TY CỔ PHẦN BẤT ĐỘNG SẢN CHO THUÊ MINH BẢO TÍN</t>
  </si>
  <si>
    <t>MCC</t>
  </si>
  <si>
    <t>MCG</t>
  </si>
  <si>
    <t>MCO</t>
  </si>
  <si>
    <t>MCP</t>
  </si>
  <si>
    <t>MDA</t>
  </si>
  <si>
    <t>MDG</t>
  </si>
  <si>
    <t>MEC</t>
  </si>
  <si>
    <t>MES</t>
  </si>
  <si>
    <t>MHC</t>
  </si>
  <si>
    <t>MHL</t>
  </si>
  <si>
    <t>CÔNG TY CỔ PHẦN MINH HỮU LIÊN</t>
  </si>
  <si>
    <t>MIE</t>
  </si>
  <si>
    <t>MLC</t>
  </si>
  <si>
    <t>MND</t>
  </si>
  <si>
    <t>MPY</t>
  </si>
  <si>
    <t>MQB</t>
  </si>
  <si>
    <t>MQN</t>
  </si>
  <si>
    <t>MTB</t>
  </si>
  <si>
    <t>MTH</t>
  </si>
  <si>
    <t>MTL</t>
  </si>
  <si>
    <t>MTS</t>
  </si>
  <si>
    <t>MTV</t>
  </si>
  <si>
    <t>MTX</t>
  </si>
  <si>
    <t>MVC</t>
  </si>
  <si>
    <t>MZG</t>
  </si>
  <si>
    <t>CTCP MIZA</t>
  </si>
  <si>
    <t>NAC</t>
  </si>
  <si>
    <t>NAG</t>
  </si>
  <si>
    <t>NAP</t>
  </si>
  <si>
    <t>NAS</t>
  </si>
  <si>
    <t>NAU</t>
  </si>
  <si>
    <t>NAV</t>
  </si>
  <si>
    <t>NDX</t>
  </si>
  <si>
    <t>NED</t>
  </si>
  <si>
    <t>NEM</t>
  </si>
  <si>
    <t>NHA</t>
  </si>
  <si>
    <t>NHC</t>
  </si>
  <si>
    <t>NHP</t>
  </si>
  <si>
    <t>NNC</t>
  </si>
  <si>
    <t>NOS</t>
  </si>
  <si>
    <t>NUE</t>
  </si>
  <si>
    <t>NXT</t>
  </si>
  <si>
    <t>PAP</t>
  </si>
  <si>
    <t>PBP</t>
  </si>
  <si>
    <t>PBT</t>
  </si>
  <si>
    <t>PCC</t>
  </si>
  <si>
    <t>PCM</t>
  </si>
  <si>
    <t>PCT</t>
  </si>
  <si>
    <t>PDV</t>
  </si>
  <si>
    <t>PEC</t>
  </si>
  <si>
    <t>PEN</t>
  </si>
  <si>
    <t>PFL</t>
  </si>
  <si>
    <t>PHC</t>
  </si>
  <si>
    <t>PHH</t>
  </si>
  <si>
    <t>PHN</t>
  </si>
  <si>
    <t>PID</t>
  </si>
  <si>
    <t>PJT</t>
  </si>
  <si>
    <t>PLE</t>
  </si>
  <si>
    <t>PLO</t>
  </si>
  <si>
    <t>PMP</t>
  </si>
  <si>
    <t>PMS</t>
  </si>
  <si>
    <t>PNP</t>
  </si>
  <si>
    <t>PNT</t>
  </si>
  <si>
    <t>PPE</t>
  </si>
  <si>
    <t>PPS</t>
  </si>
  <si>
    <t>PQN</t>
  </si>
  <si>
    <t>PRC</t>
  </si>
  <si>
    <t>PSB</t>
  </si>
  <si>
    <t>PSC</t>
  </si>
  <si>
    <t>PSG</t>
  </si>
  <si>
    <t>PSN</t>
  </si>
  <si>
    <t>PSP</t>
  </si>
  <si>
    <t>PTC</t>
  </si>
  <si>
    <t>PTD</t>
  </si>
  <si>
    <t>PTE</t>
  </si>
  <si>
    <t>PTM</t>
  </si>
  <si>
    <t>CÔNG TY CỔ PHẦN SẢN XUẤT, THƯƠNG MẠI VÀ DỊCH VỤ ÔTÔ PTM</t>
  </si>
  <si>
    <t>PTO</t>
  </si>
  <si>
    <t>PTS</t>
  </si>
  <si>
    <t>PTT</t>
  </si>
  <si>
    <t>PTX</t>
  </si>
  <si>
    <t>PVA</t>
  </si>
  <si>
    <t>PVH</t>
  </si>
  <si>
    <t>PVM</t>
  </si>
  <si>
    <t>PVV</t>
  </si>
  <si>
    <t>PVX</t>
  </si>
  <si>
    <t>PVY</t>
  </si>
  <si>
    <t>PX1</t>
  </si>
  <si>
    <t>PXI</t>
  </si>
  <si>
    <t>PXM</t>
  </si>
  <si>
    <t>PXS</t>
  </si>
  <si>
    <t>PXT</t>
  </si>
  <si>
    <t>QCC</t>
  </si>
  <si>
    <t>QHD</t>
  </si>
  <si>
    <t>QNC</t>
  </si>
  <si>
    <t>QNP</t>
  </si>
  <si>
    <t>QNT</t>
  </si>
  <si>
    <t>QNU</t>
  </si>
  <si>
    <t>QSP</t>
  </si>
  <si>
    <t>QTC</t>
  </si>
  <si>
    <t>RAT</t>
  </si>
  <si>
    <t>RCC</t>
  </si>
  <si>
    <t>RCD</t>
  </si>
  <si>
    <t>RYG</t>
  </si>
  <si>
    <t>CÔNG TY CỔ PHẦN SẢN XUẤT VÀ ĐẦU TƯ HOÀNG GIA</t>
  </si>
  <si>
    <t>S12</t>
  </si>
  <si>
    <t>S27</t>
  </si>
  <si>
    <t>S55</t>
  </si>
  <si>
    <t>S72</t>
  </si>
  <si>
    <t>S74</t>
  </si>
  <si>
    <t>S96</t>
  </si>
  <si>
    <t>SAC</t>
  </si>
  <si>
    <t>SAL</t>
  </si>
  <si>
    <t>SBM</t>
  </si>
  <si>
    <t>SC5</t>
  </si>
  <si>
    <t>SCC</t>
  </si>
  <si>
    <t>SCG</t>
  </si>
  <si>
    <t>SCJ</t>
  </si>
  <si>
    <t>SCL</t>
  </si>
  <si>
    <t>SCO</t>
  </si>
  <si>
    <t>SD1</t>
  </si>
  <si>
    <t>SD2</t>
  </si>
  <si>
    <t>SD3</t>
  </si>
  <si>
    <t>SD4</t>
  </si>
  <si>
    <t>SD5</t>
  </si>
  <si>
    <t>SD6</t>
  </si>
  <si>
    <t>SD7</t>
  </si>
  <si>
    <t>SD8</t>
  </si>
  <si>
    <t>SD9</t>
  </si>
  <si>
    <t>SDA</t>
  </si>
  <si>
    <t>SDB</t>
  </si>
  <si>
    <t>SDC</t>
  </si>
  <si>
    <t>SDD</t>
  </si>
  <si>
    <t>SDG</t>
  </si>
  <si>
    <t>SDK</t>
  </si>
  <si>
    <t>SDN</t>
  </si>
  <si>
    <t>SDP</t>
  </si>
  <si>
    <t>SDT</t>
  </si>
  <si>
    <t>SDU</t>
  </si>
  <si>
    <t>SDV</t>
  </si>
  <si>
    <t>SDX</t>
  </si>
  <si>
    <t>SDY</t>
  </si>
  <si>
    <t>SFI</t>
  </si>
  <si>
    <t>SFN</t>
  </si>
  <si>
    <t>SGN</t>
  </si>
  <si>
    <t>SGP</t>
  </si>
  <si>
    <t>SGS</t>
  </si>
  <si>
    <t>SHC</t>
  </si>
  <si>
    <t>SHG</t>
  </si>
  <si>
    <t>SIG</t>
  </si>
  <si>
    <t>SJC</t>
  </si>
  <si>
    <t>SJE</t>
  </si>
  <si>
    <t>SJG</t>
  </si>
  <si>
    <t>SJM</t>
  </si>
  <si>
    <t>SLD</t>
  </si>
  <si>
    <t>CÔNG TY CỔ PHẦN ĐỊA ỐC SACOM</t>
  </si>
  <si>
    <t>SNZ</t>
  </si>
  <si>
    <t>SSG</t>
  </si>
  <si>
    <t>STG</t>
  </si>
  <si>
    <t>STP</t>
  </si>
  <si>
    <t>STS</t>
  </si>
  <si>
    <t>SVG</t>
  </si>
  <si>
    <t>SVI</t>
  </si>
  <si>
    <t>SVN</t>
  </si>
  <si>
    <t>SZE</t>
  </si>
  <si>
    <t>TA6</t>
  </si>
  <si>
    <t>TA9</t>
  </si>
  <si>
    <t>TAB</t>
  </si>
  <si>
    <t>FRECO .,CORP</t>
  </si>
  <si>
    <t>TB8</t>
  </si>
  <si>
    <t>TBD</t>
  </si>
  <si>
    <t>TBH</t>
  </si>
  <si>
    <t>TBX</t>
  </si>
  <si>
    <t>TCD</t>
  </si>
  <si>
    <t>TCK</t>
  </si>
  <si>
    <t>TCO</t>
  </si>
  <si>
    <t>TCR</t>
  </si>
  <si>
    <t>TCW</t>
  </si>
  <si>
    <t>TD6</t>
  </si>
  <si>
    <t>CÔNG TY CỔ PHẦN THAN ĐÈO NAI - CỌC SÁU - TKV</t>
  </si>
  <si>
    <t>TDF</t>
  </si>
  <si>
    <t>TDP</t>
  </si>
  <si>
    <t>TED</t>
  </si>
  <si>
    <t>TEL</t>
  </si>
  <si>
    <t>TGG</t>
  </si>
  <si>
    <t>TGP</t>
  </si>
  <si>
    <t>THU</t>
  </si>
  <si>
    <t>TIE</t>
  </si>
  <si>
    <t>TJC</t>
  </si>
  <si>
    <t>TKA</t>
  </si>
  <si>
    <t>TKC</t>
  </si>
  <si>
    <t>TL4</t>
  </si>
  <si>
    <t>TLT</t>
  </si>
  <si>
    <t>TMS</t>
  </si>
  <si>
    <t>TMX</t>
  </si>
  <si>
    <t>TNM</t>
  </si>
  <si>
    <t>TNP</t>
  </si>
  <si>
    <t>TNV</t>
  </si>
  <si>
    <t>CTCP THỐNG NHẤT HÀ NỘI</t>
  </si>
  <si>
    <t>TOT</t>
  </si>
  <si>
    <t>TPP</t>
  </si>
  <si>
    <t>TR1</t>
  </si>
  <si>
    <t>TRS</t>
  </si>
  <si>
    <t>TRT</t>
  </si>
  <si>
    <t>TRV</t>
  </si>
  <si>
    <t>CÔNG TY CỔ PHẦN VẬN TẢI ĐƯỜNG SẮT</t>
  </si>
  <si>
    <t>ĐƯỜNG SẮT</t>
  </si>
  <si>
    <t>TS3</t>
  </si>
  <si>
    <t>TSA</t>
  </si>
  <si>
    <t>TSB</t>
  </si>
  <si>
    <t>TSG</t>
  </si>
  <si>
    <t>TTB</t>
  </si>
  <si>
    <t>TTC</t>
  </si>
  <si>
    <t>TTL</t>
  </si>
  <si>
    <t>TTZ</t>
  </si>
  <si>
    <t>TUG</t>
  </si>
  <si>
    <t>TV1</t>
  </si>
  <si>
    <t>TV3</t>
  </si>
  <si>
    <t>TV4</t>
  </si>
  <si>
    <t>TVA</t>
  </si>
  <si>
    <t>TVG</t>
  </si>
  <si>
    <t>TVH</t>
  </si>
  <si>
    <t>TVM</t>
  </si>
  <si>
    <t>TXM</t>
  </si>
  <si>
    <t>TYA</t>
  </si>
  <si>
    <t>UCT</t>
  </si>
  <si>
    <t>UDC</t>
  </si>
  <si>
    <t>UDJ</t>
  </si>
  <si>
    <t>UDL</t>
  </si>
  <si>
    <t>UEM</t>
  </si>
  <si>
    <t>UMC</t>
  </si>
  <si>
    <t>USC</t>
  </si>
  <si>
    <t>USD</t>
  </si>
  <si>
    <t>UXC</t>
  </si>
  <si>
    <t>CÔNG TY CỔ PHẦN CHẾ BIẾN THỦY SẢN ÚT XI</t>
  </si>
  <si>
    <t>V12</t>
  </si>
  <si>
    <t>V15</t>
  </si>
  <si>
    <t>VBC</t>
  </si>
  <si>
    <t>VBH</t>
  </si>
  <si>
    <t>VC1</t>
  </si>
  <si>
    <t>VC2</t>
  </si>
  <si>
    <t>VC5</t>
  </si>
  <si>
    <t>VC6</t>
  </si>
  <si>
    <t>VC7</t>
  </si>
  <si>
    <t>VCC</t>
  </si>
  <si>
    <t>VCE</t>
  </si>
  <si>
    <t>VCM</t>
  </si>
  <si>
    <t>VCS</t>
  </si>
  <si>
    <t>VCT</t>
  </si>
  <si>
    <t>VCX</t>
  </si>
  <si>
    <t>VDG</t>
  </si>
  <si>
    <t>CÔNG TY CỔ PHẦN VẠN ĐẠT GROUP</t>
  </si>
  <si>
    <t>VE1</t>
  </si>
  <si>
    <t>VE2</t>
  </si>
  <si>
    <t>VE3</t>
  </si>
  <si>
    <t>VE4</t>
  </si>
  <si>
    <t>VE8</t>
  </si>
  <si>
    <t>VE9</t>
  </si>
  <si>
    <t>VES</t>
  </si>
  <si>
    <t>VFC</t>
  </si>
  <si>
    <t>VFR</t>
  </si>
  <si>
    <t>VGP</t>
  </si>
  <si>
    <t>VGR</t>
  </si>
  <si>
    <t>VHG</t>
  </si>
  <si>
    <t>VHH</t>
  </si>
  <si>
    <t>VHL</t>
  </si>
  <si>
    <t>VIH</t>
  </si>
  <si>
    <t>VIN</t>
  </si>
  <si>
    <t>VIT</t>
  </si>
  <si>
    <t>VIW</t>
  </si>
  <si>
    <t>VLG</t>
  </si>
  <si>
    <t>VLP</t>
  </si>
  <si>
    <t>VMC</t>
  </si>
  <si>
    <t>VMS</t>
  </si>
  <si>
    <t>VMT</t>
  </si>
  <si>
    <t>VNA</t>
  </si>
  <si>
    <t>VNC</t>
  </si>
  <si>
    <t>VNF</t>
  </si>
  <si>
    <t>VNL</t>
  </si>
  <si>
    <t>VNT</t>
  </si>
  <si>
    <t>VPA</t>
  </si>
  <si>
    <t>VPC</t>
  </si>
  <si>
    <t>CÔNG TY CỔ PHẦN VINPEARL</t>
  </si>
  <si>
    <t>VQC</t>
  </si>
  <si>
    <t>VSA</t>
  </si>
  <si>
    <t>VSE</t>
  </si>
  <si>
    <t>VSG</t>
  </si>
  <si>
    <t>VSM</t>
  </si>
  <si>
    <t>VST</t>
  </si>
  <si>
    <t>VTA</t>
  </si>
  <si>
    <t>VTB</t>
  </si>
  <si>
    <t>VCK</t>
  </si>
  <si>
    <t>CÔNG TY CỔ PHẦN CHỨNG KHOÁN VPS</t>
  </si>
  <si>
    <t>YEAR</t>
  </si>
  <si>
    <t>TCX</t>
  </si>
  <si>
    <t>Biểu đồ lãi suất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</si>
</sst>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%"/>
    <numFmt numFmtId="165" formatCode="#,##0\ &quot;tỷ&quot;"/>
    <numFmt numFmtId="166" formatCode="0.000"/>
    <numFmt numFmtId="167" formatCode="0.0"/>
    <numFmt numFmtId="168" formatCode="#,##0\ &quot;tr&quot;"/>
    <numFmt numFmtId="169" formatCode="#,##0.0\ &quot;tỷ&quot;"/>
    <numFmt numFmtId="170" formatCode="#,##0.00\ &quot;tỷ&quot;"/>
    <numFmt numFmtId="171" formatCode="#,##0,,,\ &quot;tỷ&quot;"/>
    <numFmt numFmtId="172" formatCode="#,##0,,,\ &quot;tỷ&quot;"/>
    <numFmt numFmtId="173" formatCode="yyyy/mm/dd;@"/>
    <numFmt numFmtId="174" formatCode="General\ &quot;ngày&quot;"/>
    <numFmt numFmtId="175" formatCode="#,##0.0,,,\ &quot;tỷ&quot;"/>
    <numFmt numFmtId="176" formatCode="#,##0.00,,,\ &quot;tỷ&quot;"/>
  </numFmts>
  <fonts count="33" x14ac:knownFonts="1">
    <font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i/>
      <sz val="12"/>
      <color theme="1"/>
      <name val="Arial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3"/>
      <color theme="1"/>
      <name val="Times New Roman"/>
      <family val="1"/>
    </font>
    <font>
      <sz val="10.5"/>
      <color theme="1"/>
      <name val="Times New Roman"/>
      <family val="1"/>
    </font>
    <font>
      <b/>
      <i/>
      <sz val="11"/>
      <color theme="1"/>
      <name val="Times New Roman"/>
      <family val="1"/>
    </font>
    <font>
      <b/>
      <i/>
      <sz val="10.5"/>
      <color theme="1"/>
      <name val="Times New Roman"/>
      <family val="1"/>
    </font>
    <font>
      <sz val="11"/>
      <color theme="1"/>
      <name val="Times New Roman"/>
      <family val="1"/>
      <charset val="163"/>
    </font>
    <font>
      <i/>
      <sz val="11"/>
      <color theme="1"/>
      <name val="Times New Roman"/>
      <family val="1"/>
    </font>
    <font>
      <b/>
      <sz val="10.5"/>
      <color theme="1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Arial"/>
      <family val="2"/>
      <scheme val="minor"/>
    </font>
    <font>
      <b/>
      <sz val="13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6"/>
      <color theme="0"/>
      <name val="Arial"/>
      <family val="2"/>
      <scheme val="minor"/>
    </font>
    <font>
      <b/>
      <sz val="26"/>
      <color theme="0"/>
      <name val="Arial"/>
      <family val="2"/>
      <scheme val="minor"/>
    </font>
    <font>
      <b/>
      <sz val="12"/>
      <color theme="0"/>
      <name val="Arial"/>
      <family val="2"/>
      <scheme val="minor"/>
    </font>
    <font>
      <sz val="11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b/>
      <sz val="18"/>
      <color theme="1"/>
      <name val="Arial"/>
      <family val="2"/>
      <scheme val="minor"/>
    </font>
    <font>
      <sz val="8"/>
      <name val="Arial"/>
      <family val="2"/>
      <scheme val="minor"/>
    </font>
    <font>
      <b/>
      <sz val="11"/>
      <color theme="1"/>
      <name val="Times New Roman"/>
      <family val="1"/>
      <charset val="163"/>
    </font>
    <font>
      <b/>
      <sz val="12"/>
      <color theme="1"/>
      <name val="Arial"/>
      <family val="2"/>
      <charset val="163"/>
      <scheme val="minor"/>
    </font>
    <font>
      <i/>
      <sz val="10.5"/>
      <color theme="1"/>
      <name val="Times New Roman"/>
      <family val="1"/>
    </font>
    <font>
      <sz val="12"/>
      <color rgb="FFFF0000"/>
      <name val="Arial"/>
      <family val="2"/>
      <scheme val="minor"/>
    </font>
    <font>
      <b/>
      <sz val="10"/>
      <color rgb="FFCD7B2C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0"/>
      <color rgb="FF000000"/>
      <name val="Arial"/>
      <family val="2"/>
      <scheme val="minor"/>
    </font>
    <font>
      <b/>
      <i/>
      <sz val="10"/>
      <color rgb="FF000000"/>
      <name val="Arial"/>
      <family val="2"/>
      <scheme val="minor"/>
    </font>
    <font>
      <b/>
      <sz val="12"/>
      <name val="Arial"/>
      <family val="2"/>
      <scheme val="minor"/>
    </font>
    <font>
      <b/>
      <sz val="15"/>
      <color theme="3"/>
      <name val="Arial"/>
      <family val="2"/>
      <charset val="163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E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ED4A0"/>
        <bgColor indexed="64"/>
      </patternFill>
    </fill>
    <fill>
      <patternFill patternType="solid">
        <fgColor theme="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thin">
        <color auto="1"/>
      </top>
      <bottom/>
      <diagonal/>
    </border>
    <border>
      <left style="dotted">
        <color indexed="64"/>
      </left>
      <right style="dotted">
        <color indexed="64"/>
      </right>
      <top style="thin">
        <color auto="1"/>
      </top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/>
      <bottom/>
      <diagonal/>
    </border>
    <border>
      <left style="medium">
        <color rgb="FFB8B1AA"/>
      </left>
      <right style="medium">
        <color rgb="FFB8B1AA"/>
      </right>
      <top style="medium">
        <color rgb="FFB8B1AA"/>
      </top>
      <bottom style="medium">
        <color rgb="FFB8B1AA"/>
      </bottom>
      <diagonal/>
    </border>
    <border>
      <left style="medium">
        <color rgb="FFB8B1AA"/>
      </left>
      <right style="medium">
        <color rgb="FFB8B1AA"/>
      </right>
      <top style="medium">
        <color rgb="FFB8B1AA"/>
      </top>
      <bottom/>
      <diagonal/>
    </border>
    <border>
      <left style="medium">
        <color rgb="FFB8B1AA"/>
      </left>
      <right style="medium">
        <color rgb="FFB8B1AA"/>
      </right>
      <top/>
      <bottom style="medium">
        <color rgb="FFB8B1AA"/>
      </bottom>
      <diagonal/>
    </border>
    <border>
      <left style="medium">
        <color rgb="FFB8B1AA"/>
      </left>
      <right/>
      <top style="medium">
        <color rgb="FFB8B1AA"/>
      </top>
      <bottom/>
      <diagonal/>
    </border>
    <border>
      <left/>
      <right style="medium">
        <color rgb="FFB8B1AA"/>
      </right>
      <top style="medium">
        <color rgb="FFB8B1AA"/>
      </top>
      <bottom/>
      <diagonal/>
    </border>
    <border>
      <left style="medium">
        <color rgb="FFB8B1AA"/>
      </left>
      <right/>
      <top/>
      <bottom style="medium">
        <color rgb="FFB8B1AA"/>
      </bottom>
      <diagonal/>
    </border>
    <border>
      <left/>
      <right style="medium">
        <color rgb="FFB8B1AA"/>
      </right>
      <top/>
      <bottom style="medium">
        <color rgb="FFB8B1AA"/>
      </bottom>
      <diagonal/>
    </border>
    <border>
      <left style="medium">
        <color rgb="FFB8B1AA"/>
      </left>
      <right/>
      <top style="medium">
        <color rgb="FFB8B1AA"/>
      </top>
      <bottom style="medium">
        <color rgb="FFB8B1AA"/>
      </bottom>
      <diagonal/>
    </border>
    <border>
      <left/>
      <right style="medium">
        <color rgb="FFB8B1AA"/>
      </right>
      <top style="medium">
        <color rgb="FFB8B1AA"/>
      </top>
      <bottom style="medium">
        <color rgb="FFB8B1AA"/>
      </bottom>
      <diagonal/>
    </border>
    <border>
      <left/>
      <right/>
      <top/>
      <bottom style="thick">
        <color theme="4"/>
      </bottom>
      <diagonal/>
    </border>
    <border>
      <left/>
      <right style="dashDot">
        <color theme="4"/>
      </right>
      <top/>
      <bottom style="thick">
        <color theme="4"/>
      </bottom>
      <diagonal/>
    </border>
    <border>
      <left style="dashDot">
        <color theme="4"/>
      </left>
      <right style="dashDot">
        <color theme="4"/>
      </right>
      <top/>
      <bottom style="thick">
        <color theme="4"/>
      </bottom>
      <diagonal/>
    </border>
    <border>
      <left style="dashDot">
        <color theme="4"/>
      </left>
      <right/>
      <top/>
      <bottom style="thick">
        <color theme="4"/>
      </bottom>
      <diagonal/>
    </border>
  </borders>
  <cellStyleXfs count="3">
    <xf numFmtId="0" fontId="0" fillId="0" borderId="0"/>
    <xf numFmtId="9" fontId="13" fillId="0" borderId="0" applyFont="0" applyFill="0" applyBorder="0" applyAlignment="0" applyProtection="0"/>
    <xf numFmtId="0" fontId="32" fillId="0" borderId="47" applyNumberFormat="0" applyFill="0" applyAlignment="0" applyProtection="0"/>
  </cellStyleXfs>
  <cellXfs count="391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1" fillId="2" borderId="0" xfId="0" applyFont="1" applyFill="1"/>
    <xf numFmtId="0" fontId="0" fillId="0" borderId="5" xfId="0" applyBorder="1"/>
    <xf numFmtId="0" fontId="0" fillId="0" borderId="6" xfId="0" applyBorder="1"/>
    <xf numFmtId="0" fontId="0" fillId="0" borderId="8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/>
    </xf>
    <xf numFmtId="0" fontId="0" fillId="0" borderId="7" xfId="0" applyBorder="1" applyAlignment="1">
      <alignment horizontal="left"/>
    </xf>
    <xf numFmtId="0" fontId="1" fillId="0" borderId="10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7" xfId="0" applyFont="1" applyBorder="1" applyAlignment="1">
      <alignment horizontal="left"/>
    </xf>
    <xf numFmtId="0" fontId="0" fillId="0" borderId="0" xfId="0" quotePrefix="1"/>
    <xf numFmtId="0" fontId="2" fillId="0" borderId="10" xfId="0" applyFont="1" applyBorder="1" applyAlignment="1">
      <alignment wrapText="1"/>
    </xf>
    <xf numFmtId="0" fontId="2" fillId="0" borderId="0" xfId="0" applyFont="1"/>
    <xf numFmtId="0" fontId="2" fillId="0" borderId="10" xfId="0" applyFont="1" applyBorder="1"/>
    <xf numFmtId="0" fontId="1" fillId="0" borderId="0" xfId="0" applyFont="1"/>
    <xf numFmtId="3" fontId="1" fillId="2" borderId="0" xfId="0" applyNumberFormat="1" applyFont="1" applyFill="1"/>
    <xf numFmtId="3" fontId="0" fillId="0" borderId="0" xfId="0" applyNumberFormat="1"/>
    <xf numFmtId="0" fontId="0" fillId="3" borderId="1" xfId="0" applyFill="1" applyBorder="1"/>
    <xf numFmtId="0" fontId="4" fillId="0" borderId="0" xfId="0" applyFont="1"/>
    <xf numFmtId="3" fontId="4" fillId="0" borderId="0" xfId="0" applyNumberFormat="1" applyFont="1"/>
    <xf numFmtId="0" fontId="3" fillId="0" borderId="0" xfId="0" applyFont="1"/>
    <xf numFmtId="3" fontId="0" fillId="0" borderId="1" xfId="0" applyNumberFormat="1" applyBorder="1"/>
    <xf numFmtId="3" fontId="6" fillId="0" borderId="0" xfId="0" applyNumberFormat="1" applyFont="1"/>
    <xf numFmtId="3" fontId="4" fillId="0" borderId="16" xfId="0" applyNumberFormat="1" applyFont="1" applyBorder="1"/>
    <xf numFmtId="3" fontId="4" fillId="0" borderId="17" xfId="0" applyNumberFormat="1" applyFont="1" applyBorder="1"/>
    <xf numFmtId="3" fontId="4" fillId="0" borderId="20" xfId="0" applyNumberFormat="1" applyFont="1" applyBorder="1"/>
    <xf numFmtId="3" fontId="4" fillId="0" borderId="21" xfId="0" applyNumberFormat="1" applyFont="1" applyBorder="1"/>
    <xf numFmtId="10" fontId="7" fillId="0" borderId="19" xfId="0" applyNumberFormat="1" applyFont="1" applyBorder="1"/>
    <xf numFmtId="10" fontId="7" fillId="0" borderId="18" xfId="0" applyNumberFormat="1" applyFont="1" applyBorder="1"/>
    <xf numFmtId="0" fontId="7" fillId="0" borderId="0" xfId="0" applyFont="1"/>
    <xf numFmtId="3" fontId="3" fillId="0" borderId="18" xfId="0" applyNumberFormat="1" applyFont="1" applyBorder="1"/>
    <xf numFmtId="3" fontId="6" fillId="0" borderId="9" xfId="0" applyNumberFormat="1" applyFont="1" applyBorder="1"/>
    <xf numFmtId="3" fontId="8" fillId="0" borderId="11" xfId="0" applyNumberFormat="1" applyFont="1" applyBorder="1"/>
    <xf numFmtId="3" fontId="8" fillId="0" borderId="7" xfId="0" applyNumberFormat="1" applyFont="1" applyBorder="1"/>
    <xf numFmtId="3" fontId="6" fillId="0" borderId="7" xfId="0" applyNumberFormat="1" applyFont="1" applyBorder="1"/>
    <xf numFmtId="3" fontId="4" fillId="0" borderId="22" xfId="0" applyNumberFormat="1" applyFont="1" applyBorder="1"/>
    <xf numFmtId="3" fontId="4" fillId="0" borderId="23" xfId="0" applyNumberFormat="1" applyFont="1" applyBorder="1"/>
    <xf numFmtId="3" fontId="5" fillId="3" borderId="1" xfId="0" applyNumberFormat="1" applyFont="1" applyFill="1" applyBorder="1" applyAlignment="1">
      <alignment vertical="center"/>
    </xf>
    <xf numFmtId="3" fontId="3" fillId="3" borderId="3" xfId="0" applyNumberFormat="1" applyFont="1" applyFill="1" applyBorder="1"/>
    <xf numFmtId="0" fontId="9" fillId="0" borderId="0" xfId="0" applyFont="1"/>
    <xf numFmtId="3" fontId="6" fillId="0" borderId="15" xfId="0" applyNumberFormat="1" applyFont="1" applyBorder="1"/>
    <xf numFmtId="0" fontId="10" fillId="0" borderId="0" xfId="0" applyFont="1"/>
    <xf numFmtId="0" fontId="3" fillId="2" borderId="2" xfId="0" applyFont="1" applyFill="1" applyBorder="1" applyAlignment="1">
      <alignment horizontal="center"/>
    </xf>
    <xf numFmtId="3" fontId="6" fillId="0" borderId="5" xfId="0" applyNumberFormat="1" applyFont="1" applyBorder="1"/>
    <xf numFmtId="3" fontId="4" fillId="2" borderId="0" xfId="0" applyNumberFormat="1" applyFont="1" applyFill="1"/>
    <xf numFmtId="0" fontId="3" fillId="2" borderId="11" xfId="0" applyFont="1" applyFill="1" applyBorder="1" applyAlignment="1">
      <alignment horizontal="center"/>
    </xf>
    <xf numFmtId="3" fontId="4" fillId="2" borderId="12" xfId="0" applyNumberFormat="1" applyFont="1" applyFill="1" applyBorder="1"/>
    <xf numFmtId="3" fontId="3" fillId="2" borderId="12" xfId="0" applyNumberFormat="1" applyFont="1" applyFill="1" applyBorder="1"/>
    <xf numFmtId="3" fontId="4" fillId="2" borderId="14" xfId="0" applyNumberFormat="1" applyFont="1" applyFill="1" applyBorder="1"/>
    <xf numFmtId="3" fontId="3" fillId="2" borderId="4" xfId="0" applyNumberFormat="1" applyFont="1" applyFill="1" applyBorder="1" applyAlignment="1">
      <alignment horizontal="center"/>
    </xf>
    <xf numFmtId="14" fontId="3" fillId="2" borderId="9" xfId="0" applyNumberFormat="1" applyFont="1" applyFill="1" applyBorder="1" applyAlignment="1">
      <alignment horizontal="center"/>
    </xf>
    <xf numFmtId="3" fontId="3" fillId="2" borderId="7" xfId="0" applyNumberFormat="1" applyFont="1" applyFill="1" applyBorder="1"/>
    <xf numFmtId="3" fontId="3" fillId="2" borderId="6" xfId="0" applyNumberFormat="1" applyFont="1" applyFill="1" applyBorder="1"/>
    <xf numFmtId="3" fontId="9" fillId="4" borderId="25" xfId="0" applyNumberFormat="1" applyFont="1" applyFill="1" applyBorder="1"/>
    <xf numFmtId="3" fontId="4" fillId="0" borderId="26" xfId="0" applyNumberFormat="1" applyFont="1" applyBorder="1"/>
    <xf numFmtId="9" fontId="4" fillId="0" borderId="27" xfId="0" applyNumberFormat="1" applyFont="1" applyBorder="1"/>
    <xf numFmtId="9" fontId="4" fillId="0" borderId="28" xfId="0" applyNumberFormat="1" applyFont="1" applyBorder="1"/>
    <xf numFmtId="9" fontId="4" fillId="0" borderId="29" xfId="0" applyNumberFormat="1" applyFont="1" applyBorder="1"/>
    <xf numFmtId="2" fontId="0" fillId="0" borderId="1" xfId="0" applyNumberFormat="1" applyBorder="1"/>
    <xf numFmtId="3" fontId="9" fillId="4" borderId="33" xfId="0" applyNumberFormat="1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3" fontId="3" fillId="3" borderId="14" xfId="0" applyNumberFormat="1" applyFont="1" applyFill="1" applyBorder="1"/>
    <xf numFmtId="3" fontId="3" fillId="3" borderId="11" xfId="0" applyNumberFormat="1" applyFont="1" applyFill="1" applyBorder="1"/>
    <xf numFmtId="0" fontId="11" fillId="4" borderId="24" xfId="0" applyFont="1" applyFill="1" applyBorder="1" applyAlignment="1">
      <alignment horizontal="left" vertical="top"/>
    </xf>
    <xf numFmtId="0" fontId="3" fillId="4" borderId="24" xfId="0" applyFont="1" applyFill="1" applyBorder="1" applyAlignment="1">
      <alignment horizontal="left" vertical="top"/>
    </xf>
    <xf numFmtId="0" fontId="9" fillId="4" borderId="15" xfId="0" applyFont="1" applyFill="1" applyBorder="1" applyAlignment="1">
      <alignment horizontal="center" vertical="center"/>
    </xf>
    <xf numFmtId="9" fontId="9" fillId="4" borderId="5" xfId="0" applyNumberFormat="1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9" fontId="9" fillId="4" borderId="7" xfId="0" applyNumberFormat="1" applyFont="1" applyFill="1" applyBorder="1" applyAlignment="1">
      <alignment horizontal="center" vertical="center"/>
    </xf>
    <xf numFmtId="0" fontId="3" fillId="4" borderId="1" xfId="0" applyFont="1" applyFill="1" applyBorder="1"/>
    <xf numFmtId="3" fontId="9" fillId="4" borderId="6" xfId="0" applyNumberFormat="1" applyFont="1" applyFill="1" applyBorder="1"/>
    <xf numFmtId="0" fontId="3" fillId="4" borderId="15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0" fillId="5" borderId="0" xfId="0" applyFill="1"/>
    <xf numFmtId="0" fontId="0" fillId="0" borderId="0" xfId="0" pivotButton="1"/>
    <xf numFmtId="0" fontId="0" fillId="7" borderId="0" xfId="0" applyFill="1"/>
    <xf numFmtId="0" fontId="17" fillId="7" borderId="0" xfId="0" applyFont="1" applyFill="1" applyAlignment="1">
      <alignment vertical="center"/>
    </xf>
    <xf numFmtId="10" fontId="0" fillId="0" borderId="0" xfId="0" applyNumberFormat="1"/>
    <xf numFmtId="0" fontId="19" fillId="0" borderId="0" xfId="0" applyFont="1" applyAlignment="1">
      <alignment horizontal="center" vertical="center"/>
    </xf>
    <xf numFmtId="3" fontId="9" fillId="4" borderId="5" xfId="0" applyNumberFormat="1" applyFont="1" applyFill="1" applyBorder="1" applyAlignment="1">
      <alignment horizontal="center" vertical="center"/>
    </xf>
    <xf numFmtId="14" fontId="0" fillId="5" borderId="0" xfId="0" applyNumberFormat="1" applyFill="1"/>
    <xf numFmtId="10" fontId="0" fillId="5" borderId="0" xfId="1" applyNumberFormat="1" applyFont="1" applyFill="1"/>
    <xf numFmtId="0" fontId="0" fillId="8" borderId="0" xfId="0" applyFill="1"/>
    <xf numFmtId="0" fontId="0" fillId="8" borderId="1" xfId="0" applyFill="1" applyBorder="1"/>
    <xf numFmtId="14" fontId="0" fillId="8" borderId="0" xfId="0" applyNumberFormat="1" applyFill="1"/>
    <xf numFmtId="10" fontId="0" fillId="8" borderId="0" xfId="1" applyNumberFormat="1" applyFont="1" applyFill="1"/>
    <xf numFmtId="164" fontId="9" fillId="4" borderId="25" xfId="0" applyNumberFormat="1" applyFont="1" applyFill="1" applyBorder="1"/>
    <xf numFmtId="2" fontId="9" fillId="4" borderId="25" xfId="0" applyNumberFormat="1" applyFont="1" applyFill="1" applyBorder="1"/>
    <xf numFmtId="0" fontId="0" fillId="8" borderId="2" xfId="0" applyFill="1" applyBorder="1" applyAlignment="1">
      <alignment vertical="center"/>
    </xf>
    <xf numFmtId="0" fontId="0" fillId="8" borderId="4" xfId="0" applyFill="1" applyBorder="1" applyAlignment="1">
      <alignment vertical="center"/>
    </xf>
    <xf numFmtId="164" fontId="0" fillId="0" borderId="0" xfId="0" applyNumberFormat="1"/>
    <xf numFmtId="2" fontId="0" fillId="0" borderId="0" xfId="0" applyNumberFormat="1"/>
    <xf numFmtId="166" fontId="0" fillId="0" borderId="0" xfId="0" applyNumberFormat="1"/>
    <xf numFmtId="0" fontId="18" fillId="7" borderId="3" xfId="0" applyFont="1" applyFill="1" applyBorder="1"/>
    <xf numFmtId="0" fontId="18" fillId="7" borderId="1" xfId="0" applyFont="1" applyFill="1" applyBorder="1" applyAlignment="1">
      <alignment vertical="center"/>
    </xf>
    <xf numFmtId="0" fontId="0" fillId="7" borderId="4" xfId="0" applyFill="1" applyBorder="1"/>
    <xf numFmtId="0" fontId="0" fillId="7" borderId="11" xfId="0" applyFill="1" applyBorder="1"/>
    <xf numFmtId="0" fontId="18" fillId="7" borderId="2" xfId="0" applyFont="1" applyFill="1" applyBorder="1"/>
    <xf numFmtId="0" fontId="18" fillId="7" borderId="13" xfId="0" applyFont="1" applyFill="1" applyBorder="1"/>
    <xf numFmtId="0" fontId="18" fillId="7" borderId="1" xfId="0" applyFont="1" applyFill="1" applyBorder="1"/>
    <xf numFmtId="0" fontId="18" fillId="7" borderId="4" xfId="0" applyFont="1" applyFill="1" applyBorder="1"/>
    <xf numFmtId="0" fontId="18" fillId="7" borderId="5" xfId="0" applyFont="1" applyFill="1" applyBorder="1"/>
    <xf numFmtId="0" fontId="18" fillId="7" borderId="7" xfId="0" applyFont="1" applyFill="1" applyBorder="1"/>
    <xf numFmtId="0" fontId="18" fillId="7" borderId="6" xfId="0" applyFont="1" applyFill="1" applyBorder="1"/>
    <xf numFmtId="11" fontId="18" fillId="7" borderId="6" xfId="0" applyNumberFormat="1" applyFont="1" applyFill="1" applyBorder="1"/>
    <xf numFmtId="11" fontId="18" fillId="7" borderId="11" xfId="0" applyNumberFormat="1" applyFont="1" applyFill="1" applyBorder="1"/>
    <xf numFmtId="10" fontId="0" fillId="8" borderId="1" xfId="1" applyNumberFormat="1" applyFont="1" applyFill="1" applyBorder="1"/>
    <xf numFmtId="2" fontId="0" fillId="0" borderId="0" xfId="1" applyNumberFormat="1" applyFont="1"/>
    <xf numFmtId="0" fontId="23" fillId="2" borderId="1" xfId="0" applyFont="1" applyFill="1" applyBorder="1" applyAlignment="1">
      <alignment horizontal="center" vertical="top"/>
    </xf>
    <xf numFmtId="0" fontId="24" fillId="2" borderId="1" xfId="0" applyFont="1" applyFill="1" applyBorder="1" applyAlignment="1">
      <alignment horizontal="center"/>
    </xf>
    <xf numFmtId="10" fontId="9" fillId="4" borderId="1" xfId="0" applyNumberFormat="1" applyFont="1" applyFill="1" applyBorder="1"/>
    <xf numFmtId="3" fontId="9" fillId="4" borderId="1" xfId="0" applyNumberFormat="1" applyFont="1" applyFill="1" applyBorder="1" applyAlignment="1">
      <alignment horizontal="center"/>
    </xf>
    <xf numFmtId="4" fontId="0" fillId="0" borderId="1" xfId="0" applyNumberFormat="1" applyBorder="1"/>
    <xf numFmtId="1" fontId="9" fillId="4" borderId="0" xfId="0" applyNumberFormat="1" applyFont="1" applyFill="1"/>
    <xf numFmtId="0" fontId="1" fillId="7" borderId="1" xfId="0" applyFont="1" applyFill="1" applyBorder="1" applyAlignment="1">
      <alignment horizontal="center" vertical="center"/>
    </xf>
    <xf numFmtId="3" fontId="6" fillId="0" borderId="10" xfId="0" applyNumberFormat="1" applyFont="1" applyBorder="1"/>
    <xf numFmtId="10" fontId="4" fillId="0" borderId="27" xfId="0" applyNumberFormat="1" applyFont="1" applyBorder="1"/>
    <xf numFmtId="10" fontId="4" fillId="0" borderId="28" xfId="0" applyNumberFormat="1" applyFont="1" applyBorder="1"/>
    <xf numFmtId="10" fontId="4" fillId="0" borderId="37" xfId="0" applyNumberFormat="1" applyFont="1" applyBorder="1"/>
    <xf numFmtId="10" fontId="10" fillId="0" borderId="30" xfId="0" applyNumberFormat="1" applyFont="1" applyBorder="1"/>
    <xf numFmtId="10" fontId="10" fillId="0" borderId="31" xfId="0" applyNumberFormat="1" applyFont="1" applyBorder="1"/>
    <xf numFmtId="10" fontId="10" fillId="0" borderId="32" xfId="0" applyNumberFormat="1" applyFont="1" applyBorder="1"/>
    <xf numFmtId="3" fontId="25" fillId="0" borderId="11" xfId="0" applyNumberFormat="1" applyFont="1" applyBorder="1"/>
    <xf numFmtId="0" fontId="12" fillId="2" borderId="1" xfId="0" applyFont="1" applyFill="1" applyBorder="1"/>
    <xf numFmtId="168" fontId="0" fillId="8" borderId="1" xfId="0" applyNumberFormat="1" applyFill="1" applyBorder="1"/>
    <xf numFmtId="0" fontId="1" fillId="8" borderId="4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164" fontId="0" fillId="0" borderId="0" xfId="1" applyNumberFormat="1" applyFont="1"/>
    <xf numFmtId="0" fontId="0" fillId="8" borderId="4" xfId="0" applyFill="1" applyBorder="1"/>
    <xf numFmtId="0" fontId="15" fillId="8" borderId="1" xfId="0" applyFont="1" applyFill="1" applyBorder="1" applyAlignment="1">
      <alignment horizontal="center"/>
    </xf>
    <xf numFmtId="165" fontId="0" fillId="8" borderId="1" xfId="0" applyNumberFormat="1" applyFill="1" applyBorder="1"/>
    <xf numFmtId="10" fontId="0" fillId="8" borderId="1" xfId="0" applyNumberFormat="1" applyFill="1" applyBorder="1"/>
    <xf numFmtId="14" fontId="0" fillId="0" borderId="0" xfId="0" applyNumberFormat="1"/>
    <xf numFmtId="14" fontId="3" fillId="2" borderId="12" xfId="0" applyNumberFormat="1" applyFont="1" applyFill="1" applyBorder="1" applyAlignment="1">
      <alignment horizontal="center"/>
    </xf>
    <xf numFmtId="0" fontId="3" fillId="4" borderId="5" xfId="0" applyFont="1" applyFill="1" applyBorder="1"/>
    <xf numFmtId="0" fontId="9" fillId="4" borderId="1" xfId="0" applyFont="1" applyFill="1" applyBorder="1"/>
    <xf numFmtId="3" fontId="9" fillId="4" borderId="1" xfId="0" applyNumberFormat="1" applyFont="1" applyFill="1" applyBorder="1" applyAlignment="1">
      <alignment horizontal="center" vertical="center"/>
    </xf>
    <xf numFmtId="169" fontId="0" fillId="8" borderId="1" xfId="0" applyNumberFormat="1" applyFill="1" applyBorder="1"/>
    <xf numFmtId="0" fontId="0" fillId="9" borderId="0" xfId="0" applyFill="1"/>
    <xf numFmtId="170" fontId="0" fillId="8" borderId="1" xfId="0" applyNumberFormat="1" applyFill="1" applyBorder="1"/>
    <xf numFmtId="10" fontId="0" fillId="0" borderId="0" xfId="1" applyNumberFormat="1" applyFont="1" applyFill="1"/>
    <xf numFmtId="0" fontId="0" fillId="0" borderId="0" xfId="1" applyNumberFormat="1" applyFont="1" applyFill="1"/>
    <xf numFmtId="165" fontId="0" fillId="0" borderId="0" xfId="0" applyNumberFormat="1"/>
    <xf numFmtId="2" fontId="19" fillId="0" borderId="0" xfId="0" applyNumberFormat="1" applyFont="1" applyAlignment="1">
      <alignment horizontal="center" vertical="center"/>
    </xf>
    <xf numFmtId="14" fontId="14" fillId="8" borderId="2" xfId="0" applyNumberFormat="1" applyFont="1" applyFill="1" applyBorder="1"/>
    <xf numFmtId="14" fontId="14" fillId="8" borderId="3" xfId="0" applyNumberFormat="1" applyFont="1" applyFill="1" applyBorder="1"/>
    <xf numFmtId="14" fontId="14" fillId="8" borderId="4" xfId="0" applyNumberFormat="1" applyFont="1" applyFill="1" applyBorder="1"/>
    <xf numFmtId="0" fontId="1" fillId="8" borderId="2" xfId="0" applyFont="1" applyFill="1" applyBorder="1" applyAlignment="1">
      <alignment vertical="top"/>
    </xf>
    <xf numFmtId="0" fontId="1" fillId="8" borderId="1" xfId="0" applyFont="1" applyFill="1" applyBorder="1" applyAlignment="1">
      <alignment vertical="top"/>
    </xf>
    <xf numFmtId="0" fontId="1" fillId="8" borderId="4" xfId="0" applyFont="1" applyFill="1" applyBorder="1" applyAlignment="1">
      <alignment vertical="top"/>
    </xf>
    <xf numFmtId="0" fontId="1" fillId="8" borderId="3" xfId="0" applyFont="1" applyFill="1" applyBorder="1" applyAlignment="1">
      <alignment vertical="top"/>
    </xf>
    <xf numFmtId="0" fontId="1" fillId="8" borderId="13" xfId="0" applyFont="1" applyFill="1" applyBorder="1" applyAlignment="1">
      <alignment vertical="top"/>
    </xf>
    <xf numFmtId="0" fontId="1" fillId="8" borderId="14" xfId="0" applyFont="1" applyFill="1" applyBorder="1" applyAlignment="1">
      <alignment vertical="top"/>
    </xf>
    <xf numFmtId="164" fontId="1" fillId="8" borderId="1" xfId="0" applyNumberFormat="1" applyFont="1" applyFill="1" applyBorder="1" applyAlignment="1">
      <alignment vertical="top"/>
    </xf>
    <xf numFmtId="166" fontId="1" fillId="8" borderId="1" xfId="0" applyNumberFormat="1" applyFont="1" applyFill="1" applyBorder="1" applyAlignment="1">
      <alignment vertical="top"/>
    </xf>
    <xf numFmtId="0" fontId="1" fillId="8" borderId="11" xfId="0" applyFont="1" applyFill="1" applyBorder="1" applyAlignment="1">
      <alignment vertical="top"/>
    </xf>
    <xf numFmtId="10" fontId="1" fillId="8" borderId="1" xfId="1" applyNumberFormat="1" applyFont="1" applyFill="1" applyBorder="1" applyAlignment="1">
      <alignment vertical="top"/>
    </xf>
    <xf numFmtId="0" fontId="1" fillId="8" borderId="14" xfId="0" applyFont="1" applyFill="1" applyBorder="1" applyAlignment="1">
      <alignment vertical="top" wrapText="1"/>
    </xf>
    <xf numFmtId="10" fontId="1" fillId="8" borderId="1" xfId="0" applyNumberFormat="1" applyFont="1" applyFill="1" applyBorder="1" applyAlignment="1">
      <alignment vertical="top"/>
    </xf>
    <xf numFmtId="0" fontId="15" fillId="8" borderId="15" xfId="0" applyFont="1" applyFill="1" applyBorder="1" applyAlignment="1">
      <alignment horizontal="center" vertical="center"/>
    </xf>
    <xf numFmtId="0" fontId="15" fillId="8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 wrapText="1"/>
    </xf>
    <xf numFmtId="166" fontId="1" fillId="8" borderId="15" xfId="0" applyNumberFormat="1" applyFont="1" applyFill="1" applyBorder="1" applyAlignment="1">
      <alignment vertical="top"/>
    </xf>
    <xf numFmtId="10" fontId="1" fillId="8" borderId="8" xfId="1" applyNumberFormat="1" applyFont="1" applyFill="1" applyBorder="1" applyAlignment="1">
      <alignment vertical="top"/>
    </xf>
    <xf numFmtId="10" fontId="1" fillId="8" borderId="2" xfId="1" applyNumberFormat="1" applyFont="1" applyFill="1" applyBorder="1" applyAlignment="1">
      <alignment vertical="top"/>
    </xf>
    <xf numFmtId="9" fontId="9" fillId="0" borderId="0" xfId="0" applyNumberFormat="1" applyFont="1"/>
    <xf numFmtId="3" fontId="0" fillId="8" borderId="0" xfId="0" applyNumberFormat="1" applyFill="1"/>
    <xf numFmtId="14" fontId="0" fillId="0" borderId="1" xfId="0" applyNumberFormat="1" applyBorder="1"/>
    <xf numFmtId="1" fontId="0" fillId="0" borderId="1" xfId="0" applyNumberFormat="1" applyBorder="1"/>
    <xf numFmtId="1" fontId="0" fillId="0" borderId="0" xfId="0" applyNumberFormat="1"/>
    <xf numFmtId="14" fontId="17" fillId="8" borderId="0" xfId="0" applyNumberFormat="1" applyFont="1" applyFill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10" borderId="38" xfId="0" applyFill="1" applyBorder="1" applyAlignment="1">
      <alignment horizontal="left" vertical="center" wrapText="1"/>
    </xf>
    <xf numFmtId="3" fontId="9" fillId="4" borderId="1" xfId="0" applyNumberFormat="1" applyFont="1" applyFill="1" applyBorder="1"/>
    <xf numFmtId="14" fontId="17" fillId="8" borderId="0" xfId="0" applyNumberFormat="1" applyFont="1" applyFill="1" applyAlignment="1">
      <alignment horizontal="right" vertical="center"/>
    </xf>
    <xf numFmtId="14" fontId="17" fillId="8" borderId="0" xfId="0" applyNumberFormat="1" applyFont="1" applyFill="1" applyAlignment="1">
      <alignment horizontal="left" vertical="center"/>
    </xf>
    <xf numFmtId="0" fontId="0" fillId="0" borderId="15" xfId="0" applyBorder="1"/>
    <xf numFmtId="3" fontId="0" fillId="0" borderId="15" xfId="0" applyNumberFormat="1" applyBorder="1"/>
    <xf numFmtId="0" fontId="1" fillId="8" borderId="0" xfId="0" applyFont="1" applyFill="1" applyAlignment="1">
      <alignment horizontal="center"/>
    </xf>
    <xf numFmtId="0" fontId="1" fillId="8" borderId="0" xfId="0" applyFont="1" applyFill="1"/>
    <xf numFmtId="3" fontId="9" fillId="0" borderId="0" xfId="0" applyNumberFormat="1" applyFont="1"/>
    <xf numFmtId="167" fontId="0" fillId="0" borderId="1" xfId="0" applyNumberFormat="1" applyBorder="1"/>
    <xf numFmtId="0" fontId="1" fillId="8" borderId="1" xfId="0" applyFont="1" applyFill="1" applyBorder="1"/>
    <xf numFmtId="1" fontId="1" fillId="8" borderId="1" xfId="0" applyNumberFormat="1" applyFont="1" applyFill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5" xfId="0" applyBorder="1" applyAlignment="1">
      <alignment horizontal="center" vertical="center" wrapText="1"/>
    </xf>
    <xf numFmtId="2" fontId="0" fillId="0" borderId="15" xfId="0" applyNumberFormat="1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1" xfId="0" applyBorder="1" applyAlignment="1">
      <alignment vertical="center"/>
    </xf>
    <xf numFmtId="0" fontId="26" fillId="0" borderId="4" xfId="0" applyFont="1" applyBorder="1"/>
    <xf numFmtId="0" fontId="26" fillId="0" borderId="1" xfId="0" applyFont="1" applyBorder="1"/>
    <xf numFmtId="0" fontId="27" fillId="11" borderId="39" xfId="0" applyFont="1" applyFill="1" applyBorder="1" applyAlignment="1">
      <alignment horizontal="center" vertical="center" wrapText="1"/>
    </xf>
    <xf numFmtId="0" fontId="27" fillId="11" borderId="40" xfId="0" applyFont="1" applyFill="1" applyBorder="1" applyAlignment="1">
      <alignment horizontal="center" vertical="center" wrapText="1"/>
    </xf>
    <xf numFmtId="0" fontId="28" fillId="10" borderId="38" xfId="0" applyFont="1" applyFill="1" applyBorder="1" applyAlignment="1">
      <alignment horizontal="left" vertical="center" wrapText="1"/>
    </xf>
    <xf numFmtId="0" fontId="29" fillId="10" borderId="38" xfId="0" applyFont="1" applyFill="1" applyBorder="1" applyAlignment="1">
      <alignment horizontal="left" vertical="center" wrapText="1" indent="1"/>
    </xf>
    <xf numFmtId="0" fontId="29" fillId="10" borderId="38" xfId="0" applyFont="1" applyFill="1" applyBorder="1" applyAlignment="1">
      <alignment horizontal="center" vertical="center" wrapText="1"/>
    </xf>
    <xf numFmtId="0" fontId="30" fillId="10" borderId="38" xfId="0" applyFont="1" applyFill="1" applyBorder="1" applyAlignment="1">
      <alignment horizontal="center" vertical="center" wrapText="1"/>
    </xf>
    <xf numFmtId="0" fontId="28" fillId="10" borderId="38" xfId="0" applyFont="1" applyFill="1" applyBorder="1" applyAlignment="1">
      <alignment horizontal="center" vertical="center" wrapText="1"/>
    </xf>
    <xf numFmtId="10" fontId="0" fillId="0" borderId="0" xfId="1" applyNumberFormat="1" applyFont="1"/>
    <xf numFmtId="3" fontId="0" fillId="0" borderId="0" xfId="1" applyNumberFormat="1" applyFont="1"/>
    <xf numFmtId="3" fontId="1" fillId="2" borderId="1" xfId="0" applyNumberFormat="1" applyFont="1" applyFill="1" applyBorder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4" xfId="0" applyFont="1" applyFill="1" applyBorder="1"/>
    <xf numFmtId="3" fontId="1" fillId="2" borderId="2" xfId="0" applyNumberFormat="1" applyFont="1" applyFill="1" applyBorder="1"/>
    <xf numFmtId="0" fontId="1" fillId="2" borderId="3" xfId="0" applyFont="1" applyFill="1" applyBorder="1"/>
    <xf numFmtId="3" fontId="1" fillId="2" borderId="8" xfId="0" applyNumberFormat="1" applyFont="1" applyFill="1" applyBorder="1"/>
    <xf numFmtId="0" fontId="1" fillId="2" borderId="12" xfId="0" applyFont="1" applyFill="1" applyBorder="1"/>
    <xf numFmtId="0" fontId="1" fillId="2" borderId="9" xfId="0" applyFont="1" applyFill="1" applyBorder="1"/>
    <xf numFmtId="3" fontId="3" fillId="0" borderId="16" xfId="0" applyNumberFormat="1" applyFont="1" applyBorder="1"/>
    <xf numFmtId="0" fontId="0" fillId="12" borderId="1" xfId="0" applyFill="1" applyBorder="1"/>
    <xf numFmtId="2" fontId="0" fillId="12" borderId="1" xfId="0" applyNumberFormat="1" applyFill="1" applyBorder="1"/>
    <xf numFmtId="167" fontId="0" fillId="12" borderId="1" xfId="0" applyNumberFormat="1" applyFill="1" applyBorder="1"/>
    <xf numFmtId="164" fontId="0" fillId="12" borderId="1" xfId="1" applyNumberFormat="1" applyFont="1" applyFill="1" applyBorder="1"/>
    <xf numFmtId="166" fontId="0" fillId="12" borderId="1" xfId="0" applyNumberFormat="1" applyFill="1" applyBorder="1"/>
    <xf numFmtId="10" fontId="0" fillId="12" borderId="1" xfId="1" applyNumberFormat="1" applyFont="1" applyFill="1" applyBorder="1"/>
    <xf numFmtId="2" fontId="0" fillId="12" borderId="1" xfId="1" applyNumberFormat="1" applyFont="1" applyFill="1" applyBorder="1"/>
    <xf numFmtId="0" fontId="0" fillId="12" borderId="0" xfId="0" applyFill="1" applyAlignment="1">
      <alignment horizontal="left"/>
    </xf>
    <xf numFmtId="10" fontId="0" fillId="12" borderId="0" xfId="0" applyNumberFormat="1" applyFill="1"/>
    <xf numFmtId="0" fontId="0" fillId="12" borderId="0" xfId="0" applyFill="1"/>
    <xf numFmtId="167" fontId="0" fillId="12" borderId="35" xfId="0" applyNumberFormat="1" applyFill="1" applyBorder="1"/>
    <xf numFmtId="0" fontId="0" fillId="12" borderId="35" xfId="0" applyFill="1" applyBorder="1" applyAlignment="1">
      <alignment horizontal="right"/>
    </xf>
    <xf numFmtId="10" fontId="0" fillId="12" borderId="35" xfId="1" applyNumberFormat="1" applyFont="1" applyFill="1" applyBorder="1"/>
    <xf numFmtId="0" fontId="0" fillId="12" borderId="36" xfId="0" applyFill="1" applyBorder="1"/>
    <xf numFmtId="0" fontId="1" fillId="12" borderId="34" xfId="0" applyFont="1" applyFill="1" applyBorder="1"/>
    <xf numFmtId="0" fontId="1" fillId="12" borderId="35" xfId="0" applyFont="1" applyFill="1" applyBorder="1"/>
    <xf numFmtId="2" fontId="1" fillId="12" borderId="35" xfId="0" quotePrefix="1" applyNumberFormat="1" applyFont="1" applyFill="1" applyBorder="1"/>
    <xf numFmtId="0" fontId="1" fillId="12" borderId="36" xfId="0" applyFont="1" applyFill="1" applyBorder="1"/>
    <xf numFmtId="169" fontId="0" fillId="12" borderId="35" xfId="0" applyNumberFormat="1" applyFill="1" applyBorder="1" applyAlignment="1">
      <alignment horizontal="right"/>
    </xf>
    <xf numFmtId="164" fontId="0" fillId="12" borderId="0" xfId="0" applyNumberFormat="1" applyFill="1"/>
    <xf numFmtId="0" fontId="31" fillId="3" borderId="1" xfId="0" applyFont="1" applyFill="1" applyBorder="1"/>
    <xf numFmtId="171" fontId="0" fillId="0" borderId="0" xfId="0" applyNumberFormat="1"/>
    <xf numFmtId="0" fontId="32" fillId="0" borderId="48" xfId="2" applyBorder="1"/>
    <xf numFmtId="3" fontId="32" fillId="0" borderId="49" xfId="2" applyNumberFormat="1" applyBorder="1"/>
    <xf numFmtId="0" fontId="32" fillId="0" borderId="50" xfId="2" applyBorder="1"/>
    <xf numFmtId="172" fontId="32" fillId="0" borderId="49" xfId="2" applyNumberFormat="1" applyBorder="1"/>
    <xf numFmtId="10" fontId="32" fillId="0" borderId="50" xfId="2" applyNumberFormat="1" applyBorder="1"/>
    <xf numFmtId="173" fontId="0" fillId="0" borderId="0" xfId="0" applyNumberFormat="1"/>
    <xf numFmtId="0" fontId="0" fillId="3" borderId="0" xfId="0" applyFill="1"/>
    <xf numFmtId="1" fontId="0" fillId="3" borderId="1" xfId="0" applyNumberFormat="1" applyFill="1" applyBorder="1"/>
    <xf numFmtId="3" fontId="0" fillId="3" borderId="1" xfId="0" applyNumberFormat="1" applyFill="1" applyBorder="1"/>
    <xf numFmtId="2" fontId="0" fillId="3" borderId="1" xfId="0" applyNumberFormat="1" applyFill="1" applyBorder="1"/>
    <xf numFmtId="0" fontId="0" fillId="3" borderId="6" xfId="0" applyFill="1" applyBorder="1"/>
    <xf numFmtId="0" fontId="1" fillId="3" borderId="1" xfId="0" applyFont="1" applyFill="1" applyBorder="1"/>
    <xf numFmtId="174" fontId="2" fillId="3" borderId="6" xfId="0" applyNumberFormat="1" applyFont="1" applyFill="1" applyBorder="1"/>
    <xf numFmtId="0" fontId="1" fillId="0" borderId="1" xfId="0" applyFont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2" fontId="1" fillId="0" borderId="1" xfId="0" applyNumberFormat="1" applyFont="1" applyBorder="1"/>
    <xf numFmtId="2" fontId="1" fillId="0" borderId="1" xfId="0" applyNumberFormat="1" applyFont="1" applyBorder="1" applyAlignment="1">
      <alignment horizontal="center" vertical="center"/>
    </xf>
    <xf numFmtId="175" fontId="0" fillId="0" borderId="0" xfId="0" applyNumberFormat="1"/>
    <xf numFmtId="176" fontId="0" fillId="0" borderId="0" xfId="0" applyNumberFormat="1"/>
    <xf numFmtId="175" fontId="1" fillId="0" borderId="0" xfId="0" applyNumberFormat="1" applyFont="1"/>
    <xf numFmtId="0" fontId="0" fillId="10" borderId="45" xfId="0" applyFill="1" applyBorder="1" applyAlignment="1">
      <alignment horizontal="left" vertical="center" wrapText="1"/>
    </xf>
    <xf numFmtId="0" fontId="0" fillId="10" borderId="46" xfId="0" applyFill="1" applyBorder="1" applyAlignment="1">
      <alignment horizontal="left" vertical="center" wrapText="1"/>
    </xf>
    <xf numFmtId="0" fontId="29" fillId="10" borderId="45" xfId="0" applyFont="1" applyFill="1" applyBorder="1" applyAlignment="1">
      <alignment horizontal="center" vertical="center" wrapText="1"/>
    </xf>
    <xf numFmtId="0" fontId="29" fillId="10" borderId="46" xfId="0" applyFont="1" applyFill="1" applyBorder="1" applyAlignment="1">
      <alignment horizontal="center" vertical="center" wrapText="1"/>
    </xf>
    <xf numFmtId="0" fontId="27" fillId="11" borderId="39" xfId="0" applyFont="1" applyFill="1" applyBorder="1" applyAlignment="1">
      <alignment horizontal="center" vertical="center" wrapText="1"/>
    </xf>
    <xf numFmtId="0" fontId="27" fillId="11" borderId="40" xfId="0" applyFont="1" applyFill="1" applyBorder="1" applyAlignment="1">
      <alignment horizontal="center" vertical="center" wrapText="1"/>
    </xf>
    <xf numFmtId="0" fontId="27" fillId="11" borderId="41" xfId="0" applyFont="1" applyFill="1" applyBorder="1" applyAlignment="1">
      <alignment horizontal="center" vertical="center" wrapText="1"/>
    </xf>
    <xf numFmtId="0" fontId="27" fillId="11" borderId="42" xfId="0" applyFont="1" applyFill="1" applyBorder="1" applyAlignment="1">
      <alignment horizontal="center" vertical="center" wrapText="1"/>
    </xf>
    <xf numFmtId="0" fontId="27" fillId="11" borderId="43" xfId="0" applyFont="1" applyFill="1" applyBorder="1" applyAlignment="1">
      <alignment horizontal="center" vertical="center" wrapText="1"/>
    </xf>
    <xf numFmtId="0" fontId="27" fillId="11" borderId="44" xfId="0" applyFont="1" applyFill="1" applyBorder="1" applyAlignment="1">
      <alignment horizontal="center" vertical="center" wrapText="1"/>
    </xf>
    <xf numFmtId="0" fontId="1" fillId="7" borderId="2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1" fillId="8" borderId="4" xfId="0" applyFont="1" applyFill="1" applyBorder="1" applyAlignment="1">
      <alignment horizontal="center"/>
    </xf>
    <xf numFmtId="0" fontId="1" fillId="7" borderId="15" xfId="0" applyFont="1" applyFill="1" applyBorder="1" applyAlignment="1">
      <alignment horizontal="center" vertical="center"/>
    </xf>
    <xf numFmtId="0" fontId="1" fillId="7" borderId="5" xfId="0" applyFont="1" applyFill="1" applyBorder="1" applyAlignment="1">
      <alignment horizontal="center" vertical="center"/>
    </xf>
    <xf numFmtId="0" fontId="1" fillId="7" borderId="6" xfId="0" applyFont="1" applyFill="1" applyBorder="1" applyAlignment="1">
      <alignment horizontal="center" vertical="center"/>
    </xf>
    <xf numFmtId="14" fontId="17" fillId="8" borderId="0" xfId="0" applyNumberFormat="1" applyFont="1" applyFill="1" applyAlignment="1">
      <alignment horizontal="left" vertical="center"/>
    </xf>
    <xf numFmtId="14" fontId="17" fillId="8" borderId="0" xfId="0" applyNumberFormat="1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32" fillId="0" borderId="48" xfId="2" applyBorder="1" applyAlignment="1">
      <alignment horizontal="center"/>
    </xf>
    <xf numFmtId="0" fontId="32" fillId="0" borderId="49" xfId="2" applyBorder="1" applyAlignment="1">
      <alignment horizontal="center"/>
    </xf>
    <xf numFmtId="3" fontId="32" fillId="0" borderId="48" xfId="2" applyNumberFormat="1" applyBorder="1" applyAlignment="1">
      <alignment horizontal="center"/>
    </xf>
    <xf numFmtId="3" fontId="32" fillId="0" borderId="49" xfId="2" applyNumberFormat="1" applyBorder="1" applyAlignment="1">
      <alignment horizontal="center"/>
    </xf>
    <xf numFmtId="3" fontId="32" fillId="0" borderId="50" xfId="2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3" fontId="3" fillId="2" borderId="3" xfId="0" applyNumberFormat="1" applyFont="1" applyFill="1" applyBorder="1" applyAlignment="1">
      <alignment horizontal="center"/>
    </xf>
    <xf numFmtId="3" fontId="3" fillId="2" borderId="2" xfId="0" applyNumberFormat="1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 vertical="center" wrapText="1"/>
    </xf>
    <xf numFmtId="0" fontId="17" fillId="7" borderId="0" xfId="0" applyFont="1" applyFill="1" applyAlignment="1">
      <alignment horizontal="right" vertical="center"/>
    </xf>
    <xf numFmtId="0" fontId="17" fillId="0" borderId="0" xfId="0" applyFont="1" applyAlignment="1">
      <alignment horizontal="right" vertical="center"/>
    </xf>
    <xf numFmtId="14" fontId="17" fillId="7" borderId="0" xfId="0" applyNumberFormat="1" applyFont="1" applyFill="1" applyAlignment="1">
      <alignment horizontal="left" vertical="center"/>
    </xf>
    <xf numFmtId="0" fontId="16" fillId="7" borderId="8" xfId="0" applyFont="1" applyFill="1" applyBorder="1" applyAlignment="1">
      <alignment horizontal="center" vertical="center" wrapText="1"/>
    </xf>
    <xf numFmtId="0" fontId="16" fillId="7" borderId="12" xfId="0" applyFont="1" applyFill="1" applyBorder="1" applyAlignment="1">
      <alignment horizontal="center" vertical="center" wrapText="1"/>
    </xf>
    <xf numFmtId="0" fontId="16" fillId="7" borderId="9" xfId="0" applyFont="1" applyFill="1" applyBorder="1" applyAlignment="1">
      <alignment horizontal="center" vertical="center" wrapText="1"/>
    </xf>
    <xf numFmtId="0" fontId="16" fillId="7" borderId="10" xfId="0" applyFont="1" applyFill="1" applyBorder="1" applyAlignment="1">
      <alignment horizontal="center" vertical="center" wrapText="1"/>
    </xf>
    <xf numFmtId="0" fontId="16" fillId="7" borderId="0" xfId="0" applyFont="1" applyFill="1" applyAlignment="1">
      <alignment horizontal="center" vertical="center" wrapText="1"/>
    </xf>
    <xf numFmtId="0" fontId="16" fillId="7" borderId="7" xfId="0" applyFont="1" applyFill="1" applyBorder="1" applyAlignment="1">
      <alignment horizontal="center" vertical="center" wrapText="1"/>
    </xf>
    <xf numFmtId="0" fontId="16" fillId="7" borderId="13" xfId="0" applyFont="1" applyFill="1" applyBorder="1" applyAlignment="1">
      <alignment horizontal="center" vertical="center" wrapText="1"/>
    </xf>
    <xf numFmtId="0" fontId="16" fillId="7" borderId="14" xfId="0" applyFont="1" applyFill="1" applyBorder="1" applyAlignment="1">
      <alignment horizontal="center" vertical="center" wrapText="1"/>
    </xf>
    <xf numFmtId="0" fontId="16" fillId="7" borderId="11" xfId="0" applyFont="1" applyFill="1" applyBorder="1" applyAlignment="1">
      <alignment horizontal="center" vertical="center" wrapText="1"/>
    </xf>
    <xf numFmtId="3" fontId="18" fillId="7" borderId="2" xfId="0" applyNumberFormat="1" applyFont="1" applyFill="1" applyBorder="1" applyAlignment="1">
      <alignment horizontal="center" vertical="center" wrapText="1"/>
    </xf>
    <xf numFmtId="3" fontId="18" fillId="7" borderId="3" xfId="0" applyNumberFormat="1" applyFont="1" applyFill="1" applyBorder="1" applyAlignment="1">
      <alignment horizontal="center" vertical="center" wrapText="1"/>
    </xf>
    <xf numFmtId="0" fontId="16" fillId="7" borderId="8" xfId="0" applyFont="1" applyFill="1" applyBorder="1" applyAlignment="1">
      <alignment horizontal="center"/>
    </xf>
    <xf numFmtId="0" fontId="16" fillId="7" borderId="12" xfId="0" applyFont="1" applyFill="1" applyBorder="1" applyAlignment="1">
      <alignment horizontal="center"/>
    </xf>
    <xf numFmtId="0" fontId="16" fillId="7" borderId="9" xfId="0" applyFont="1" applyFill="1" applyBorder="1" applyAlignment="1">
      <alignment horizontal="center"/>
    </xf>
    <xf numFmtId="0" fontId="16" fillId="7" borderId="13" xfId="0" applyFont="1" applyFill="1" applyBorder="1" applyAlignment="1">
      <alignment horizontal="center"/>
    </xf>
    <xf numFmtId="0" fontId="16" fillId="7" borderId="14" xfId="0" applyFont="1" applyFill="1" applyBorder="1" applyAlignment="1">
      <alignment horizontal="center"/>
    </xf>
    <xf numFmtId="0" fontId="16" fillId="7" borderId="11" xfId="0" applyFont="1" applyFill="1" applyBorder="1" applyAlignment="1">
      <alignment horizontal="center"/>
    </xf>
    <xf numFmtId="0" fontId="31" fillId="3" borderId="1" xfId="0" applyFon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21" fillId="12" borderId="9" xfId="0" applyFont="1" applyFill="1" applyBorder="1" applyAlignment="1">
      <alignment horizontal="center" vertical="center" textRotation="90"/>
    </xf>
    <xf numFmtId="0" fontId="21" fillId="12" borderId="7" xfId="0" applyFont="1" applyFill="1" applyBorder="1" applyAlignment="1">
      <alignment horizontal="center" vertical="center" textRotation="90"/>
    </xf>
    <xf numFmtId="0" fontId="1" fillId="8" borderId="2" xfId="0" applyFont="1" applyFill="1" applyBorder="1" applyAlignment="1">
      <alignment horizontal="center" vertical="top"/>
    </xf>
    <xf numFmtId="0" fontId="1" fillId="8" borderId="4" xfId="0" applyFont="1" applyFill="1" applyBorder="1" applyAlignment="1">
      <alignment horizontal="center" vertical="top"/>
    </xf>
    <xf numFmtId="0" fontId="15" fillId="8" borderId="1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21" fillId="12" borderId="1" xfId="0" applyFont="1" applyFill="1" applyBorder="1" applyAlignment="1">
      <alignment horizontal="center" vertical="center" textRotation="90"/>
    </xf>
    <xf numFmtId="0" fontId="21" fillId="6" borderId="1" xfId="0" applyFont="1" applyFill="1" applyBorder="1" applyAlignment="1">
      <alignment horizontal="center" vertical="center" textRotation="90"/>
    </xf>
    <xf numFmtId="0" fontId="15" fillId="8" borderId="6" xfId="0" applyFont="1" applyFill="1" applyBorder="1" applyAlignment="1">
      <alignment horizontal="center" vertical="center" wrapText="1"/>
    </xf>
    <xf numFmtId="0" fontId="15" fillId="8" borderId="6" xfId="0" applyFont="1" applyFill="1" applyBorder="1" applyAlignment="1">
      <alignment horizontal="center" vertical="center"/>
    </xf>
    <xf numFmtId="0" fontId="15" fillId="8" borderId="15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top"/>
    </xf>
    <xf numFmtId="0" fontId="21" fillId="12" borderId="1" xfId="0" applyFont="1" applyFill="1" applyBorder="1" applyAlignment="1">
      <alignment horizontal="center" vertical="center" textRotation="90" wrapText="1"/>
    </xf>
    <xf numFmtId="0" fontId="15" fillId="8" borderId="15" xfId="0" applyFont="1" applyFill="1" applyBorder="1" applyAlignment="1">
      <alignment horizontal="center" vertical="center"/>
    </xf>
    <xf numFmtId="0" fontId="20" fillId="12" borderId="1" xfId="0" applyFont="1" applyFill="1" applyBorder="1" applyAlignment="1">
      <alignment horizontal="center" vertical="center" textRotation="90" wrapText="1"/>
    </xf>
    <xf numFmtId="0" fontId="21" fillId="12" borderId="15" xfId="0" applyFont="1" applyFill="1" applyBorder="1" applyAlignment="1">
      <alignment horizontal="center" vertical="center" textRotation="90" wrapText="1"/>
    </xf>
    <xf numFmtId="0" fontId="21" fillId="12" borderId="5" xfId="0" applyFont="1" applyFill="1" applyBorder="1" applyAlignment="1">
      <alignment horizontal="center" vertical="center" textRotation="90" wrapText="1"/>
    </xf>
    <xf numFmtId="0" fontId="21" fillId="12" borderId="6" xfId="0" applyFont="1" applyFill="1" applyBorder="1" applyAlignment="1">
      <alignment horizontal="center" vertical="center" textRotation="90" wrapText="1"/>
    </xf>
    <xf numFmtId="0" fontId="21" fillId="12" borderId="9" xfId="0" applyFont="1" applyFill="1" applyBorder="1" applyAlignment="1">
      <alignment horizontal="center" vertical="center" textRotation="90" wrapText="1"/>
    </xf>
    <xf numFmtId="0" fontId="21" fillId="12" borderId="7" xfId="0" applyFont="1" applyFill="1" applyBorder="1" applyAlignment="1">
      <alignment horizontal="center" vertical="center" textRotation="90" wrapText="1"/>
    </xf>
    <xf numFmtId="0" fontId="15" fillId="12" borderId="1" xfId="0" applyFont="1" applyFill="1" applyBorder="1" applyAlignment="1">
      <alignment horizontal="center" vertical="center" textRotation="90"/>
    </xf>
    <xf numFmtId="0" fontId="21" fillId="6" borderId="1" xfId="0" applyFont="1" applyFill="1" applyBorder="1" applyAlignment="1">
      <alignment horizontal="center" vertical="center" textRotation="90" wrapText="1"/>
    </xf>
    <xf numFmtId="14" fontId="0" fillId="0" borderId="12" xfId="0" applyNumberFormat="1" applyBorder="1" applyAlignment="1">
      <alignment horizontal="center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1" xfId="0" applyBorder="1" applyAlignment="1">
      <alignment horizontal="left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left" wrapText="1"/>
    </xf>
    <xf numFmtId="0" fontId="1" fillId="2" borderId="12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1" fillId="2" borderId="0" xfId="0" applyFont="1" applyFill="1" applyAlignment="1">
      <alignment horizontal="left"/>
    </xf>
    <xf numFmtId="0" fontId="0" fillId="0" borderId="10" xfId="0" applyBorder="1" applyAlignment="1">
      <alignment horizontal="left"/>
    </xf>
    <xf numFmtId="0" fontId="0" fillId="0" borderId="0" xfId="0" applyAlignment="1">
      <alignment horizontal="left"/>
    </xf>
    <xf numFmtId="0" fontId="0" fillId="0" borderId="7" xfId="0" applyBorder="1" applyAlignment="1">
      <alignment horizontal="left"/>
    </xf>
    <xf numFmtId="0" fontId="1" fillId="2" borderId="0" xfId="0" applyFont="1" applyFill="1" applyAlignment="1">
      <alignment horizontal="center"/>
    </xf>
    <xf numFmtId="0" fontId="0" fillId="0" borderId="8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Fill="1"/>
    <xf numFmtId="0" fontId="0" fillId="0" borderId="0" xfId="0" applyFill="1" applyAlignment="1">
      <alignment horizontal="left"/>
    </xf>
    <xf numFmtId="164" fontId="0" fillId="0" borderId="0" xfId="0" applyNumberFormat="1" applyFill="1"/>
    <xf numFmtId="166" fontId="0" fillId="0" borderId="0" xfId="0" applyNumberFormat="1" applyFill="1"/>
    <xf numFmtId="0" fontId="0" fillId="0" borderId="0" xfId="0" applyNumberFormat="1"/>
    <xf numFmtId="0" fontId="19" fillId="0" borderId="0" xfId="0" applyFont="1" applyFill="1"/>
    <xf numFmtId="10" fontId="0" fillId="0" borderId="0" xfId="0" applyNumberFormat="1" applyFill="1"/>
    <xf numFmtId="2" fontId="0" fillId="0" borderId="0" xfId="0" applyNumberFormat="1" applyFill="1"/>
    <xf numFmtId="0" fontId="19" fillId="0" borderId="0" xfId="0" applyFont="1" applyFill="1" applyAlignment="1">
      <alignment horizontal="left"/>
    </xf>
    <xf numFmtId="10" fontId="19" fillId="0" borderId="0" xfId="0" applyNumberFormat="1" applyFont="1" applyFill="1"/>
    <xf numFmtId="2" fontId="19" fillId="0" borderId="0" xfId="0" applyNumberFormat="1" applyFont="1" applyFill="1"/>
    <xf numFmtId="0" fontId="0" fillId="12" borderId="0" xfId="0" applyNumberFormat="1" applyFill="1"/>
    <xf numFmtId="10" fontId="0" fillId="0" borderId="0" xfId="0" applyNumberFormat="1" applyFill="1" applyAlignment="1"/>
    <xf numFmtId="0" fontId="0" fillId="0" borderId="0" xfId="0" applyNumberFormat="1" applyFill="1" applyAlignment="1"/>
    <xf numFmtId="0" fontId="0" fillId="0" borderId="0" xfId="0" applyFill="1" applyAlignment="1"/>
    <xf numFmtId="0" fontId="0" fillId="0" borderId="0" xfId="0" applyNumberFormat="1" applyFill="1"/>
  </cellXfs>
  <cellStyles count="3">
    <cellStyle name="Heading 1" xfId="2" builtinId="16"/>
    <cellStyle name="Normal" xfId="0" builtinId="0"/>
    <cellStyle name="Percent" xfId="1" builtinId="5"/>
  </cellStyles>
  <dxfs count="434">
    <dxf>
      <numFmt numFmtId="2" formatCode="0.00"/>
    </dxf>
    <dxf>
      <numFmt numFmtId="164" formatCode="0.0%"/>
    </dxf>
    <dxf>
      <font>
        <color rgb="FF00D4EA"/>
      </font>
      <fill>
        <patternFill patternType="solid">
          <bgColor theme="0"/>
        </patternFill>
      </fill>
    </dxf>
    <dxf>
      <font>
        <color rgb="FFFF0000"/>
      </font>
      <fill>
        <patternFill patternType="solid">
          <bgColor theme="0"/>
        </patternFill>
      </fill>
    </dxf>
    <dxf>
      <font>
        <color rgb="FFFFC000"/>
      </font>
      <fill>
        <patternFill patternType="solid">
          <bgColor theme="0"/>
        </patternFill>
      </fill>
    </dxf>
    <dxf>
      <font>
        <color rgb="FF00A400"/>
      </font>
      <fill>
        <patternFill patternType="solid">
          <bgColor theme="0"/>
        </patternFill>
      </fill>
    </dxf>
    <dxf>
      <font>
        <color rgb="FFFF00FF"/>
      </font>
      <fill>
        <patternFill patternType="solid">
          <bgColor theme="0"/>
        </patternFill>
      </fill>
    </dxf>
    <dxf>
      <font>
        <color rgb="FF00D4EA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C000"/>
      </font>
      <fill>
        <patternFill>
          <bgColor theme="0"/>
        </patternFill>
      </fill>
    </dxf>
    <dxf>
      <font>
        <color rgb="FF00B050"/>
      </font>
      <fill>
        <patternFill>
          <bgColor theme="0"/>
        </patternFill>
      </fill>
    </dxf>
    <dxf>
      <font>
        <color rgb="FFFF00FF"/>
      </font>
      <fill>
        <patternFill>
          <bgColor theme="0"/>
        </patternFill>
      </fill>
    </dxf>
    <dxf>
      <font>
        <color rgb="FF00A400"/>
      </font>
    </dxf>
    <dxf>
      <font>
        <color rgb="FFFF0000"/>
      </font>
    </dxf>
    <dxf>
      <numFmt numFmtId="14" formatCode="0.00%"/>
    </dxf>
    <dxf>
      <font>
        <color rgb="FF00D4EA"/>
      </font>
      <fill>
        <patternFill patternType="solid">
          <bgColor theme="0"/>
        </patternFill>
      </fill>
    </dxf>
    <dxf>
      <font>
        <color rgb="FFFF0000"/>
      </font>
      <fill>
        <patternFill patternType="solid">
          <bgColor theme="0"/>
        </patternFill>
      </fill>
    </dxf>
    <dxf>
      <font>
        <color rgb="FFFFC000"/>
      </font>
      <fill>
        <patternFill patternType="solid">
          <bgColor theme="0"/>
        </patternFill>
      </fill>
    </dxf>
    <dxf>
      <font>
        <color rgb="FF00A400"/>
      </font>
      <fill>
        <patternFill patternType="solid">
          <bgColor theme="0"/>
        </patternFill>
      </fill>
    </dxf>
    <dxf>
      <font>
        <color rgb="FFFF00FF"/>
      </font>
      <fill>
        <patternFill patternType="solid">
          <bgColor theme="0"/>
        </patternFill>
      </fill>
    </dxf>
    <dxf>
      <font>
        <color rgb="FF00D4EA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C000"/>
      </font>
      <fill>
        <patternFill>
          <bgColor theme="0"/>
        </patternFill>
      </fill>
    </dxf>
    <dxf>
      <font>
        <color rgb="FF00B050"/>
      </font>
      <fill>
        <patternFill>
          <bgColor theme="0"/>
        </patternFill>
      </fill>
    </dxf>
    <dxf>
      <font>
        <color rgb="FFFF00FF"/>
      </font>
      <fill>
        <patternFill>
          <bgColor theme="0"/>
        </patternFill>
      </fill>
    </dxf>
    <dxf>
      <font>
        <color rgb="FF00A400"/>
      </font>
    </dxf>
    <dxf>
      <font>
        <color rgb="FFFF00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numFmt numFmtId="14" formatCode="0.00%"/>
    </dxf>
    <dxf>
      <font>
        <color rgb="FF00D4EA"/>
      </font>
      <fill>
        <patternFill patternType="solid">
          <bgColor theme="0"/>
        </patternFill>
      </fill>
    </dxf>
    <dxf>
      <font>
        <color rgb="FFFF0000"/>
      </font>
      <fill>
        <patternFill patternType="solid">
          <bgColor theme="0"/>
        </patternFill>
      </fill>
    </dxf>
    <dxf>
      <font>
        <color rgb="FFFFC000"/>
      </font>
      <fill>
        <patternFill patternType="solid">
          <bgColor theme="0"/>
        </patternFill>
      </fill>
    </dxf>
    <dxf>
      <font>
        <color rgb="FF00A400"/>
      </font>
      <fill>
        <patternFill patternType="solid">
          <bgColor theme="0"/>
        </patternFill>
      </fill>
    </dxf>
    <dxf>
      <font>
        <color rgb="FFFF00FF"/>
      </font>
      <fill>
        <patternFill patternType="solid">
          <bgColor theme="0"/>
        </patternFill>
      </fill>
    </dxf>
    <dxf>
      <font>
        <color rgb="FF00D4EA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C000"/>
      </font>
      <fill>
        <patternFill>
          <bgColor theme="0"/>
        </patternFill>
      </fill>
    </dxf>
    <dxf>
      <font>
        <color rgb="FF00B050"/>
      </font>
      <fill>
        <patternFill>
          <bgColor theme="0"/>
        </patternFill>
      </fill>
    </dxf>
    <dxf>
      <font>
        <color rgb="FFFF00FF"/>
      </font>
      <fill>
        <patternFill>
          <bgColor theme="0"/>
        </patternFill>
      </fill>
    </dxf>
    <dxf>
      <font>
        <color rgb="FF00A400"/>
      </font>
    </dxf>
    <dxf>
      <font>
        <color rgb="FFFF0000"/>
      </font>
    </dxf>
    <dxf>
      <numFmt numFmtId="14" formatCode="0.00%"/>
    </dxf>
    <dxf>
      <font>
        <color rgb="FF00D4EA"/>
      </font>
      <fill>
        <patternFill patternType="solid">
          <bgColor theme="0"/>
        </patternFill>
      </fill>
    </dxf>
    <dxf>
      <font>
        <color rgb="FFFF0000"/>
      </font>
      <fill>
        <patternFill patternType="solid">
          <bgColor theme="0"/>
        </patternFill>
      </fill>
    </dxf>
    <dxf>
      <font>
        <color rgb="FFFFC000"/>
      </font>
      <fill>
        <patternFill patternType="solid">
          <bgColor theme="0"/>
        </patternFill>
      </fill>
    </dxf>
    <dxf>
      <font>
        <color rgb="FF00A400"/>
      </font>
      <fill>
        <patternFill patternType="solid">
          <bgColor theme="0"/>
        </patternFill>
      </fill>
    </dxf>
    <dxf>
      <font>
        <color rgb="FFFF00FF"/>
      </font>
      <fill>
        <patternFill patternType="solid">
          <bgColor theme="0"/>
        </patternFill>
      </fill>
    </dxf>
    <dxf>
      <font>
        <color rgb="FF00D4EA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C000"/>
      </font>
      <fill>
        <patternFill>
          <bgColor theme="0"/>
        </patternFill>
      </fill>
    </dxf>
    <dxf>
      <font>
        <color rgb="FF00B050"/>
      </font>
      <fill>
        <patternFill>
          <bgColor theme="0"/>
        </patternFill>
      </fill>
    </dxf>
    <dxf>
      <font>
        <color rgb="FFFF00FF"/>
      </font>
      <fill>
        <patternFill>
          <bgColor theme="0"/>
        </patternFill>
      </fill>
    </dxf>
    <dxf>
      <font>
        <color rgb="FF00A400"/>
      </font>
    </dxf>
    <dxf>
      <font>
        <color rgb="FFFF0000"/>
      </font>
    </dxf>
    <dxf>
      <numFmt numFmtId="2" formatCode="0.00"/>
    </dxf>
    <dxf>
      <numFmt numFmtId="2" formatCode="0.00"/>
    </dxf>
    <dxf>
      <numFmt numFmtId="164" formatCode="0.0%"/>
    </dxf>
    <dxf>
      <numFmt numFmtId="164" formatCode="0.0%"/>
    </dxf>
    <dxf>
      <numFmt numFmtId="14" formatCode="0.00%"/>
    </dxf>
    <dxf>
      <font>
        <color rgb="FF00D4EA"/>
      </font>
      <fill>
        <patternFill patternType="solid">
          <bgColor theme="0"/>
        </patternFill>
      </fill>
    </dxf>
    <dxf>
      <font>
        <color rgb="FFFF0000"/>
      </font>
      <fill>
        <patternFill patternType="solid">
          <bgColor theme="0"/>
        </patternFill>
      </fill>
    </dxf>
    <dxf>
      <font>
        <color rgb="FFFFC000"/>
      </font>
      <fill>
        <patternFill patternType="solid">
          <bgColor theme="0"/>
        </patternFill>
      </fill>
    </dxf>
    <dxf>
      <font>
        <color rgb="FF00A400"/>
      </font>
      <fill>
        <patternFill patternType="solid">
          <bgColor theme="0"/>
        </patternFill>
      </fill>
    </dxf>
    <dxf>
      <font>
        <color rgb="FFFF00FF"/>
      </font>
      <fill>
        <patternFill patternType="solid">
          <bgColor theme="0"/>
        </patternFill>
      </fill>
    </dxf>
    <dxf>
      <font>
        <color rgb="FF00D4EA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C000"/>
      </font>
      <fill>
        <patternFill>
          <bgColor theme="0"/>
        </patternFill>
      </fill>
    </dxf>
    <dxf>
      <font>
        <color rgb="FF00B050"/>
      </font>
      <fill>
        <patternFill>
          <bgColor theme="0"/>
        </patternFill>
      </fill>
    </dxf>
    <dxf>
      <font>
        <color rgb="FFFF00FF"/>
      </font>
      <fill>
        <patternFill>
          <bgColor theme="0"/>
        </patternFill>
      </fill>
    </dxf>
    <dxf>
      <font>
        <color rgb="FF00A400"/>
      </font>
    </dxf>
    <dxf>
      <font>
        <color rgb="FFFF0000"/>
      </font>
    </dxf>
    <dxf>
      <numFmt numFmtId="164" formatCode="0.0%"/>
    </dxf>
    <dxf>
      <font>
        <color rgb="FF00D4EA"/>
      </font>
      <fill>
        <patternFill patternType="solid">
          <bgColor theme="0"/>
        </patternFill>
      </fill>
    </dxf>
    <dxf>
      <font>
        <color rgb="FFFF0000"/>
      </font>
      <fill>
        <patternFill patternType="solid">
          <bgColor theme="0"/>
        </patternFill>
      </fill>
    </dxf>
    <dxf>
      <font>
        <color rgb="FFFFC000"/>
      </font>
      <fill>
        <patternFill patternType="solid">
          <bgColor theme="0"/>
        </patternFill>
      </fill>
    </dxf>
    <dxf>
      <font>
        <color rgb="FF00A400"/>
      </font>
      <fill>
        <patternFill patternType="solid">
          <bgColor theme="0"/>
        </patternFill>
      </fill>
    </dxf>
    <dxf>
      <font>
        <color rgb="FFFF00FF"/>
      </font>
      <fill>
        <patternFill patternType="solid">
          <bgColor theme="0"/>
        </patternFill>
      </fill>
    </dxf>
    <dxf>
      <font>
        <color rgb="FF00D4EA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C000"/>
      </font>
      <fill>
        <patternFill>
          <bgColor theme="0"/>
        </patternFill>
      </fill>
    </dxf>
    <dxf>
      <font>
        <color rgb="FF00B050"/>
      </font>
      <fill>
        <patternFill>
          <bgColor theme="0"/>
        </patternFill>
      </fill>
    </dxf>
    <dxf>
      <font>
        <color rgb="FFFF00FF"/>
      </font>
      <fill>
        <patternFill>
          <bgColor theme="0"/>
        </patternFill>
      </fill>
    </dxf>
    <dxf>
      <font>
        <color rgb="FF00A400"/>
      </font>
    </dxf>
    <dxf>
      <font>
        <color rgb="FFFF0000"/>
      </font>
    </dxf>
    <dxf>
      <font>
        <color rgb="FF00D4EA"/>
      </font>
      <fill>
        <patternFill patternType="solid">
          <bgColor theme="0"/>
        </patternFill>
      </fill>
    </dxf>
    <dxf>
      <font>
        <color rgb="FFFF0000"/>
      </font>
      <fill>
        <patternFill patternType="solid">
          <bgColor theme="0"/>
        </patternFill>
      </fill>
    </dxf>
    <dxf>
      <font>
        <color rgb="FFFFC000"/>
      </font>
      <fill>
        <patternFill patternType="solid">
          <bgColor theme="0"/>
        </patternFill>
      </fill>
    </dxf>
    <dxf>
      <font>
        <color rgb="FF00A400"/>
      </font>
      <fill>
        <patternFill patternType="solid">
          <bgColor theme="0"/>
        </patternFill>
      </fill>
    </dxf>
    <dxf>
      <font>
        <color rgb="FFFF00FF"/>
      </font>
      <fill>
        <patternFill patternType="solid">
          <bgColor theme="0"/>
        </patternFill>
      </fill>
    </dxf>
    <dxf>
      <font>
        <color rgb="FF00D4EA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C000"/>
      </font>
      <fill>
        <patternFill>
          <bgColor theme="0"/>
        </patternFill>
      </fill>
    </dxf>
    <dxf>
      <font>
        <color rgb="FF00B050"/>
      </font>
      <fill>
        <patternFill>
          <bgColor theme="0"/>
        </patternFill>
      </fill>
    </dxf>
    <dxf>
      <font>
        <color rgb="FFFF00FF"/>
      </font>
      <fill>
        <patternFill>
          <bgColor theme="0"/>
        </patternFill>
      </fill>
    </dxf>
    <dxf>
      <font>
        <color rgb="FF00A400"/>
      </font>
    </dxf>
    <dxf>
      <font>
        <color rgb="FFFF0000"/>
      </font>
    </dxf>
    <dxf>
      <numFmt numFmtId="14" formatCode="0.00%"/>
    </dxf>
    <dxf>
      <font>
        <color rgb="FF00D4EA"/>
      </font>
      <fill>
        <patternFill patternType="solid">
          <bgColor theme="0"/>
        </patternFill>
      </fill>
    </dxf>
    <dxf>
      <font>
        <color rgb="FFFF0000"/>
      </font>
      <fill>
        <patternFill patternType="solid">
          <bgColor theme="0"/>
        </patternFill>
      </fill>
    </dxf>
    <dxf>
      <font>
        <color rgb="FFFFC000"/>
      </font>
      <fill>
        <patternFill patternType="solid">
          <bgColor theme="0"/>
        </patternFill>
      </fill>
    </dxf>
    <dxf>
      <font>
        <color rgb="FF00A400"/>
      </font>
      <fill>
        <patternFill patternType="solid">
          <bgColor theme="0"/>
        </patternFill>
      </fill>
    </dxf>
    <dxf>
      <font>
        <color rgb="FFFF00FF"/>
      </font>
      <fill>
        <patternFill patternType="solid">
          <bgColor theme="0"/>
        </patternFill>
      </fill>
    </dxf>
    <dxf>
      <font>
        <color rgb="FF00D4EA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C000"/>
      </font>
      <fill>
        <patternFill>
          <bgColor theme="0"/>
        </patternFill>
      </fill>
    </dxf>
    <dxf>
      <font>
        <color rgb="FF00B050"/>
      </font>
      <fill>
        <patternFill>
          <bgColor theme="0"/>
        </patternFill>
      </fill>
    </dxf>
    <dxf>
      <font>
        <color rgb="FFFF00FF"/>
      </font>
      <fill>
        <patternFill>
          <bgColor theme="0"/>
        </patternFill>
      </fill>
    </dxf>
    <dxf>
      <font>
        <color rgb="FF00A400"/>
      </font>
    </dxf>
    <dxf>
      <font>
        <color rgb="FFFF0000"/>
      </font>
    </dxf>
    <dxf>
      <numFmt numFmtId="14" formatCode="0.00%"/>
    </dxf>
    <dxf>
      <font>
        <color rgb="FF00D4EA"/>
      </font>
      <fill>
        <patternFill patternType="solid">
          <bgColor theme="0"/>
        </patternFill>
      </fill>
    </dxf>
    <dxf>
      <font>
        <color rgb="FFFF0000"/>
      </font>
      <fill>
        <patternFill patternType="solid">
          <bgColor theme="0"/>
        </patternFill>
      </fill>
    </dxf>
    <dxf>
      <font>
        <color rgb="FFFFC000"/>
      </font>
      <fill>
        <patternFill patternType="solid">
          <bgColor theme="0"/>
        </patternFill>
      </fill>
    </dxf>
    <dxf>
      <font>
        <color rgb="FF00A400"/>
      </font>
      <fill>
        <patternFill patternType="solid">
          <bgColor theme="0"/>
        </patternFill>
      </fill>
    </dxf>
    <dxf>
      <font>
        <color rgb="FFFF00FF"/>
      </font>
      <fill>
        <patternFill patternType="solid">
          <bgColor theme="0"/>
        </patternFill>
      </fill>
    </dxf>
    <dxf>
      <font>
        <color rgb="FF00D4EA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C000"/>
      </font>
      <fill>
        <patternFill>
          <bgColor theme="0"/>
        </patternFill>
      </fill>
    </dxf>
    <dxf>
      <font>
        <color rgb="FF00B050"/>
      </font>
      <fill>
        <patternFill>
          <bgColor theme="0"/>
        </patternFill>
      </fill>
    </dxf>
    <dxf>
      <font>
        <color rgb="FFFF00FF"/>
      </font>
      <fill>
        <patternFill>
          <bgColor theme="0"/>
        </patternFill>
      </fill>
    </dxf>
    <dxf>
      <font>
        <color rgb="FF00A400"/>
      </font>
    </dxf>
    <dxf>
      <font>
        <color rgb="FFFF0000"/>
      </font>
    </dxf>
    <dxf>
      <numFmt numFmtId="14" formatCode="0.00%"/>
    </dxf>
    <dxf>
      <font>
        <color rgb="FF00D4EA"/>
      </font>
      <fill>
        <patternFill patternType="solid">
          <bgColor theme="0"/>
        </patternFill>
      </fill>
    </dxf>
    <dxf>
      <font>
        <color rgb="FFFF0000"/>
      </font>
      <fill>
        <patternFill patternType="solid">
          <bgColor theme="0"/>
        </patternFill>
      </fill>
    </dxf>
    <dxf>
      <font>
        <color rgb="FFFFC000"/>
      </font>
      <fill>
        <patternFill patternType="solid">
          <bgColor theme="0"/>
        </patternFill>
      </fill>
    </dxf>
    <dxf>
      <font>
        <color rgb="FF00A400"/>
      </font>
      <fill>
        <patternFill patternType="solid">
          <bgColor theme="0"/>
        </patternFill>
      </fill>
    </dxf>
    <dxf>
      <font>
        <color rgb="FFFF00FF"/>
      </font>
      <fill>
        <patternFill patternType="solid">
          <bgColor theme="0"/>
        </patternFill>
      </fill>
    </dxf>
    <dxf>
      <font>
        <color rgb="FF00D4EA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C000"/>
      </font>
      <fill>
        <patternFill>
          <bgColor theme="0"/>
        </patternFill>
      </fill>
    </dxf>
    <dxf>
      <font>
        <color rgb="FF00B050"/>
      </font>
      <fill>
        <patternFill>
          <bgColor theme="0"/>
        </patternFill>
      </fill>
    </dxf>
    <dxf>
      <font>
        <color rgb="FFFF00FF"/>
      </font>
      <fill>
        <patternFill>
          <bgColor theme="0"/>
        </patternFill>
      </fill>
    </dxf>
    <dxf>
      <font>
        <color rgb="FF00A400"/>
      </font>
    </dxf>
    <dxf>
      <font>
        <color rgb="FFFF0000"/>
      </font>
    </dxf>
    <dxf>
      <numFmt numFmtId="14" formatCode="0.00%"/>
    </dxf>
    <dxf>
      <font>
        <color rgb="FF00D4EA"/>
      </font>
      <fill>
        <patternFill patternType="solid">
          <bgColor theme="0"/>
        </patternFill>
      </fill>
    </dxf>
    <dxf>
      <font>
        <color rgb="FFFF0000"/>
      </font>
      <fill>
        <patternFill patternType="solid">
          <bgColor theme="0"/>
        </patternFill>
      </fill>
    </dxf>
    <dxf>
      <font>
        <color rgb="FFFFC000"/>
      </font>
      <fill>
        <patternFill patternType="solid">
          <bgColor theme="0"/>
        </patternFill>
      </fill>
    </dxf>
    <dxf>
      <font>
        <color rgb="FF00A400"/>
      </font>
      <fill>
        <patternFill patternType="solid">
          <bgColor theme="0"/>
        </patternFill>
      </fill>
    </dxf>
    <dxf>
      <font>
        <color rgb="FFFF00FF"/>
      </font>
      <fill>
        <patternFill patternType="solid">
          <bgColor theme="0"/>
        </patternFill>
      </fill>
    </dxf>
    <dxf>
      <font>
        <color rgb="FF00D4EA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C000"/>
      </font>
      <fill>
        <patternFill>
          <bgColor theme="0"/>
        </patternFill>
      </fill>
    </dxf>
    <dxf>
      <font>
        <color rgb="FF00B050"/>
      </font>
      <fill>
        <patternFill>
          <bgColor theme="0"/>
        </patternFill>
      </fill>
    </dxf>
    <dxf>
      <font>
        <color rgb="FFFF00FF"/>
      </font>
      <fill>
        <patternFill>
          <bgColor theme="0"/>
        </patternFill>
      </fill>
    </dxf>
    <dxf>
      <font>
        <color rgb="FF00A400"/>
      </font>
    </dxf>
    <dxf>
      <font>
        <color rgb="FFFF00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numFmt numFmtId="14" formatCode="0.00%"/>
    </dxf>
    <dxf>
      <numFmt numFmtId="14" formatCode="0.00%"/>
    </dxf>
    <dxf>
      <font>
        <color rgb="FF00D4EA"/>
      </font>
      <fill>
        <patternFill patternType="solid">
          <bgColor theme="0"/>
        </patternFill>
      </fill>
    </dxf>
    <dxf>
      <font>
        <color rgb="FFFF0000"/>
      </font>
      <fill>
        <patternFill patternType="solid">
          <bgColor theme="0"/>
        </patternFill>
      </fill>
    </dxf>
    <dxf>
      <font>
        <color rgb="FFFFC000"/>
      </font>
      <fill>
        <patternFill patternType="solid">
          <bgColor theme="0"/>
        </patternFill>
      </fill>
    </dxf>
    <dxf>
      <font>
        <color rgb="FF00A400"/>
      </font>
      <fill>
        <patternFill patternType="solid">
          <bgColor theme="0"/>
        </patternFill>
      </fill>
    </dxf>
    <dxf>
      <font>
        <color rgb="FFFF00FF"/>
      </font>
      <fill>
        <patternFill patternType="solid">
          <bgColor theme="0"/>
        </patternFill>
      </fill>
    </dxf>
    <dxf>
      <font>
        <color rgb="FF00D4EA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C000"/>
      </font>
      <fill>
        <patternFill>
          <bgColor theme="0"/>
        </patternFill>
      </fill>
    </dxf>
    <dxf>
      <font>
        <color rgb="FF00B050"/>
      </font>
      <fill>
        <patternFill>
          <bgColor theme="0"/>
        </patternFill>
      </fill>
    </dxf>
    <dxf>
      <font>
        <color rgb="FFFF00FF"/>
      </font>
      <fill>
        <patternFill>
          <bgColor theme="0"/>
        </patternFill>
      </fill>
    </dxf>
    <dxf>
      <font>
        <color rgb="FF00A400"/>
      </font>
    </dxf>
    <dxf>
      <font>
        <color rgb="FFFF0000"/>
      </font>
    </dxf>
    <dxf>
      <font>
        <color rgb="FF00D4EA"/>
      </font>
      <fill>
        <patternFill patternType="solid">
          <bgColor theme="0"/>
        </patternFill>
      </fill>
    </dxf>
    <dxf>
      <font>
        <color rgb="FFFF0000"/>
      </font>
      <fill>
        <patternFill patternType="solid">
          <bgColor theme="0"/>
        </patternFill>
      </fill>
    </dxf>
    <dxf>
      <font>
        <color rgb="FFFFC000"/>
      </font>
      <fill>
        <patternFill patternType="solid">
          <bgColor theme="0"/>
        </patternFill>
      </fill>
    </dxf>
    <dxf>
      <font>
        <color rgb="FF00A400"/>
      </font>
      <fill>
        <patternFill patternType="solid">
          <bgColor theme="0"/>
        </patternFill>
      </fill>
    </dxf>
    <dxf>
      <font>
        <color rgb="FFFF00FF"/>
      </font>
      <fill>
        <patternFill patternType="solid">
          <bgColor theme="0"/>
        </patternFill>
      </fill>
    </dxf>
    <dxf>
      <font>
        <color rgb="FF00D4EA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C000"/>
      </font>
      <fill>
        <patternFill>
          <bgColor theme="0"/>
        </patternFill>
      </fill>
    </dxf>
    <dxf>
      <font>
        <color rgb="FF00B050"/>
      </font>
      <fill>
        <patternFill>
          <bgColor theme="0"/>
        </patternFill>
      </fill>
    </dxf>
    <dxf>
      <font>
        <color rgb="FFFF00FF"/>
      </font>
      <fill>
        <patternFill>
          <bgColor theme="0"/>
        </patternFill>
      </fill>
    </dxf>
    <dxf>
      <font>
        <color rgb="FF00A400"/>
      </font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numFmt numFmtId="14" formatCode="0.00%"/>
    </dxf>
    <dxf>
      <font>
        <color rgb="FF00D4EA"/>
      </font>
      <fill>
        <patternFill patternType="solid">
          <bgColor theme="0"/>
        </patternFill>
      </fill>
    </dxf>
    <dxf>
      <font>
        <color rgb="FFFF0000"/>
      </font>
      <fill>
        <patternFill patternType="solid">
          <bgColor theme="0"/>
        </patternFill>
      </fill>
    </dxf>
    <dxf>
      <font>
        <color rgb="FFFFC000"/>
      </font>
      <fill>
        <patternFill patternType="solid">
          <bgColor theme="0"/>
        </patternFill>
      </fill>
    </dxf>
    <dxf>
      <font>
        <color rgb="FF00A400"/>
      </font>
      <fill>
        <patternFill patternType="solid">
          <bgColor theme="0"/>
        </patternFill>
      </fill>
    </dxf>
    <dxf>
      <font>
        <color rgb="FFFF00FF"/>
      </font>
      <fill>
        <patternFill patternType="solid">
          <bgColor theme="0"/>
        </patternFill>
      </fill>
    </dxf>
    <dxf>
      <font>
        <color rgb="FF00D4EA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C000"/>
      </font>
      <fill>
        <patternFill>
          <bgColor theme="0"/>
        </patternFill>
      </fill>
    </dxf>
    <dxf>
      <font>
        <color rgb="FF00B050"/>
      </font>
      <fill>
        <patternFill>
          <bgColor theme="0"/>
        </patternFill>
      </fill>
    </dxf>
    <dxf>
      <font>
        <color rgb="FFFF00FF"/>
      </font>
      <fill>
        <patternFill>
          <bgColor theme="0"/>
        </patternFill>
      </fill>
    </dxf>
    <dxf>
      <font>
        <color rgb="FF00A400"/>
      </font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14" formatCode="0.00%"/>
    </dxf>
    <dxf>
      <font>
        <color rgb="FF00D4EA"/>
      </font>
      <fill>
        <patternFill patternType="solid">
          <bgColor theme="0"/>
        </patternFill>
      </fill>
    </dxf>
    <dxf>
      <font>
        <color rgb="FFFF0000"/>
      </font>
      <fill>
        <patternFill patternType="solid">
          <bgColor theme="0"/>
        </patternFill>
      </fill>
    </dxf>
    <dxf>
      <font>
        <color rgb="FFFFC000"/>
      </font>
      <fill>
        <patternFill patternType="solid">
          <bgColor theme="0"/>
        </patternFill>
      </fill>
    </dxf>
    <dxf>
      <font>
        <color rgb="FF00A400"/>
      </font>
      <fill>
        <patternFill patternType="solid">
          <bgColor theme="0"/>
        </patternFill>
      </fill>
    </dxf>
    <dxf>
      <font>
        <color rgb="FFFF00FF"/>
      </font>
      <fill>
        <patternFill patternType="solid">
          <bgColor theme="0"/>
        </patternFill>
      </fill>
    </dxf>
    <dxf>
      <font>
        <color rgb="FF00D4EA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C000"/>
      </font>
      <fill>
        <patternFill>
          <bgColor theme="0"/>
        </patternFill>
      </fill>
    </dxf>
    <dxf>
      <font>
        <color rgb="FF00B050"/>
      </font>
      <fill>
        <patternFill>
          <bgColor theme="0"/>
        </patternFill>
      </fill>
    </dxf>
    <dxf>
      <font>
        <color rgb="FFFF00FF"/>
      </font>
      <fill>
        <patternFill>
          <bgColor theme="0"/>
        </patternFill>
      </fill>
    </dxf>
    <dxf>
      <font>
        <color rgb="FF00A400"/>
      </font>
    </dxf>
    <dxf>
      <font>
        <color rgb="FFFF00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numFmt numFmtId="14" formatCode="0.00%"/>
    </dxf>
    <dxf>
      <font>
        <color rgb="FF00D4EA"/>
      </font>
      <fill>
        <patternFill patternType="solid">
          <bgColor theme="0"/>
        </patternFill>
      </fill>
    </dxf>
    <dxf>
      <font>
        <color rgb="FFFF0000"/>
      </font>
      <fill>
        <patternFill patternType="solid">
          <bgColor theme="0"/>
        </patternFill>
      </fill>
    </dxf>
    <dxf>
      <font>
        <color rgb="FFFFC000"/>
      </font>
      <fill>
        <patternFill patternType="solid">
          <bgColor theme="0"/>
        </patternFill>
      </fill>
    </dxf>
    <dxf>
      <font>
        <color rgb="FF00A400"/>
      </font>
      <fill>
        <patternFill patternType="solid">
          <bgColor theme="0"/>
        </patternFill>
      </fill>
    </dxf>
    <dxf>
      <font>
        <color rgb="FFFF00FF"/>
      </font>
      <fill>
        <patternFill patternType="solid">
          <bgColor theme="0"/>
        </patternFill>
      </fill>
    </dxf>
    <dxf>
      <font>
        <color rgb="FF00D4EA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C000"/>
      </font>
      <fill>
        <patternFill>
          <bgColor theme="0"/>
        </patternFill>
      </fill>
    </dxf>
    <dxf>
      <font>
        <color rgb="FF00B050"/>
      </font>
      <fill>
        <patternFill>
          <bgColor theme="0"/>
        </patternFill>
      </fill>
    </dxf>
    <dxf>
      <font>
        <color rgb="FFFF00FF"/>
      </font>
      <fill>
        <patternFill>
          <bgColor theme="0"/>
        </patternFill>
      </fill>
    </dxf>
    <dxf>
      <font>
        <color rgb="FF00A400"/>
      </font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2" formatCode="0.00"/>
    </dxf>
    <dxf>
      <numFmt numFmtId="14" formatCode="0.00%"/>
    </dxf>
    <dxf>
      <numFmt numFmtId="14" formatCode="0.00%"/>
    </dxf>
    <dxf>
      <font>
        <sz val="11"/>
      </font>
    </dxf>
    <dxf>
      <font>
        <sz val="11"/>
      </font>
    </dxf>
    <dxf>
      <font>
        <color rgb="FF00D4EA"/>
      </font>
      <fill>
        <patternFill patternType="solid">
          <bgColor theme="0"/>
        </patternFill>
      </fill>
    </dxf>
    <dxf>
      <font>
        <color rgb="FFFF0000"/>
      </font>
      <fill>
        <patternFill patternType="solid">
          <bgColor theme="0"/>
        </patternFill>
      </fill>
    </dxf>
    <dxf>
      <font>
        <color rgb="FFFFC000"/>
      </font>
      <fill>
        <patternFill patternType="solid">
          <bgColor theme="0"/>
        </patternFill>
      </fill>
    </dxf>
    <dxf>
      <font>
        <color rgb="FF00A400"/>
      </font>
      <fill>
        <patternFill patternType="solid">
          <bgColor theme="0"/>
        </patternFill>
      </fill>
    </dxf>
    <dxf>
      <font>
        <color rgb="FFFF00FF"/>
      </font>
      <fill>
        <patternFill patternType="solid">
          <bgColor theme="0"/>
        </patternFill>
      </fill>
    </dxf>
    <dxf>
      <font>
        <color rgb="FF00D4EA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C000"/>
      </font>
      <fill>
        <patternFill>
          <bgColor theme="0"/>
        </patternFill>
      </fill>
    </dxf>
    <dxf>
      <font>
        <color rgb="FF00B050"/>
      </font>
      <fill>
        <patternFill>
          <bgColor theme="0"/>
        </patternFill>
      </fill>
    </dxf>
    <dxf>
      <font>
        <color rgb="FFFF00FF"/>
      </font>
      <fill>
        <patternFill>
          <bgColor theme="0"/>
        </patternFill>
      </fill>
    </dxf>
    <dxf>
      <font>
        <color rgb="FF00A400"/>
      </font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2" formatCode="0.00"/>
    </dxf>
    <dxf>
      <numFmt numFmtId="14" formatCode="0.00%"/>
    </dxf>
    <dxf>
      <numFmt numFmtId="14" formatCode="0.00%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color rgb="FF00D4EA"/>
      </font>
      <fill>
        <patternFill patternType="solid">
          <bgColor theme="0"/>
        </patternFill>
      </fill>
    </dxf>
    <dxf>
      <font>
        <color rgb="FFFF0000"/>
      </font>
      <fill>
        <patternFill patternType="solid">
          <bgColor theme="0"/>
        </patternFill>
      </fill>
    </dxf>
    <dxf>
      <font>
        <color rgb="FFFFC000"/>
      </font>
      <fill>
        <patternFill patternType="solid">
          <bgColor theme="0"/>
        </patternFill>
      </fill>
    </dxf>
    <dxf>
      <font>
        <color rgb="FF00A400"/>
      </font>
      <fill>
        <patternFill patternType="solid">
          <bgColor theme="0"/>
        </patternFill>
      </fill>
    </dxf>
    <dxf>
      <font>
        <color rgb="FFFF00FF"/>
      </font>
      <fill>
        <patternFill patternType="solid">
          <bgColor theme="0"/>
        </patternFill>
      </fill>
    </dxf>
    <dxf>
      <font>
        <color rgb="FF00D4EA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C000"/>
      </font>
      <fill>
        <patternFill>
          <bgColor theme="0"/>
        </patternFill>
      </fill>
    </dxf>
    <dxf>
      <font>
        <color rgb="FF00B050"/>
      </font>
      <fill>
        <patternFill>
          <bgColor theme="0"/>
        </patternFill>
      </fill>
    </dxf>
    <dxf>
      <font>
        <color rgb="FFFF00FF"/>
      </font>
      <fill>
        <patternFill>
          <bgColor theme="0"/>
        </patternFill>
      </fill>
    </dxf>
    <dxf>
      <font>
        <color rgb="FF00A400"/>
      </font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6" formatCode="0.000"/>
    </dxf>
    <dxf>
      <numFmt numFmtId="164" formatCode="0.0%"/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D4EA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C000"/>
      </font>
      <fill>
        <patternFill>
          <bgColor theme="0"/>
        </patternFill>
      </fill>
    </dxf>
    <dxf>
      <font>
        <color rgb="FF00B050"/>
      </font>
      <fill>
        <patternFill>
          <bgColor theme="0"/>
        </patternFill>
      </fill>
    </dxf>
    <dxf>
      <font>
        <color rgb="FFFF00FF"/>
      </font>
      <fill>
        <patternFill>
          <bgColor theme="0"/>
        </patternFill>
      </fill>
    </dxf>
    <dxf>
      <font>
        <color rgb="FF00D4EA"/>
      </font>
      <fill>
        <patternFill patternType="solid">
          <bgColor theme="0"/>
        </patternFill>
      </fill>
    </dxf>
    <dxf>
      <font>
        <color rgb="FFFF0000"/>
      </font>
      <fill>
        <patternFill patternType="solid">
          <bgColor theme="0"/>
        </patternFill>
      </fill>
    </dxf>
    <dxf>
      <font>
        <color rgb="FFFFC000"/>
      </font>
      <fill>
        <patternFill patternType="solid">
          <bgColor theme="0"/>
        </patternFill>
      </fill>
    </dxf>
    <dxf>
      <font>
        <color rgb="FF00A400"/>
      </font>
      <fill>
        <patternFill patternType="solid">
          <bgColor theme="0"/>
        </patternFill>
      </fill>
    </dxf>
    <dxf>
      <font>
        <color rgb="FFFF00FF"/>
      </font>
      <fill>
        <patternFill patternType="solid">
          <bgColor theme="0"/>
        </patternFill>
      </fill>
    </dxf>
    <dxf>
      <font>
        <color rgb="FF00D4EA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C000"/>
      </font>
      <fill>
        <patternFill>
          <bgColor theme="0"/>
        </patternFill>
      </fill>
    </dxf>
    <dxf>
      <font>
        <color rgb="FF00B050"/>
      </font>
      <fill>
        <patternFill>
          <bgColor theme="0"/>
        </patternFill>
      </fill>
    </dxf>
    <dxf>
      <font>
        <color rgb="FFFF00FF"/>
      </font>
      <fill>
        <patternFill>
          <bgColor theme="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6" formatCode="0.000"/>
    </dxf>
    <dxf>
      <numFmt numFmtId="164" formatCode="0.0%"/>
    </dxf>
    <dxf>
      <font>
        <color rgb="FF00D4EA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C000"/>
      </font>
      <fill>
        <patternFill>
          <bgColor theme="0"/>
        </patternFill>
      </fill>
    </dxf>
    <dxf>
      <font>
        <color rgb="FF00B050"/>
      </font>
      <fill>
        <patternFill>
          <bgColor theme="0"/>
        </patternFill>
      </fill>
    </dxf>
    <dxf>
      <font>
        <color rgb="FFFF00FF"/>
      </font>
      <fill>
        <patternFill>
          <bgColor theme="0"/>
        </patternFill>
      </fill>
    </dxf>
    <dxf>
      <font>
        <color rgb="FF00D4EA"/>
      </font>
      <fill>
        <patternFill patternType="solid">
          <bgColor theme="0"/>
        </patternFill>
      </fill>
    </dxf>
    <dxf>
      <font>
        <color rgb="FFFF0000"/>
      </font>
      <fill>
        <patternFill patternType="solid">
          <bgColor theme="0"/>
        </patternFill>
      </fill>
    </dxf>
    <dxf>
      <font>
        <color rgb="FFFFC000"/>
      </font>
      <fill>
        <patternFill patternType="solid">
          <bgColor theme="0"/>
        </patternFill>
      </fill>
    </dxf>
    <dxf>
      <font>
        <color rgb="FF00A400"/>
      </font>
      <fill>
        <patternFill patternType="solid">
          <bgColor theme="0"/>
        </patternFill>
      </fill>
    </dxf>
    <dxf>
      <font>
        <color rgb="FFFF00FF"/>
      </font>
      <fill>
        <patternFill patternType="solid">
          <bgColor theme="0"/>
        </patternFill>
      </fill>
    </dxf>
    <dxf>
      <font>
        <color rgb="FF00D4EA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C000"/>
      </font>
      <fill>
        <patternFill>
          <bgColor theme="0"/>
        </patternFill>
      </fill>
    </dxf>
    <dxf>
      <font>
        <color rgb="FF00B050"/>
      </font>
      <fill>
        <patternFill>
          <bgColor theme="0"/>
        </patternFill>
      </fill>
    </dxf>
    <dxf>
      <font>
        <color rgb="FFFF00FF"/>
      </font>
      <fill>
        <patternFill>
          <bgColor theme="0"/>
        </patternFill>
      </fill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A400"/>
      </font>
    </dxf>
    <dxf>
      <font>
        <color rgb="FFFF0000"/>
      </font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dotted">
          <color indexed="64"/>
        </left>
        <right/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border diagonalUp="0" diagonalDown="0" outline="0">
        <left style="dotted">
          <color indexed="64"/>
        </left>
        <right/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dotted">
          <color indexed="64"/>
        </left>
        <right style="dotted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dotted">
          <color indexed="64"/>
        </left>
        <right style="dotted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dotted">
          <color indexed="64"/>
        </left>
        <right style="dotted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dotted">
          <color indexed="64"/>
        </left>
        <right style="dotted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dotted">
          <color indexed="64"/>
        </left>
        <right style="dotted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dotted">
          <color indexed="64"/>
        </left>
        <right style="dotted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dotted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border diagonalUp="0" diagonalDown="0" outline="0">
        <left style="thin">
          <color indexed="64"/>
        </left>
        <right style="dotted">
          <color indexed="64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.5"/>
        <color theme="1"/>
        <name val="Times New Roman"/>
        <family val="1"/>
        <scheme val="none"/>
      </font>
      <numFmt numFmtId="3" formatCode="#,##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00B000"/>
      </font>
    </dxf>
    <dxf>
      <font>
        <color rgb="FFFF0000"/>
      </font>
    </dxf>
    <dxf>
      <font>
        <color rgb="FF00CC00"/>
      </font>
    </dxf>
    <dxf>
      <font>
        <color rgb="FFFF0000"/>
      </font>
    </dxf>
    <dxf>
      <font>
        <color rgb="FF00CC00"/>
      </font>
    </dxf>
    <dxf>
      <font>
        <color rgb="FFFF0000"/>
      </font>
    </dxf>
    <dxf>
      <font>
        <color rgb="FF00CC00"/>
      </font>
    </dxf>
    <dxf>
      <font>
        <color rgb="FFFF0000"/>
      </font>
    </dxf>
    <dxf>
      <font>
        <color rgb="FF00CC00"/>
      </font>
    </dxf>
    <dxf>
      <font>
        <color rgb="FFFF0000"/>
      </font>
    </dxf>
    <dxf>
      <font>
        <color rgb="FF00CC00"/>
      </font>
    </dxf>
    <dxf>
      <font>
        <color rgb="FFFF0000"/>
      </font>
    </dxf>
    <dxf>
      <font>
        <color rgb="FF00D25F"/>
      </font>
    </dxf>
    <dxf>
      <font>
        <color rgb="FFFF0000"/>
      </font>
    </dxf>
    <dxf>
      <font>
        <color rgb="FF00D25F"/>
      </font>
    </dxf>
    <dxf>
      <font>
        <color rgb="FFFF0000"/>
      </font>
    </dxf>
    <dxf>
      <font>
        <color rgb="FFE7E200"/>
      </font>
    </dxf>
    <dxf>
      <font>
        <color rgb="FF00D25F"/>
      </font>
    </dxf>
    <dxf>
      <font>
        <color rgb="FFFF0000"/>
      </font>
    </dxf>
    <dxf>
      <font>
        <color rgb="FFE7E200"/>
      </font>
    </dxf>
    <dxf>
      <font>
        <color rgb="FF00D25F"/>
      </font>
    </dxf>
    <dxf>
      <font>
        <color rgb="FFFF0000"/>
      </font>
    </dxf>
    <dxf>
      <font>
        <color rgb="FFE7E200"/>
      </font>
    </dxf>
    <dxf>
      <font>
        <color rgb="FF00D25F"/>
      </font>
    </dxf>
    <dxf>
      <font>
        <color rgb="FFFF0000"/>
      </font>
    </dxf>
    <dxf>
      <font>
        <color rgb="FFE7E200"/>
      </font>
    </dxf>
    <dxf>
      <font>
        <color rgb="FF00D25F"/>
      </font>
    </dxf>
    <dxf>
      <font>
        <color rgb="FFC00000"/>
      </font>
    </dxf>
    <dxf>
      <font>
        <color rgb="FFE7E200"/>
      </font>
    </dxf>
  </dxfs>
  <tableStyles count="0" defaultTableStyle="TableStyleMedium9" defaultPivotStyle="PivotStyleMedium4"/>
  <colors>
    <mruColors>
      <color rgb="FF008E00"/>
      <color rgb="FF008000"/>
      <color rgb="FF00B000"/>
      <color rgb="FF00CC00"/>
      <color rgb="FFD000B7"/>
      <color rgb="FFFF00FF"/>
      <color rgb="FFE7E200"/>
      <color rgb="FF33CC33"/>
      <color rgb="FF00C057"/>
      <color rgb="FF00D2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pivotCacheDefinition" Target="pivotCache/pivotCacheDefinition11.xml"/><Relationship Id="rId50" Type="http://schemas.openxmlformats.org/officeDocument/2006/relationships/pivotCacheDefinition" Target="pivotCache/pivotCacheDefinition14.xml"/><Relationship Id="rId55" Type="http://schemas.openxmlformats.org/officeDocument/2006/relationships/pivotCacheDefinition" Target="pivotCache/pivotCacheDefinition19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pivotCacheDefinition" Target="pivotCache/pivotCacheDefinition9.xml"/><Relationship Id="rId53" Type="http://schemas.openxmlformats.org/officeDocument/2006/relationships/pivotCacheDefinition" Target="pivotCache/pivotCacheDefinition17.xml"/><Relationship Id="rId58" Type="http://schemas.openxmlformats.org/officeDocument/2006/relationships/connections" Target="connections.xml"/><Relationship Id="rId5" Type="http://schemas.openxmlformats.org/officeDocument/2006/relationships/worksheet" Target="worksheets/sheet5.xml"/><Relationship Id="rId61" Type="http://schemas.openxmlformats.org/officeDocument/2006/relationships/sheetMetadata" Target="metadata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pivotCacheDefinition" Target="pivotCache/pivotCacheDefinition12.xml"/><Relationship Id="rId56" Type="http://schemas.openxmlformats.org/officeDocument/2006/relationships/pivotCacheDefinition" Target="pivotCache/pivotCacheDefinition20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pivotCacheDefinition" Target="pivotCache/pivotCacheDefinition1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pivotCacheDefinition" Target="pivotCache/pivotCacheDefinition10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54" Type="http://schemas.openxmlformats.org/officeDocument/2006/relationships/pivotCacheDefinition" Target="pivotCache/pivotCacheDefinition18.xml"/><Relationship Id="rId62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pivotCacheDefinition" Target="pivotCache/pivotCacheDefinition13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pivotCacheDefinition" Target="pivotCache/pivotCacheDefinition16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500">
                <a:solidFill>
                  <a:schemeClr val="tx1"/>
                </a:solidFill>
              </a:rPr>
              <a:t>Tăng</a:t>
            </a:r>
            <a:r>
              <a:rPr lang="en-US" sz="1500" baseline="0">
                <a:solidFill>
                  <a:schemeClr val="tx1"/>
                </a:solidFill>
              </a:rPr>
              <a:t> trưởng doanh thu và lợi nhuận</a:t>
            </a:r>
            <a:endParaRPr lang="vi-VN" sz="1500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Ratio!$A$16</c:f>
              <c:strCache>
                <c:ptCount val="1"/>
                <c:pt idx="0">
                  <c:v>Tăng trưởng doanh thu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vi-V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Ratio!$B$15:$H$15</c:f>
              <c:strCache>
                <c:ptCount val="7"/>
                <c:pt idx="0">
                  <c:v>Q4-2020</c:v>
                </c:pt>
                <c:pt idx="1">
                  <c:v>Q4-2021</c:v>
                </c:pt>
                <c:pt idx="2">
                  <c:v>Q4-2022</c:v>
                </c:pt>
                <c:pt idx="3">
                  <c:v>Q4-2023</c:v>
                </c:pt>
                <c:pt idx="4">
                  <c:v>Q4-2024</c:v>
                </c:pt>
                <c:pt idx="5">
                  <c:v>Q4-2025</c:v>
                </c:pt>
                <c:pt idx="6">
                  <c:v>#N/A</c:v>
                </c:pt>
              </c:strCache>
            </c:strRef>
          </c:cat>
          <c:val>
            <c:numRef>
              <c:f>Ratio!$B$16:$H$16</c:f>
              <c:numCache>
                <c:formatCode>0.00%</c:formatCode>
                <c:ptCount val="7"/>
                <c:pt idx="0">
                  <c:v>1.0668249854656691</c:v>
                </c:pt>
                <c:pt idx="1">
                  <c:v>0.23778859924016923</c:v>
                </c:pt>
                <c:pt idx="2">
                  <c:v>1.4861481105548533</c:v>
                </c:pt>
                <c:pt idx="3">
                  <c:v>-0.11318997023790435</c:v>
                </c:pt>
                <c:pt idx="4">
                  <c:v>-0.24487414950535855</c:v>
                </c:pt>
                <c:pt idx="5">
                  <c:v>1.4509844888877729E-2</c:v>
                </c:pt>
                <c:pt idx="6">
                  <c:v>0.27749822171617677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C196-4E3C-A0AF-1DBF10EE127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67123680"/>
        <c:axId val="767124400"/>
      </c:barChart>
      <c:lineChart>
        <c:grouping val="standard"/>
        <c:varyColors val="0"/>
        <c:ser>
          <c:idx val="1"/>
          <c:order val="1"/>
          <c:tx>
            <c:strRef>
              <c:f>Ratio!$A$17</c:f>
              <c:strCache>
                <c:ptCount val="1"/>
                <c:pt idx="0">
                  <c:v>Tăng trưởng Lợi nhuận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vi-V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Ratio!$B$15:$H$15</c:f>
              <c:strCache>
                <c:ptCount val="7"/>
                <c:pt idx="0">
                  <c:v>Q4-2020</c:v>
                </c:pt>
                <c:pt idx="1">
                  <c:v>Q4-2021</c:v>
                </c:pt>
                <c:pt idx="2">
                  <c:v>Q4-2022</c:v>
                </c:pt>
                <c:pt idx="3">
                  <c:v>Q4-2023</c:v>
                </c:pt>
                <c:pt idx="4">
                  <c:v>Q4-2024</c:v>
                </c:pt>
                <c:pt idx="5">
                  <c:v>Q4-2025</c:v>
                </c:pt>
                <c:pt idx="6">
                  <c:v>#N/A</c:v>
                </c:pt>
              </c:strCache>
            </c:strRef>
          </c:cat>
          <c:val>
            <c:numRef>
              <c:f>Ratio!$B$17:$H$17</c:f>
              <c:numCache>
                <c:formatCode>0.00%</c:formatCode>
                <c:ptCount val="7"/>
                <c:pt idx="0">
                  <c:v>8.4652909417912509E-2</c:v>
                </c:pt>
                <c:pt idx="1">
                  <c:v>0.13120284922111169</c:v>
                </c:pt>
                <c:pt idx="2">
                  <c:v>0.5859976103915624</c:v>
                </c:pt>
                <c:pt idx="3">
                  <c:v>1.1548051363836536E-2</c:v>
                </c:pt>
                <c:pt idx="4">
                  <c:v>-0.17239025733807531</c:v>
                </c:pt>
                <c:pt idx="5">
                  <c:v>2.7744451344562342</c:v>
                </c:pt>
                <c:pt idx="6">
                  <c:v>0.42080204548652927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96-4E3C-A0AF-1DBF10EE127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7137720"/>
        <c:axId val="767138440"/>
      </c:lineChart>
      <c:catAx>
        <c:axId val="7671236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7124400"/>
        <c:crosses val="autoZero"/>
        <c:auto val="1"/>
        <c:lblAlgn val="ctr"/>
        <c:lblOffset val="100"/>
        <c:noMultiLvlLbl val="0"/>
      </c:catAx>
      <c:valAx>
        <c:axId val="767124400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767123680"/>
        <c:crossesAt val="1"/>
        <c:crossBetween val="between"/>
      </c:valAx>
      <c:valAx>
        <c:axId val="76713844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767137720"/>
        <c:crosses val="max"/>
        <c:crossBetween val="between"/>
      </c:valAx>
      <c:catAx>
        <c:axId val="767137720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17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767138440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Tăng trưởng vốn và tài sản</a:t>
            </a:r>
            <a:endParaRPr lang="vi-V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vi-V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Ratio!$A$18</c:f>
              <c:strCache>
                <c:ptCount val="1"/>
                <c:pt idx="0">
                  <c:v>Tăng trưởng tài sản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vi-V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Ratio!$B$15:$H$15</c:f>
              <c:strCache>
                <c:ptCount val="7"/>
                <c:pt idx="0">
                  <c:v>Q4-2020</c:v>
                </c:pt>
                <c:pt idx="1">
                  <c:v>Q4-2021</c:v>
                </c:pt>
                <c:pt idx="2">
                  <c:v>Q4-2022</c:v>
                </c:pt>
                <c:pt idx="3">
                  <c:v>Q4-2023</c:v>
                </c:pt>
                <c:pt idx="4">
                  <c:v>Q4-2024</c:v>
                </c:pt>
                <c:pt idx="5">
                  <c:v>Q4-2025</c:v>
                </c:pt>
                <c:pt idx="6">
                  <c:v>#N/A</c:v>
                </c:pt>
              </c:strCache>
            </c:strRef>
          </c:cat>
          <c:val>
            <c:numRef>
              <c:f>Ratio!$B$18:$H$18</c:f>
              <c:numCache>
                <c:formatCode>0.00%</c:formatCode>
                <c:ptCount val="7"/>
                <c:pt idx="0">
                  <c:v>0.66163885278775181</c:v>
                </c:pt>
                <c:pt idx="1">
                  <c:v>0.67308219275969716</c:v>
                </c:pt>
                <c:pt idx="2">
                  <c:v>-0.24691871313548047</c:v>
                </c:pt>
                <c:pt idx="3">
                  <c:v>0.11059943427631325</c:v>
                </c:pt>
                <c:pt idx="4">
                  <c:v>0.35194857162285059</c:v>
                </c:pt>
                <c:pt idx="5">
                  <c:v>0.59386668110130802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54-4ADD-80B9-F4F192859540}"/>
            </c:ext>
          </c:extLst>
        </c:ser>
        <c:ser>
          <c:idx val="1"/>
          <c:order val="1"/>
          <c:tx>
            <c:strRef>
              <c:f>Ratio!$A$19</c:f>
              <c:strCache>
                <c:ptCount val="1"/>
                <c:pt idx="0">
                  <c:v>Tăng trưởng Vốn chủ sở hữu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vi-V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Ratio!$B$15:$H$15</c:f>
              <c:strCache>
                <c:ptCount val="7"/>
                <c:pt idx="0">
                  <c:v>Q4-2020</c:v>
                </c:pt>
                <c:pt idx="1">
                  <c:v>Q4-2021</c:v>
                </c:pt>
                <c:pt idx="2">
                  <c:v>Q4-2022</c:v>
                </c:pt>
                <c:pt idx="3">
                  <c:v>Q4-2023</c:v>
                </c:pt>
                <c:pt idx="4">
                  <c:v>Q4-2024</c:v>
                </c:pt>
                <c:pt idx="5">
                  <c:v>Q4-2025</c:v>
                </c:pt>
                <c:pt idx="6">
                  <c:v>#N/A</c:v>
                </c:pt>
              </c:strCache>
            </c:strRef>
          </c:cat>
          <c:val>
            <c:numRef>
              <c:f>Ratio!$B$19:$H$19</c:f>
              <c:numCache>
                <c:formatCode>0.00%</c:formatCode>
                <c:ptCount val="7"/>
                <c:pt idx="0">
                  <c:v>0.1648791908141366</c:v>
                </c:pt>
                <c:pt idx="1">
                  <c:v>0.57192118648434775</c:v>
                </c:pt>
                <c:pt idx="2">
                  <c:v>8.3693227013908272E-2</c:v>
                </c:pt>
                <c:pt idx="3">
                  <c:v>6.1112370414643957E-2</c:v>
                </c:pt>
                <c:pt idx="4">
                  <c:v>0.26353800469502053</c:v>
                </c:pt>
                <c:pt idx="5">
                  <c:v>1.5376495250898361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54-4ADD-80B9-F4F19285954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99"/>
        <c:axId val="939872344"/>
        <c:axId val="939873784"/>
      </c:barChart>
      <c:dateAx>
        <c:axId val="939872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b" anchorCtr="0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939873784"/>
        <c:crosses val="autoZero"/>
        <c:auto val="0"/>
        <c:lblOffset val="100"/>
        <c:baseTimeUnit val="days"/>
      </c:dateAx>
      <c:valAx>
        <c:axId val="939873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939872344"/>
        <c:crossesAt val="1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500">
                <a:solidFill>
                  <a:schemeClr val="tx1"/>
                </a:solidFill>
              </a:rPr>
              <a:t>Lợi nhuận và Doanh thu trên vốn và tài sản</a:t>
            </a:r>
            <a:endParaRPr lang="vi-VN" sz="1500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Ratio!$A$20</c:f>
              <c:strCache>
                <c:ptCount val="1"/>
                <c:pt idx="0">
                  <c:v>Lợi nhuận sau thuế/Tổng tài sản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vi-V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Ratio!$B$15:$H$15</c:f>
              <c:strCache>
                <c:ptCount val="7"/>
                <c:pt idx="0">
                  <c:v>Q4-2020</c:v>
                </c:pt>
                <c:pt idx="1">
                  <c:v>Q4-2021</c:v>
                </c:pt>
                <c:pt idx="2">
                  <c:v>Q4-2022</c:v>
                </c:pt>
                <c:pt idx="3">
                  <c:v>Q4-2023</c:v>
                </c:pt>
                <c:pt idx="4">
                  <c:v>Q4-2024</c:v>
                </c:pt>
                <c:pt idx="5">
                  <c:v>Q4-2025</c:v>
                </c:pt>
                <c:pt idx="6">
                  <c:v>#N/A</c:v>
                </c:pt>
              </c:strCache>
            </c:strRef>
          </c:cat>
          <c:val>
            <c:numRef>
              <c:f>Ratio!$B$20:$H$20</c:f>
              <c:numCache>
                <c:formatCode>0.00%</c:formatCode>
                <c:ptCount val="7"/>
                <c:pt idx="0">
                  <c:v>2.7678399929542116E-2</c:v>
                </c:pt>
                <c:pt idx="1">
                  <c:v>1.8713895227427398E-2</c:v>
                </c:pt>
                <c:pt idx="2">
                  <c:v>3.9411672590342069E-2</c:v>
                </c:pt>
                <c:pt idx="3">
                  <c:v>3.5896651285193544E-2</c:v>
                </c:pt>
                <c:pt idx="4">
                  <c:v>2.1974518081632734E-2</c:v>
                </c:pt>
                <c:pt idx="5">
                  <c:v>5.2037986513357171E-2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28-4A40-9209-4F92522D6D5F}"/>
            </c:ext>
          </c:extLst>
        </c:ser>
        <c:ser>
          <c:idx val="1"/>
          <c:order val="1"/>
          <c:tx>
            <c:strRef>
              <c:f>Ratio!$A$21</c:f>
              <c:strCache>
                <c:ptCount val="1"/>
                <c:pt idx="0">
                  <c:v>Lợi nhuận sau thuế/Vốn sở hữu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vi-V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Ratio!$B$15:$H$15</c:f>
              <c:strCache>
                <c:ptCount val="7"/>
                <c:pt idx="0">
                  <c:v>Q4-2020</c:v>
                </c:pt>
                <c:pt idx="1">
                  <c:v>Q4-2021</c:v>
                </c:pt>
                <c:pt idx="2">
                  <c:v>Q4-2022</c:v>
                </c:pt>
                <c:pt idx="3">
                  <c:v>Q4-2023</c:v>
                </c:pt>
                <c:pt idx="4">
                  <c:v>Q4-2024</c:v>
                </c:pt>
                <c:pt idx="5">
                  <c:v>Q4-2025</c:v>
                </c:pt>
                <c:pt idx="6">
                  <c:v>#N/A</c:v>
                </c:pt>
              </c:strCache>
            </c:strRef>
          </c:cat>
          <c:val>
            <c:numRef>
              <c:f>Ratio!$B$21:$H$21</c:f>
              <c:numCache>
                <c:formatCode>0.00%</c:formatCode>
                <c:ptCount val="7"/>
                <c:pt idx="0">
                  <c:v>8.9305007003218417E-2</c:v>
                </c:pt>
                <c:pt idx="1">
                  <c:v>6.4266630693928836E-2</c:v>
                </c:pt>
                <c:pt idx="2">
                  <c:v>9.4054959621132736E-2</c:v>
                </c:pt>
                <c:pt idx="3">
                  <c:v>8.9661673710092996E-2</c:v>
                </c:pt>
                <c:pt idx="4">
                  <c:v>5.8727853400625106E-2</c:v>
                </c:pt>
                <c:pt idx="5">
                  <c:v>8.7350541646290261E-2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28-4A40-9209-4F92522D6D5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39937864"/>
        <c:axId val="939941824"/>
      </c:barChart>
      <c:lineChart>
        <c:grouping val="standard"/>
        <c:varyColors val="0"/>
        <c:ser>
          <c:idx val="2"/>
          <c:order val="2"/>
          <c:tx>
            <c:strRef>
              <c:f>Ratio!$A$22</c:f>
              <c:strCache>
                <c:ptCount val="1"/>
                <c:pt idx="0">
                  <c:v>Lợi nhuận sau thuế/Doanh thu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00"/>
                    </a:solidFill>
                    <a:latin typeface="+mn-lt"/>
                    <a:ea typeface="+mn-ea"/>
                    <a:cs typeface="+mn-cs"/>
                  </a:defRPr>
                </a:pPr>
                <a:endParaRPr lang="vi-VN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Ratio!$B$15:$H$15</c:f>
              <c:strCache>
                <c:ptCount val="7"/>
                <c:pt idx="0">
                  <c:v>Q4-2020</c:v>
                </c:pt>
                <c:pt idx="1">
                  <c:v>Q4-2021</c:v>
                </c:pt>
                <c:pt idx="2">
                  <c:v>Q4-2022</c:v>
                </c:pt>
                <c:pt idx="3">
                  <c:v>Q4-2023</c:v>
                </c:pt>
                <c:pt idx="4">
                  <c:v>Q4-2024</c:v>
                </c:pt>
                <c:pt idx="5">
                  <c:v>Q4-2025</c:v>
                </c:pt>
                <c:pt idx="6">
                  <c:v>#N/A</c:v>
                </c:pt>
              </c:strCache>
            </c:strRef>
          </c:cat>
          <c:val>
            <c:numRef>
              <c:f>Ratio!$B$22:$H$22</c:f>
              <c:numCache>
                <c:formatCode>0.00%</c:formatCode>
                <c:ptCount val="7"/>
                <c:pt idx="0">
                  <c:v>0.14364857628375208</c:v>
                </c:pt>
                <c:pt idx="1">
                  <c:v>0.13127902363819346</c:v>
                </c:pt>
                <c:pt idx="2">
                  <c:v>8.3747310508481665E-2</c:v>
                </c:pt>
                <c:pt idx="3">
                  <c:v>9.5527143253604271E-2</c:v>
                </c:pt>
                <c:pt idx="4">
                  <c:v>0.10469671299632625</c:v>
                </c:pt>
                <c:pt idx="5">
                  <c:v>0.38952012240534617</c:v>
                </c:pt>
                <c:pt idx="6">
                  <c:v>0.43321468262257629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28-4A40-9209-4F92522D6D5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39946504"/>
        <c:axId val="939938944"/>
      </c:lineChart>
      <c:catAx>
        <c:axId val="939937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939941824"/>
        <c:crosses val="autoZero"/>
        <c:auto val="1"/>
        <c:lblAlgn val="ctr"/>
        <c:lblOffset val="100"/>
        <c:noMultiLvlLbl val="0"/>
      </c:catAx>
      <c:valAx>
        <c:axId val="939941824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939937864"/>
        <c:crosses val="autoZero"/>
        <c:crossBetween val="between"/>
      </c:valAx>
      <c:valAx>
        <c:axId val="939938944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939946504"/>
        <c:crosses val="max"/>
        <c:crossBetween val="between"/>
      </c:valAx>
      <c:catAx>
        <c:axId val="9399465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399389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Ratio!$A$23</c:f>
              <c:strCache>
                <c:ptCount val="1"/>
                <c:pt idx="0">
                  <c:v>Vốn chủ sở hữu/Tổng tài sản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vi-V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Ratio!$B$15:$H$15</c:f>
              <c:strCache>
                <c:ptCount val="7"/>
                <c:pt idx="0">
                  <c:v>Q4-2020</c:v>
                </c:pt>
                <c:pt idx="1">
                  <c:v>Q4-2021</c:v>
                </c:pt>
                <c:pt idx="2">
                  <c:v>Q4-2022</c:v>
                </c:pt>
                <c:pt idx="3">
                  <c:v>Q4-2023</c:v>
                </c:pt>
                <c:pt idx="4">
                  <c:v>Q4-2024</c:v>
                </c:pt>
                <c:pt idx="5">
                  <c:v>Q4-2025</c:v>
                </c:pt>
                <c:pt idx="6">
                  <c:v>#N/A</c:v>
                </c:pt>
              </c:strCache>
            </c:strRef>
          </c:cat>
          <c:val>
            <c:numRef>
              <c:f>Ratio!$B$23:$H$23</c:f>
              <c:numCache>
                <c:formatCode>0.00%</c:formatCode>
                <c:ptCount val="7"/>
                <c:pt idx="0">
                  <c:v>0.30993110978138805</c:v>
                </c:pt>
                <c:pt idx="1">
                  <c:v>0.29119147877150603</c:v>
                </c:pt>
                <c:pt idx="2">
                  <c:v>0.41902811663625295</c:v>
                </c:pt>
                <c:pt idx="3">
                  <c:v>0.40035669422433218</c:v>
                </c:pt>
                <c:pt idx="4">
                  <c:v>0.37417540075453931</c:v>
                </c:pt>
                <c:pt idx="5">
                  <c:v>0.59573742225978743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08-48FF-A824-E8B29B146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9965584"/>
        <c:axId val="939964144"/>
      </c:lineChart>
      <c:catAx>
        <c:axId val="93996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939964144"/>
        <c:crosses val="autoZero"/>
        <c:auto val="1"/>
        <c:lblAlgn val="ctr"/>
        <c:lblOffset val="100"/>
        <c:noMultiLvlLbl val="0"/>
      </c:catAx>
      <c:valAx>
        <c:axId val="93996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93996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'Tổng Quan'!$AA$6</c:f>
              <c:strCache>
                <c:ptCount val="1"/>
                <c:pt idx="0">
                  <c:v> 2 tuần </c:v>
                </c:pt>
              </c:strCache>
            </c:strRef>
          </c:tx>
          <c:spPr>
            <a:ln w="15875" cap="rnd">
              <a:solidFill>
                <a:srgbClr val="FF0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'Tổng Quan'!$W$7:$W$26</c:f>
              <c:numCache>
                <c:formatCode>m/d/yyyy</c:formatCode>
                <c:ptCount val="20"/>
                <c:pt idx="0">
                  <c:v>46213</c:v>
                </c:pt>
                <c:pt idx="1">
                  <c:v>46212</c:v>
                </c:pt>
                <c:pt idx="2">
                  <c:v>46211</c:v>
                </c:pt>
                <c:pt idx="3">
                  <c:v>46210</c:v>
                </c:pt>
                <c:pt idx="4">
                  <c:v>46209</c:v>
                </c:pt>
                <c:pt idx="5">
                  <c:v>46206</c:v>
                </c:pt>
                <c:pt idx="6">
                  <c:v>46205</c:v>
                </c:pt>
                <c:pt idx="7">
                  <c:v>46204</c:v>
                </c:pt>
                <c:pt idx="8">
                  <c:v>46203</c:v>
                </c:pt>
                <c:pt idx="9">
                  <c:v>46202</c:v>
                </c:pt>
                <c:pt idx="10">
                  <c:v>46199</c:v>
                </c:pt>
                <c:pt idx="11">
                  <c:v>46198</c:v>
                </c:pt>
                <c:pt idx="12">
                  <c:v>46197</c:v>
                </c:pt>
                <c:pt idx="13">
                  <c:v>46196</c:v>
                </c:pt>
                <c:pt idx="14">
                  <c:v>46195</c:v>
                </c:pt>
                <c:pt idx="15">
                  <c:v>46192</c:v>
                </c:pt>
                <c:pt idx="16">
                  <c:v>46191</c:v>
                </c:pt>
                <c:pt idx="17">
                  <c:v>46190</c:v>
                </c:pt>
                <c:pt idx="18">
                  <c:v>46189</c:v>
                </c:pt>
                <c:pt idx="19">
                  <c:v>46188</c:v>
                </c:pt>
              </c:numCache>
            </c:numRef>
          </c:xVal>
          <c:yVal>
            <c:numRef>
              <c:f>'Tổng Quan'!$AA$7:$AA$26</c:f>
              <c:numCache>
                <c:formatCode>0.00%</c:formatCode>
                <c:ptCount val="20"/>
                <c:pt idx="0">
                  <c:v>5.5E-2</c:v>
                </c:pt>
                <c:pt idx="1">
                  <c:v>6.0400000000000002E-2</c:v>
                </c:pt>
                <c:pt idx="2">
                  <c:v>6.7099999999999993E-2</c:v>
                </c:pt>
                <c:pt idx="3">
                  <c:v>6.4699999999999994E-2</c:v>
                </c:pt>
                <c:pt idx="4">
                  <c:v>6.3600000000000004E-2</c:v>
                </c:pt>
                <c:pt idx="5">
                  <c:v>6.1200000000000004E-2</c:v>
                </c:pt>
                <c:pt idx="6">
                  <c:v>7.0699999999999999E-2</c:v>
                </c:pt>
                <c:pt idx="7">
                  <c:v>7.2000000000000008E-2</c:v>
                </c:pt>
                <c:pt idx="8">
                  <c:v>6.8400000000000002E-2</c:v>
                </c:pt>
                <c:pt idx="9">
                  <c:v>8.4700000000000011E-2</c:v>
                </c:pt>
                <c:pt idx="10">
                  <c:v>7.7199999999999991E-2</c:v>
                </c:pt>
                <c:pt idx="11">
                  <c:v>7.8100000000000003E-2</c:v>
                </c:pt>
                <c:pt idx="12">
                  <c:v>7.7800000000000008E-2</c:v>
                </c:pt>
                <c:pt idx="13">
                  <c:v>7.7499999999999999E-2</c:v>
                </c:pt>
                <c:pt idx="14">
                  <c:v>7.6200000000000004E-2</c:v>
                </c:pt>
                <c:pt idx="15">
                  <c:v>7.5399999999999995E-2</c:v>
                </c:pt>
                <c:pt idx="16">
                  <c:v>7.4999999999999997E-2</c:v>
                </c:pt>
                <c:pt idx="17">
                  <c:v>6.4199999999999993E-2</c:v>
                </c:pt>
                <c:pt idx="18">
                  <c:v>6.4399999999999999E-2</c:v>
                </c:pt>
                <c:pt idx="19">
                  <c:v>5.9500000000000004E-2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5A-4B51-9FD0-B25938616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185120"/>
        <c:axId val="534185480"/>
      </c:scatterChart>
      <c:valAx>
        <c:axId val="534185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[$-1010000]dd/mm/yy;@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4185480"/>
        <c:crosses val="autoZero"/>
        <c:crossBetween val="midCat"/>
      </c:valAx>
      <c:valAx>
        <c:axId val="534185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4185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'Tổng Quan'!$X$6</c:f>
              <c:strCache>
                <c:ptCount val="1"/>
                <c:pt idx="0">
                  <c:v> 1 tháng </c:v>
                </c:pt>
              </c:strCache>
            </c:strRef>
          </c:tx>
          <c:spPr>
            <a:ln w="15875" cap="rnd">
              <a:solidFill>
                <a:srgbClr val="FF0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'Tổng Quan'!$W$7:$W$26</c:f>
              <c:numCache>
                <c:formatCode>m/d/yyyy</c:formatCode>
                <c:ptCount val="20"/>
                <c:pt idx="0">
                  <c:v>46213</c:v>
                </c:pt>
                <c:pt idx="1">
                  <c:v>46212</c:v>
                </c:pt>
                <c:pt idx="2">
                  <c:v>46211</c:v>
                </c:pt>
                <c:pt idx="3">
                  <c:v>46210</c:v>
                </c:pt>
                <c:pt idx="4">
                  <c:v>46209</c:v>
                </c:pt>
                <c:pt idx="5">
                  <c:v>46206</c:v>
                </c:pt>
                <c:pt idx="6">
                  <c:v>46205</c:v>
                </c:pt>
                <c:pt idx="7">
                  <c:v>46204</c:v>
                </c:pt>
                <c:pt idx="8">
                  <c:v>46203</c:v>
                </c:pt>
                <c:pt idx="9">
                  <c:v>46202</c:v>
                </c:pt>
                <c:pt idx="10">
                  <c:v>46199</c:v>
                </c:pt>
                <c:pt idx="11">
                  <c:v>46198</c:v>
                </c:pt>
                <c:pt idx="12">
                  <c:v>46197</c:v>
                </c:pt>
                <c:pt idx="13">
                  <c:v>46196</c:v>
                </c:pt>
                <c:pt idx="14">
                  <c:v>46195</c:v>
                </c:pt>
                <c:pt idx="15">
                  <c:v>46192</c:v>
                </c:pt>
                <c:pt idx="16">
                  <c:v>46191</c:v>
                </c:pt>
                <c:pt idx="17">
                  <c:v>46190</c:v>
                </c:pt>
                <c:pt idx="18">
                  <c:v>46189</c:v>
                </c:pt>
                <c:pt idx="19">
                  <c:v>46188</c:v>
                </c:pt>
              </c:numCache>
            </c:numRef>
          </c:xVal>
          <c:yVal>
            <c:numRef>
              <c:f>'Tổng Quan'!$X$7:$X$26</c:f>
              <c:numCache>
                <c:formatCode>0.00%</c:formatCode>
                <c:ptCount val="20"/>
                <c:pt idx="0">
                  <c:v>6.5000000000000002E-2</c:v>
                </c:pt>
                <c:pt idx="1">
                  <c:v>7.4299999999999991E-2</c:v>
                </c:pt>
                <c:pt idx="2">
                  <c:v>7.5600000000000001E-2</c:v>
                </c:pt>
                <c:pt idx="3">
                  <c:v>7.4900000000000008E-2</c:v>
                </c:pt>
                <c:pt idx="4">
                  <c:v>7.4900000000000008E-2</c:v>
                </c:pt>
                <c:pt idx="5">
                  <c:v>7.3800000000000004E-2</c:v>
                </c:pt>
                <c:pt idx="6">
                  <c:v>7.8799999999999995E-2</c:v>
                </c:pt>
                <c:pt idx="7">
                  <c:v>7.5700000000000003E-2</c:v>
                </c:pt>
                <c:pt idx="8">
                  <c:v>8.199999999999999E-2</c:v>
                </c:pt>
                <c:pt idx="9">
                  <c:v>8.1500000000000003E-2</c:v>
                </c:pt>
                <c:pt idx="10">
                  <c:v>7.5700000000000003E-2</c:v>
                </c:pt>
                <c:pt idx="11">
                  <c:v>7.8799999999999995E-2</c:v>
                </c:pt>
                <c:pt idx="12">
                  <c:v>7.980000000000001E-2</c:v>
                </c:pt>
                <c:pt idx="13">
                  <c:v>7.8899999999999998E-2</c:v>
                </c:pt>
                <c:pt idx="14">
                  <c:v>8.0500000000000002E-2</c:v>
                </c:pt>
                <c:pt idx="15">
                  <c:v>8.1699999999999995E-2</c:v>
                </c:pt>
                <c:pt idx="16">
                  <c:v>8.2799999999999999E-2</c:v>
                </c:pt>
                <c:pt idx="17">
                  <c:v>7.8799999999999995E-2</c:v>
                </c:pt>
                <c:pt idx="18">
                  <c:v>8.09E-2</c:v>
                </c:pt>
                <c:pt idx="19">
                  <c:v>7.5600000000000001E-2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C8-48E0-AA68-292A46664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552592"/>
        <c:axId val="535553672"/>
      </c:scatterChart>
      <c:valAx>
        <c:axId val="53555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[$-1010000]dd/mm/yy;@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5553672"/>
        <c:crosses val="autoZero"/>
        <c:crossBetween val="midCat"/>
      </c:valAx>
      <c:valAx>
        <c:axId val="535553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5552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'Tổng Quan'!$AB$6</c:f>
              <c:strCache>
                <c:ptCount val="1"/>
                <c:pt idx="0">
                  <c:v> 3 tháng  </c:v>
                </c:pt>
              </c:strCache>
            </c:strRef>
          </c:tx>
          <c:spPr>
            <a:ln w="15875" cap="rnd">
              <a:solidFill>
                <a:srgbClr val="FF0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'Tổng Quan'!$W$7:$W$26</c:f>
              <c:numCache>
                <c:formatCode>m/d/yyyy</c:formatCode>
                <c:ptCount val="20"/>
                <c:pt idx="0">
                  <c:v>46213</c:v>
                </c:pt>
                <c:pt idx="1">
                  <c:v>46212</c:v>
                </c:pt>
                <c:pt idx="2">
                  <c:v>46211</c:v>
                </c:pt>
                <c:pt idx="3">
                  <c:v>46210</c:v>
                </c:pt>
                <c:pt idx="4">
                  <c:v>46209</c:v>
                </c:pt>
                <c:pt idx="5">
                  <c:v>46206</c:v>
                </c:pt>
                <c:pt idx="6">
                  <c:v>46205</c:v>
                </c:pt>
                <c:pt idx="7">
                  <c:v>46204</c:v>
                </c:pt>
                <c:pt idx="8">
                  <c:v>46203</c:v>
                </c:pt>
                <c:pt idx="9">
                  <c:v>46202</c:v>
                </c:pt>
                <c:pt idx="10">
                  <c:v>46199</c:v>
                </c:pt>
                <c:pt idx="11">
                  <c:v>46198</c:v>
                </c:pt>
                <c:pt idx="12">
                  <c:v>46197</c:v>
                </c:pt>
                <c:pt idx="13">
                  <c:v>46196</c:v>
                </c:pt>
                <c:pt idx="14">
                  <c:v>46195</c:v>
                </c:pt>
                <c:pt idx="15">
                  <c:v>46192</c:v>
                </c:pt>
                <c:pt idx="16">
                  <c:v>46191</c:v>
                </c:pt>
                <c:pt idx="17">
                  <c:v>46190</c:v>
                </c:pt>
                <c:pt idx="18">
                  <c:v>46189</c:v>
                </c:pt>
                <c:pt idx="19">
                  <c:v>46188</c:v>
                </c:pt>
              </c:numCache>
            </c:numRef>
          </c:xVal>
          <c:yVal>
            <c:numRef>
              <c:f>'Tổng Quan'!$AB$7:$AB$26</c:f>
              <c:numCache>
                <c:formatCode>0.00%</c:formatCode>
                <c:ptCount val="20"/>
                <c:pt idx="0">
                  <c:v>7.1800000000000003E-2</c:v>
                </c:pt>
                <c:pt idx="1">
                  <c:v>7.8E-2</c:v>
                </c:pt>
                <c:pt idx="2">
                  <c:v>7.7899999999999997E-2</c:v>
                </c:pt>
                <c:pt idx="3">
                  <c:v>0.08</c:v>
                </c:pt>
                <c:pt idx="4">
                  <c:v>7.9699999999999993E-2</c:v>
                </c:pt>
                <c:pt idx="5">
                  <c:v>7.9000000000000001E-2</c:v>
                </c:pt>
                <c:pt idx="6">
                  <c:v>7.6999999999999999E-2</c:v>
                </c:pt>
                <c:pt idx="7">
                  <c:v>7.7600000000000002E-2</c:v>
                </c:pt>
                <c:pt idx="8">
                  <c:v>7.9899999999999999E-2</c:v>
                </c:pt>
                <c:pt idx="9">
                  <c:v>7.46E-2</c:v>
                </c:pt>
                <c:pt idx="10">
                  <c:v>8.1900000000000001E-2</c:v>
                </c:pt>
                <c:pt idx="11">
                  <c:v>7.9000000000000001E-2</c:v>
                </c:pt>
                <c:pt idx="12">
                  <c:v>8.0100000000000005E-2</c:v>
                </c:pt>
                <c:pt idx="13">
                  <c:v>7.7899999999999997E-2</c:v>
                </c:pt>
                <c:pt idx="14">
                  <c:v>7.9399999999999998E-2</c:v>
                </c:pt>
                <c:pt idx="15">
                  <c:v>7.8299999999999995E-2</c:v>
                </c:pt>
                <c:pt idx="16">
                  <c:v>7.8899999999999998E-2</c:v>
                </c:pt>
                <c:pt idx="17">
                  <c:v>7.9699999999999993E-2</c:v>
                </c:pt>
                <c:pt idx="18">
                  <c:v>7.8E-2</c:v>
                </c:pt>
                <c:pt idx="19">
                  <c:v>8.0399999999999985E-2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C9-45C7-B777-ED36DFC251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331264"/>
        <c:axId val="541332344"/>
      </c:scatterChart>
      <c:valAx>
        <c:axId val="541331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[$-1010000]dd/mm/yy;@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41332344"/>
        <c:crosses val="autoZero"/>
        <c:crossBetween val="midCat"/>
      </c:valAx>
      <c:valAx>
        <c:axId val="541332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41331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'Tổng Quan'!$AC$6</c:f>
              <c:strCache>
                <c:ptCount val="1"/>
                <c:pt idx="0">
                  <c:v> 6 tháng  </c:v>
                </c:pt>
              </c:strCache>
            </c:strRef>
          </c:tx>
          <c:spPr>
            <a:ln w="15875" cap="rnd">
              <a:solidFill>
                <a:srgbClr val="FF0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'Tổng Quan'!$W$7:$W$26</c:f>
              <c:numCache>
                <c:formatCode>m/d/yyyy</c:formatCode>
                <c:ptCount val="20"/>
                <c:pt idx="0">
                  <c:v>46213</c:v>
                </c:pt>
                <c:pt idx="1">
                  <c:v>46212</c:v>
                </c:pt>
                <c:pt idx="2">
                  <c:v>46211</c:v>
                </c:pt>
                <c:pt idx="3">
                  <c:v>46210</c:v>
                </c:pt>
                <c:pt idx="4">
                  <c:v>46209</c:v>
                </c:pt>
                <c:pt idx="5">
                  <c:v>46206</c:v>
                </c:pt>
                <c:pt idx="6">
                  <c:v>46205</c:v>
                </c:pt>
                <c:pt idx="7">
                  <c:v>46204</c:v>
                </c:pt>
                <c:pt idx="8">
                  <c:v>46203</c:v>
                </c:pt>
                <c:pt idx="9">
                  <c:v>46202</c:v>
                </c:pt>
                <c:pt idx="10">
                  <c:v>46199</c:v>
                </c:pt>
                <c:pt idx="11">
                  <c:v>46198</c:v>
                </c:pt>
                <c:pt idx="12">
                  <c:v>46197</c:v>
                </c:pt>
                <c:pt idx="13">
                  <c:v>46196</c:v>
                </c:pt>
                <c:pt idx="14">
                  <c:v>46195</c:v>
                </c:pt>
                <c:pt idx="15">
                  <c:v>46192</c:v>
                </c:pt>
                <c:pt idx="16">
                  <c:v>46191</c:v>
                </c:pt>
                <c:pt idx="17">
                  <c:v>46190</c:v>
                </c:pt>
                <c:pt idx="18">
                  <c:v>46189</c:v>
                </c:pt>
                <c:pt idx="19">
                  <c:v>46188</c:v>
                </c:pt>
              </c:numCache>
            </c:numRef>
          </c:xVal>
          <c:yVal>
            <c:numRef>
              <c:f>'Tổng Quan'!$AC$7:$AC$26</c:f>
              <c:numCache>
                <c:formatCode>0.00%</c:formatCode>
                <c:ptCount val="20"/>
                <c:pt idx="0">
                  <c:v>7.2000000000000008E-2</c:v>
                </c:pt>
                <c:pt idx="1">
                  <c:v>8.6400000000000005E-2</c:v>
                </c:pt>
                <c:pt idx="2">
                  <c:v>8.7100000000000011E-2</c:v>
                </c:pt>
                <c:pt idx="3">
                  <c:v>0.09</c:v>
                </c:pt>
                <c:pt idx="4">
                  <c:v>0.09</c:v>
                </c:pt>
                <c:pt idx="5">
                  <c:v>0.09</c:v>
                </c:pt>
                <c:pt idx="6">
                  <c:v>8.6199999999999999E-2</c:v>
                </c:pt>
                <c:pt idx="7">
                  <c:v>8.6199999999999999E-2</c:v>
                </c:pt>
                <c:pt idx="8">
                  <c:v>7.3200000000000001E-2</c:v>
                </c:pt>
                <c:pt idx="9">
                  <c:v>8.5800000000000001E-2</c:v>
                </c:pt>
                <c:pt idx="10">
                  <c:v>8.5999999999999993E-2</c:v>
                </c:pt>
                <c:pt idx="11">
                  <c:v>7.7499999999999999E-2</c:v>
                </c:pt>
                <c:pt idx="12">
                  <c:v>7.9500000000000001E-2</c:v>
                </c:pt>
                <c:pt idx="13">
                  <c:v>0.08</c:v>
                </c:pt>
                <c:pt idx="14">
                  <c:v>0.08</c:v>
                </c:pt>
                <c:pt idx="15">
                  <c:v>7.5700000000000003E-2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7.9199999999999993E-2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FCB-960E-0265C670B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549712"/>
        <c:axId val="535557992"/>
      </c:scatterChart>
      <c:valAx>
        <c:axId val="535549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[$-1010000]dd/mm/yy;@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5557992"/>
        <c:crosses val="autoZero"/>
        <c:crossBetween val="midCat"/>
      </c:valAx>
      <c:valAx>
        <c:axId val="535557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5549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'Tổng Quan'!$AD$6</c:f>
              <c:strCache>
                <c:ptCount val="1"/>
                <c:pt idx="0">
                  <c:v>9 tháng</c:v>
                </c:pt>
              </c:strCache>
            </c:strRef>
          </c:tx>
          <c:spPr>
            <a:ln w="15875" cap="rnd">
              <a:solidFill>
                <a:srgbClr val="FF0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'Tổng Quan'!$W$7:$W$26</c:f>
              <c:numCache>
                <c:formatCode>m/d/yyyy</c:formatCode>
                <c:ptCount val="20"/>
                <c:pt idx="0">
                  <c:v>46213</c:v>
                </c:pt>
                <c:pt idx="1">
                  <c:v>46212</c:v>
                </c:pt>
                <c:pt idx="2">
                  <c:v>46211</c:v>
                </c:pt>
                <c:pt idx="3">
                  <c:v>46210</c:v>
                </c:pt>
                <c:pt idx="4">
                  <c:v>46209</c:v>
                </c:pt>
                <c:pt idx="5">
                  <c:v>46206</c:v>
                </c:pt>
                <c:pt idx="6">
                  <c:v>46205</c:v>
                </c:pt>
                <c:pt idx="7">
                  <c:v>46204</c:v>
                </c:pt>
                <c:pt idx="8">
                  <c:v>46203</c:v>
                </c:pt>
                <c:pt idx="9">
                  <c:v>46202</c:v>
                </c:pt>
                <c:pt idx="10">
                  <c:v>46199</c:v>
                </c:pt>
                <c:pt idx="11">
                  <c:v>46198</c:v>
                </c:pt>
                <c:pt idx="12">
                  <c:v>46197</c:v>
                </c:pt>
                <c:pt idx="13">
                  <c:v>46196</c:v>
                </c:pt>
                <c:pt idx="14">
                  <c:v>46195</c:v>
                </c:pt>
                <c:pt idx="15">
                  <c:v>46192</c:v>
                </c:pt>
                <c:pt idx="16">
                  <c:v>46191</c:v>
                </c:pt>
                <c:pt idx="17">
                  <c:v>46190</c:v>
                </c:pt>
                <c:pt idx="18">
                  <c:v>46189</c:v>
                </c:pt>
                <c:pt idx="19">
                  <c:v>46188</c:v>
                </c:pt>
              </c:numCache>
            </c:numRef>
          </c:xVal>
          <c:yVal>
            <c:numRef>
              <c:f>'Tổng Quan'!$AD$7:$AD$26</c:f>
              <c:numCache>
                <c:formatCode>0.00%</c:formatCode>
                <c:ptCount val="20"/>
                <c:pt idx="0">
                  <c:v>9.2600000000000002E-2</c:v>
                </c:pt>
                <c:pt idx="1">
                  <c:v>9.2600000000000002E-2</c:v>
                </c:pt>
                <c:pt idx="2">
                  <c:v>9.2600000000000002E-2</c:v>
                </c:pt>
                <c:pt idx="3">
                  <c:v>9.2600000000000002E-2</c:v>
                </c:pt>
                <c:pt idx="4">
                  <c:v>9.2600000000000002E-2</c:v>
                </c:pt>
                <c:pt idx="5">
                  <c:v>9.2600000000000002E-2</c:v>
                </c:pt>
                <c:pt idx="6">
                  <c:v>9.2600000000000002E-2</c:v>
                </c:pt>
                <c:pt idx="7">
                  <c:v>9.2600000000000002E-2</c:v>
                </c:pt>
                <c:pt idx="8">
                  <c:v>8.7799999999999989E-2</c:v>
                </c:pt>
                <c:pt idx="9">
                  <c:v>8.7799999999999989E-2</c:v>
                </c:pt>
                <c:pt idx="10">
                  <c:v>8.0600000000000005E-2</c:v>
                </c:pt>
                <c:pt idx="11">
                  <c:v>8.0600000000000005E-2</c:v>
                </c:pt>
                <c:pt idx="12">
                  <c:v>8.0600000000000005E-2</c:v>
                </c:pt>
                <c:pt idx="13">
                  <c:v>8.2299999999999998E-2</c:v>
                </c:pt>
                <c:pt idx="14">
                  <c:v>8.2299999999999998E-2</c:v>
                </c:pt>
                <c:pt idx="15">
                  <c:v>8.2299999999999998E-2</c:v>
                </c:pt>
                <c:pt idx="16">
                  <c:v>8.2299999999999998E-2</c:v>
                </c:pt>
                <c:pt idx="17">
                  <c:v>8.2299999999999998E-2</c:v>
                </c:pt>
                <c:pt idx="18">
                  <c:v>8.2299999999999998E-2</c:v>
                </c:pt>
                <c:pt idx="19">
                  <c:v>8.2299999999999998E-2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454-4135-A51A-D0F78F61A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565552"/>
        <c:axId val="535561952"/>
      </c:scatterChart>
      <c:valAx>
        <c:axId val="535565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[$-1010000]dd/mm/yy;@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5561952"/>
        <c:crosses val="autoZero"/>
        <c:crossBetween val="midCat"/>
      </c:valAx>
      <c:valAx>
        <c:axId val="53556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5565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>
                    <a:lumMod val="95000"/>
                  </a:schemeClr>
                </a:solidFill>
              </a:rPr>
              <a:t>Biểu</a:t>
            </a:r>
            <a:r>
              <a:rPr lang="en-US" b="1" baseline="0">
                <a:solidFill>
                  <a:schemeClr val="bg1">
                    <a:lumMod val="95000"/>
                  </a:schemeClr>
                </a:solidFill>
              </a:rPr>
              <a:t> đồ biến động giá các ngành</a:t>
            </a:r>
            <a:endParaRPr lang="en-US" b="1">
              <a:solidFill>
                <a:schemeClr val="bg1">
                  <a:lumMod val="95000"/>
                </a:schemeClr>
              </a:solidFill>
            </a:endParaRPr>
          </a:p>
        </c:rich>
      </c:tx>
      <c:layout>
        <c:manualLayout>
          <c:xMode val="edge"/>
          <c:yMode val="edge"/>
          <c:x val="0.29932058614841023"/>
          <c:y val="2.80618686868686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007039432104184E-2"/>
          <c:y val="0.12321870640596976"/>
          <c:w val="0.85678625888964766"/>
          <c:h val="0.639934456721507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'Tổng Quan'!$M$37</c:f>
              <c:strCache>
                <c:ptCount val="1"/>
                <c:pt idx="0">
                  <c:v>BĐ giá</c:v>
                </c:pt>
              </c:strCache>
            </c:strRef>
          </c:tx>
          <c:spPr>
            <a:solidFill>
              <a:srgbClr val="008E00">
                <a:alpha val="98431"/>
              </a:srgbClr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vi-V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'Tổng Quan'!$L$38:$L$54</c:f>
              <c:strCache>
                <c:ptCount val="17"/>
                <c:pt idx="0">
                  <c:v>NGÂN HÀNG</c:v>
                </c:pt>
                <c:pt idx="1">
                  <c:v>VINGROUP</c:v>
                </c:pt>
                <c:pt idx="2">
                  <c:v>CHỨNG KHOÁN</c:v>
                </c:pt>
                <c:pt idx="3">
                  <c:v>DẦU - KHÍ ĐỐT</c:v>
                </c:pt>
                <c:pt idx="4">
                  <c:v>CÔNG NGHỆ</c:v>
                </c:pt>
                <c:pt idx="5">
                  <c:v>BẢO HIỂM - DV TÀI CHÍNH</c:v>
                </c:pt>
                <c:pt idx="6">
                  <c:v>BÁN LẺ - Ôtô</c:v>
                </c:pt>
                <c:pt idx="7">
                  <c:v>DỆT MAY</c:v>
                </c:pt>
                <c:pt idx="8">
                  <c:v>NĂNG LƯỢNG - TB ĐIỆN</c:v>
                </c:pt>
                <c:pt idx="9">
                  <c:v>THÉP</c:v>
                </c:pt>
                <c:pt idx="10">
                  <c:v>HÓA CHẤT - NHỰA</c:v>
                </c:pt>
                <c:pt idx="11">
                  <c:v>Y TẾ - DƯỢC</c:v>
                </c:pt>
                <c:pt idx="12">
                  <c:v>BĐS</c:v>
                </c:pt>
                <c:pt idx="13">
                  <c:v>THỰC PHẨM - THỦY SẢN</c:v>
                </c:pt>
                <c:pt idx="14">
                  <c:v>VẬN TẢI</c:v>
                </c:pt>
                <c:pt idx="15">
                  <c:v>VLXD - NỘI THẤT</c:v>
                </c:pt>
                <c:pt idx="16">
                  <c:v>XÂY DỰNG - ĐTC</c:v>
                </c:pt>
              </c:strCache>
            </c:strRef>
          </c:cat>
          <c:val>
            <c:numRef>
              <c:f>'Tổng Quan'!$M$38:$M$54</c:f>
              <c:numCache>
                <c:formatCode>0.00%</c:formatCode>
                <c:ptCount val="17"/>
                <c:pt idx="0">
                  <c:v>6.2999999999999992E-3</c:v>
                </c:pt>
                <c:pt idx="1">
                  <c:v>-1.29E-2</c:v>
                </c:pt>
                <c:pt idx="2">
                  <c:v>5.4499999999999991E-3</c:v>
                </c:pt>
                <c:pt idx="3">
                  <c:v>3.8050000000000007E-2</c:v>
                </c:pt>
                <c:pt idx="4">
                  <c:v>-4.5299999999999993E-3</c:v>
                </c:pt>
                <c:pt idx="5">
                  <c:v>1.7909090909090911E-3</c:v>
                </c:pt>
                <c:pt idx="6">
                  <c:v>1.685E-2</c:v>
                </c:pt>
                <c:pt idx="7">
                  <c:v>-2.1818181818181813E-4</c:v>
                </c:pt>
                <c:pt idx="8">
                  <c:v>3.1312500000000008E-3</c:v>
                </c:pt>
                <c:pt idx="9">
                  <c:v>-8.0111111111111112E-3</c:v>
                </c:pt>
                <c:pt idx="10">
                  <c:v>1.1714285714285714E-2</c:v>
                </c:pt>
                <c:pt idx="11">
                  <c:v>5.4000000000000003E-3</c:v>
                </c:pt>
                <c:pt idx="12">
                  <c:v>2.9619047619047611E-3</c:v>
                </c:pt>
                <c:pt idx="13">
                  <c:v>3.3952380952380948E-3</c:v>
                </c:pt>
                <c:pt idx="14">
                  <c:v>6.3722222222222218E-3</c:v>
                </c:pt>
                <c:pt idx="15">
                  <c:v>-1.6764705882352951E-3</c:v>
                </c:pt>
                <c:pt idx="16">
                  <c:v>4.6545454545454529E-3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0479-47CC-B15B-872711158C4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62483408"/>
        <c:axId val="662484488"/>
      </c:barChart>
      <c:lineChart>
        <c:grouping val="standard"/>
        <c:varyColors val="0"/>
        <c:ser>
          <c:idx val="1"/>
          <c:order val="1"/>
          <c:tx>
            <c:strRef>
              <c:f>'Tổng Quan'!$N$37</c:f>
              <c:strCache>
                <c:ptCount val="1"/>
                <c:pt idx="0">
                  <c:v>KL/TBKL21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'Tổng Quan'!$L$38:$L$54</c:f>
              <c:strCache>
                <c:ptCount val="17"/>
                <c:pt idx="0">
                  <c:v>NGÂN HÀNG</c:v>
                </c:pt>
                <c:pt idx="1">
                  <c:v>VINGROUP</c:v>
                </c:pt>
                <c:pt idx="2">
                  <c:v>CHỨNG KHOÁN</c:v>
                </c:pt>
                <c:pt idx="3">
                  <c:v>DẦU - KHÍ ĐỐT</c:v>
                </c:pt>
                <c:pt idx="4">
                  <c:v>CÔNG NGHỆ</c:v>
                </c:pt>
                <c:pt idx="5">
                  <c:v>BẢO HIỂM - DV TÀI CHÍNH</c:v>
                </c:pt>
                <c:pt idx="6">
                  <c:v>BÁN LẺ - Ôtô</c:v>
                </c:pt>
                <c:pt idx="7">
                  <c:v>DỆT MAY</c:v>
                </c:pt>
                <c:pt idx="8">
                  <c:v>NĂNG LƯỢNG - TB ĐIỆN</c:v>
                </c:pt>
                <c:pt idx="9">
                  <c:v>THÉP</c:v>
                </c:pt>
                <c:pt idx="10">
                  <c:v>HÓA CHẤT - NHỰA</c:v>
                </c:pt>
                <c:pt idx="11">
                  <c:v>Y TẾ - DƯỢC</c:v>
                </c:pt>
                <c:pt idx="12">
                  <c:v>BĐS</c:v>
                </c:pt>
                <c:pt idx="13">
                  <c:v>THỰC PHẨM - THỦY SẢN</c:v>
                </c:pt>
                <c:pt idx="14">
                  <c:v>VẬN TẢI</c:v>
                </c:pt>
                <c:pt idx="15">
                  <c:v>VLXD - NỘI THẤT</c:v>
                </c:pt>
                <c:pt idx="16">
                  <c:v>XÂY DỰNG - ĐTC</c:v>
                </c:pt>
              </c:strCache>
            </c:strRef>
          </c:cat>
          <c:val>
            <c:numRef>
              <c:f>'Tổng Quan'!$N$38:$N$54</c:f>
              <c:numCache>
                <c:formatCode>0.000</c:formatCode>
                <c:ptCount val="17"/>
                <c:pt idx="0">
                  <c:v>0.97610638241678682</c:v>
                </c:pt>
                <c:pt idx="1">
                  <c:v>0.84937769123800111</c:v>
                </c:pt>
                <c:pt idx="2">
                  <c:v>0.65057002990416057</c:v>
                </c:pt>
                <c:pt idx="3">
                  <c:v>1.7706643929901884</c:v>
                </c:pt>
                <c:pt idx="4">
                  <c:v>0.65380361921014474</c:v>
                </c:pt>
                <c:pt idx="5">
                  <c:v>0.85420253311892524</c:v>
                </c:pt>
                <c:pt idx="6">
                  <c:v>0.91124736238784176</c:v>
                </c:pt>
                <c:pt idx="7">
                  <c:v>0.79300602919739471</c:v>
                </c:pt>
                <c:pt idx="8">
                  <c:v>0.81248237796640987</c:v>
                </c:pt>
                <c:pt idx="9">
                  <c:v>1.4041901066309435</c:v>
                </c:pt>
                <c:pt idx="10">
                  <c:v>1.0479929307722398</c:v>
                </c:pt>
                <c:pt idx="11">
                  <c:v>2.1000216743194469</c:v>
                </c:pt>
                <c:pt idx="12">
                  <c:v>0.97276475009240704</c:v>
                </c:pt>
                <c:pt idx="13">
                  <c:v>1.1177338327867608</c:v>
                </c:pt>
                <c:pt idx="14">
                  <c:v>1.2226236264102159</c:v>
                </c:pt>
                <c:pt idx="15">
                  <c:v>1.4173831754858845</c:v>
                </c:pt>
                <c:pt idx="16">
                  <c:v>0.98786990666915253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79-47CC-B15B-872711158C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62472968"/>
        <c:axId val="662491328"/>
      </c:lineChart>
      <c:catAx>
        <c:axId val="662483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174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62484488"/>
        <c:crosses val="autoZero"/>
        <c:auto val="1"/>
        <c:lblAlgn val="ctr"/>
        <c:lblOffset val="100"/>
        <c:tickLblSkip val="1"/>
        <c:noMultiLvlLbl val="0"/>
      </c:catAx>
      <c:valAx>
        <c:axId val="662484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62483408"/>
        <c:crossesAt val="1"/>
        <c:crossBetween val="between"/>
      </c:valAx>
      <c:valAx>
        <c:axId val="662491328"/>
        <c:scaling>
          <c:orientation val="minMax"/>
        </c:scaling>
        <c:delete val="0"/>
        <c:axPos val="r"/>
        <c:numFmt formatCode="0.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62472968"/>
        <c:crosses val="max"/>
        <c:crossBetween val="between"/>
      </c:valAx>
      <c:catAx>
        <c:axId val="6624729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62491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1102739101758528"/>
          <c:y val="1.4337149310245574E-2"/>
          <c:w val="0.25078882317295564"/>
          <c:h val="6.32740639046965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/>
                </a:solidFill>
              </a:rPr>
              <a:t>Tỷ giá trung tâm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'Tổng Quan'!$AH$6</c:f>
              <c:strCache>
                <c:ptCount val="1"/>
                <c:pt idx="0">
                  <c:v>Tỷ giá trung tâm (từ 04/01/2016)</c:v>
                </c:pt>
              </c:strCache>
            </c:strRef>
          </c:tx>
          <c:spPr>
            <a:ln w="19050" cap="rnd">
              <a:solidFill>
                <a:srgbClr val="00CC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00CC00"/>
                </a:solidFill>
              </a:ln>
              <a:effectLst/>
            </c:spPr>
          </c:marker>
          <c:xVal>
            <c:numRef>
              <c:f>'Tổng Quan'!$AF$7:$AF$32</c:f>
              <c:numCache>
                <c:formatCode>m/d/yyyy</c:formatCode>
                <c:ptCount val="26"/>
                <c:pt idx="0">
                  <c:v>46217</c:v>
                </c:pt>
                <c:pt idx="1">
                  <c:v>46216</c:v>
                </c:pt>
                <c:pt idx="2">
                  <c:v>46214</c:v>
                </c:pt>
                <c:pt idx="3">
                  <c:v>46213</c:v>
                </c:pt>
                <c:pt idx="4">
                  <c:v>46212</c:v>
                </c:pt>
                <c:pt idx="5">
                  <c:v>46211</c:v>
                </c:pt>
                <c:pt idx="6">
                  <c:v>46210</c:v>
                </c:pt>
                <c:pt idx="7">
                  <c:v>46209</c:v>
                </c:pt>
                <c:pt idx="8">
                  <c:v>46207</c:v>
                </c:pt>
                <c:pt idx="9">
                  <c:v>46206</c:v>
                </c:pt>
                <c:pt idx="10">
                  <c:v>46205</c:v>
                </c:pt>
                <c:pt idx="11">
                  <c:v>46204</c:v>
                </c:pt>
                <c:pt idx="12">
                  <c:v>46203</c:v>
                </c:pt>
                <c:pt idx="13">
                  <c:v>46202</c:v>
                </c:pt>
                <c:pt idx="14">
                  <c:v>46200</c:v>
                </c:pt>
                <c:pt idx="15">
                  <c:v>46199</c:v>
                </c:pt>
                <c:pt idx="16">
                  <c:v>46198</c:v>
                </c:pt>
                <c:pt idx="17">
                  <c:v>46197</c:v>
                </c:pt>
                <c:pt idx="18">
                  <c:v>46196</c:v>
                </c:pt>
                <c:pt idx="19">
                  <c:v>46195</c:v>
                </c:pt>
                <c:pt idx="20">
                  <c:v>46193</c:v>
                </c:pt>
                <c:pt idx="21">
                  <c:v>46192</c:v>
                </c:pt>
                <c:pt idx="22">
                  <c:v>46190</c:v>
                </c:pt>
                <c:pt idx="23">
                  <c:v>46189</c:v>
                </c:pt>
                <c:pt idx="24">
                  <c:v>46188</c:v>
                </c:pt>
                <c:pt idx="25">
                  <c:v>46186</c:v>
                </c:pt>
              </c:numCache>
            </c:numRef>
          </c:xVal>
          <c:yVal>
            <c:numRef>
              <c:f>'Tổng Quan'!$AH$7:$AH$32</c:f>
              <c:numCache>
                <c:formatCode>#,##0</c:formatCode>
                <c:ptCount val="26"/>
                <c:pt idx="0">
                  <c:v>25225</c:v>
                </c:pt>
                <c:pt idx="1">
                  <c:v>25220</c:v>
                </c:pt>
                <c:pt idx="2">
                  <c:v>25214</c:v>
                </c:pt>
                <c:pt idx="3">
                  <c:v>25214</c:v>
                </c:pt>
                <c:pt idx="4">
                  <c:v>25211</c:v>
                </c:pt>
                <c:pt idx="5">
                  <c:v>25206</c:v>
                </c:pt>
                <c:pt idx="6">
                  <c:v>25202</c:v>
                </c:pt>
                <c:pt idx="7">
                  <c:v>25202</c:v>
                </c:pt>
                <c:pt idx="8">
                  <c:v>25203</c:v>
                </c:pt>
                <c:pt idx="9">
                  <c:v>25203</c:v>
                </c:pt>
                <c:pt idx="10">
                  <c:v>25205</c:v>
                </c:pt>
                <c:pt idx="11">
                  <c:v>25206</c:v>
                </c:pt>
                <c:pt idx="12">
                  <c:v>25206</c:v>
                </c:pt>
                <c:pt idx="13">
                  <c:v>25201</c:v>
                </c:pt>
                <c:pt idx="14">
                  <c:v>25195</c:v>
                </c:pt>
                <c:pt idx="15">
                  <c:v>25195</c:v>
                </c:pt>
                <c:pt idx="16">
                  <c:v>25197</c:v>
                </c:pt>
                <c:pt idx="17">
                  <c:v>25192</c:v>
                </c:pt>
                <c:pt idx="18">
                  <c:v>25189</c:v>
                </c:pt>
                <c:pt idx="19">
                  <c:v>25183</c:v>
                </c:pt>
                <c:pt idx="20">
                  <c:v>25181</c:v>
                </c:pt>
                <c:pt idx="21">
                  <c:v>25181</c:v>
                </c:pt>
                <c:pt idx="22">
                  <c:v>25175</c:v>
                </c:pt>
                <c:pt idx="23">
                  <c:v>25165</c:v>
                </c:pt>
                <c:pt idx="24">
                  <c:v>25165</c:v>
                </c:pt>
                <c:pt idx="25">
                  <c:v>25155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75-4253-A3B3-D9619FE8A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477759"/>
        <c:axId val="425493119"/>
      </c:scatterChart>
      <c:valAx>
        <c:axId val="4254777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25493119"/>
        <c:crosses val="autoZero"/>
        <c:crossBetween val="midCat"/>
      </c:valAx>
      <c:valAx>
        <c:axId val="42549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254777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[THONG_KE_VNINDEX_VN30.xlsm]VN30!PivotTable1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Biểu</a:t>
            </a:r>
            <a:r>
              <a:rPr lang="en-US" sz="1600" b="1" baseline="0">
                <a:solidFill>
                  <a:sysClr val="windowText" lastClr="000000"/>
                </a:solidFill>
              </a:rPr>
              <a:t> đồ biến động VN30</a:t>
            </a:r>
            <a:endParaRPr lang="en-US" sz="16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3884429778457581E-2"/>
          <c:y val="0.12639488409272581"/>
          <c:w val="0.87393316913741825"/>
          <c:h val="0.661381823674918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'VN30'!$B$3</c:f>
              <c:strCache>
                <c:ptCount val="1"/>
                <c:pt idx="0">
                  <c:v>S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'VN30'!$A$4:$A$31</c:f>
              <c:strCache>
                <c:ptCount val="27"/>
                <c:pt idx="0">
                  <c:v>VIC</c:v>
                </c:pt>
                <c:pt idx="1">
                  <c:v>VHM</c:v>
                </c:pt>
                <c:pt idx="2">
                  <c:v>VJC</c:v>
                </c:pt>
                <c:pt idx="3">
                  <c:v>VPB</c:v>
                </c:pt>
                <c:pt idx="4">
                  <c:v>SSI</c:v>
                </c:pt>
                <c:pt idx="5">
                  <c:v>TCB</c:v>
                </c:pt>
                <c:pt idx="6">
                  <c:v>VRE</c:v>
                </c:pt>
                <c:pt idx="7">
                  <c:v>MBB</c:v>
                </c:pt>
                <c:pt idx="8">
                  <c:v>HDB</c:v>
                </c:pt>
                <c:pt idx="9">
                  <c:v>CTG</c:v>
                </c:pt>
                <c:pt idx="10">
                  <c:v>SSB</c:v>
                </c:pt>
                <c:pt idx="11">
                  <c:v>HPG</c:v>
                </c:pt>
                <c:pt idx="12">
                  <c:v>MWG</c:v>
                </c:pt>
                <c:pt idx="13">
                  <c:v>TPB</c:v>
                </c:pt>
                <c:pt idx="14">
                  <c:v>MSN</c:v>
                </c:pt>
                <c:pt idx="15">
                  <c:v>SHB</c:v>
                </c:pt>
                <c:pt idx="16">
                  <c:v>BID</c:v>
                </c:pt>
                <c:pt idx="17">
                  <c:v>FPT</c:v>
                </c:pt>
                <c:pt idx="18">
                  <c:v>VIB</c:v>
                </c:pt>
                <c:pt idx="19">
                  <c:v>VCB</c:v>
                </c:pt>
                <c:pt idx="20">
                  <c:v>VNM</c:v>
                </c:pt>
                <c:pt idx="21">
                  <c:v>SAB</c:v>
                </c:pt>
                <c:pt idx="22">
                  <c:v>ACB</c:v>
                </c:pt>
                <c:pt idx="23">
                  <c:v>STB</c:v>
                </c:pt>
                <c:pt idx="24">
                  <c:v>GVR</c:v>
                </c:pt>
                <c:pt idx="25">
                  <c:v>GAS</c:v>
                </c:pt>
                <c:pt idx="26">
                  <c:v>PLX</c:v>
                </c:pt>
              </c:strCache>
            </c:strRef>
          </c:cat>
          <c:val>
            <c:numRef>
              <c:f>'VN30'!$B$4:$B$31</c:f>
              <c:numCache>
                <c:formatCode>0.0%</c:formatCode>
                <c:ptCount val="27"/>
                <c:pt idx="0">
                  <c:v>-3.8399999999999997E-2</c:v>
                </c:pt>
                <c:pt idx="1">
                  <c:v>-2.9399999999999999E-2</c:v>
                </c:pt>
                <c:pt idx="2">
                  <c:v>-2.3099999999999999E-2</c:v>
                </c:pt>
                <c:pt idx="3">
                  <c:v>-1.7000000000000001E-2</c:v>
                </c:pt>
                <c:pt idx="4">
                  <c:v>-1.5600000000000001E-2</c:v>
                </c:pt>
                <c:pt idx="5">
                  <c:v>-1.55E-2</c:v>
                </c:pt>
                <c:pt idx="6">
                  <c:v>-1.54E-2</c:v>
                </c:pt>
                <c:pt idx="7">
                  <c:v>-1.43E-2</c:v>
                </c:pt>
                <c:pt idx="8">
                  <c:v>-1.3100000000000001E-2</c:v>
                </c:pt>
                <c:pt idx="9">
                  <c:v>-1.23E-2</c:v>
                </c:pt>
                <c:pt idx="10">
                  <c:v>-9.5999999999999992E-3</c:v>
                </c:pt>
                <c:pt idx="11">
                  <c:v>-8.8999999999999999E-3</c:v>
                </c:pt>
                <c:pt idx="12">
                  <c:v>-7.9000000000000008E-3</c:v>
                </c:pt>
                <c:pt idx="13">
                  <c:v>-6.4000000000000003E-3</c:v>
                </c:pt>
                <c:pt idx="14">
                  <c:v>-4.4000000000000003E-3</c:v>
                </c:pt>
                <c:pt idx="15">
                  <c:v>-4.0000000000000001E-3</c:v>
                </c:pt>
                <c:pt idx="16">
                  <c:v>-3.8E-3</c:v>
                </c:pt>
                <c:pt idx="17">
                  <c:v>-2.8000000000000004E-3</c:v>
                </c:pt>
                <c:pt idx="18">
                  <c:v>0</c:v>
                </c:pt>
                <c:pt idx="19">
                  <c:v>3.4000000000000002E-3</c:v>
                </c:pt>
                <c:pt idx="20">
                  <c:v>3.5999999999999999E-3</c:v>
                </c:pt>
                <c:pt idx="21">
                  <c:v>4.3E-3</c:v>
                </c:pt>
                <c:pt idx="22">
                  <c:v>6.7000000000000002E-3</c:v>
                </c:pt>
                <c:pt idx="23">
                  <c:v>2.4799999999999999E-2</c:v>
                </c:pt>
                <c:pt idx="24">
                  <c:v>2.7099999999999999E-2</c:v>
                </c:pt>
                <c:pt idx="25">
                  <c:v>3.4500000000000003E-2</c:v>
                </c:pt>
                <c:pt idx="26">
                  <c:v>3.5200000000000002E-2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762A-4877-B0A1-3924F7CBF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axId val="568215736"/>
        <c:axId val="568217896"/>
      </c:barChart>
      <c:lineChart>
        <c:grouping val="standard"/>
        <c:varyColors val="0"/>
        <c:ser>
          <c:idx val="1"/>
          <c:order val="1"/>
          <c:tx>
            <c:strRef>
              <c:f>'VN30'!$C$3</c:f>
              <c:strCache>
                <c:ptCount val="1"/>
                <c:pt idx="0">
                  <c:v>KL/KLTB21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'VN30'!$A$4:$A$31</c:f>
              <c:strCache>
                <c:ptCount val="27"/>
                <c:pt idx="0">
                  <c:v>VIC</c:v>
                </c:pt>
                <c:pt idx="1">
                  <c:v>VHM</c:v>
                </c:pt>
                <c:pt idx="2">
                  <c:v>VJC</c:v>
                </c:pt>
                <c:pt idx="3">
                  <c:v>VPB</c:v>
                </c:pt>
                <c:pt idx="4">
                  <c:v>SSI</c:v>
                </c:pt>
                <c:pt idx="5">
                  <c:v>TCB</c:v>
                </c:pt>
                <c:pt idx="6">
                  <c:v>VRE</c:v>
                </c:pt>
                <c:pt idx="7">
                  <c:v>MBB</c:v>
                </c:pt>
                <c:pt idx="8">
                  <c:v>HDB</c:v>
                </c:pt>
                <c:pt idx="9">
                  <c:v>CTG</c:v>
                </c:pt>
                <c:pt idx="10">
                  <c:v>SSB</c:v>
                </c:pt>
                <c:pt idx="11">
                  <c:v>HPG</c:v>
                </c:pt>
                <c:pt idx="12">
                  <c:v>MWG</c:v>
                </c:pt>
                <c:pt idx="13">
                  <c:v>TPB</c:v>
                </c:pt>
                <c:pt idx="14">
                  <c:v>MSN</c:v>
                </c:pt>
                <c:pt idx="15">
                  <c:v>SHB</c:v>
                </c:pt>
                <c:pt idx="16">
                  <c:v>BID</c:v>
                </c:pt>
                <c:pt idx="17">
                  <c:v>FPT</c:v>
                </c:pt>
                <c:pt idx="18">
                  <c:v>VIB</c:v>
                </c:pt>
                <c:pt idx="19">
                  <c:v>VCB</c:v>
                </c:pt>
                <c:pt idx="20">
                  <c:v>VNM</c:v>
                </c:pt>
                <c:pt idx="21">
                  <c:v>SAB</c:v>
                </c:pt>
                <c:pt idx="22">
                  <c:v>ACB</c:v>
                </c:pt>
                <c:pt idx="23">
                  <c:v>STB</c:v>
                </c:pt>
                <c:pt idx="24">
                  <c:v>GVR</c:v>
                </c:pt>
                <c:pt idx="25">
                  <c:v>GAS</c:v>
                </c:pt>
                <c:pt idx="26">
                  <c:v>PLX</c:v>
                </c:pt>
              </c:strCache>
            </c:strRef>
          </c:cat>
          <c:val>
            <c:numRef>
              <c:f>'VN30'!$C$4:$C$31</c:f>
              <c:numCache>
                <c:formatCode>0.000</c:formatCode>
                <c:ptCount val="27"/>
                <c:pt idx="0">
                  <c:v>0.2934706083366842</c:v>
                </c:pt>
                <c:pt idx="1">
                  <c:v>0.40009832016160113</c:v>
                </c:pt>
                <c:pt idx="2">
                  <c:v>0.48696236762894968</c:v>
                </c:pt>
                <c:pt idx="3">
                  <c:v>0.41846453283607277</c:v>
                </c:pt>
                <c:pt idx="4">
                  <c:v>0.62712493552946413</c:v>
                </c:pt>
                <c:pt idx="5">
                  <c:v>0.28672985781990523</c:v>
                </c:pt>
                <c:pt idx="6">
                  <c:v>0.29391432043698934</c:v>
                </c:pt>
                <c:pt idx="7">
                  <c:v>0.41476746209342708</c:v>
                </c:pt>
                <c:pt idx="8">
                  <c:v>0.33628938373234524</c:v>
                </c:pt>
                <c:pt idx="9">
                  <c:v>0.91267299932803536</c:v>
                </c:pt>
                <c:pt idx="10">
                  <c:v>0.38561452214028979</c:v>
                </c:pt>
                <c:pt idx="11">
                  <c:v>0.70020562229506278</c:v>
                </c:pt>
                <c:pt idx="12">
                  <c:v>0.40105787436744117</c:v>
                </c:pt>
                <c:pt idx="13">
                  <c:v>0.30067539663354981</c:v>
                </c:pt>
                <c:pt idx="14">
                  <c:v>0.31107577149280946</c:v>
                </c:pt>
                <c:pt idx="15">
                  <c:v>0.41338369493821869</c:v>
                </c:pt>
                <c:pt idx="16">
                  <c:v>0.44804437566277988</c:v>
                </c:pt>
                <c:pt idx="17">
                  <c:v>0.45675143626210279</c:v>
                </c:pt>
                <c:pt idx="18">
                  <c:v>0.29869489681208561</c:v>
                </c:pt>
                <c:pt idx="19">
                  <c:v>0.45847017376246491</c:v>
                </c:pt>
                <c:pt idx="20">
                  <c:v>0.31573446450228648</c:v>
                </c:pt>
                <c:pt idx="21">
                  <c:v>0.38187130195674057</c:v>
                </c:pt>
                <c:pt idx="22">
                  <c:v>0.51973405007780449</c:v>
                </c:pt>
                <c:pt idx="23">
                  <c:v>0.54589518794773706</c:v>
                </c:pt>
                <c:pt idx="24">
                  <c:v>0.55288715348679685</c:v>
                </c:pt>
                <c:pt idx="25">
                  <c:v>1.1216593064749909</c:v>
                </c:pt>
                <c:pt idx="26">
                  <c:v>1.0839100402232751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2A-4877-B0A1-3924F7CBF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972584"/>
        <c:axId val="511967544"/>
      </c:lineChart>
      <c:catAx>
        <c:axId val="568215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68217896"/>
        <c:crosses val="autoZero"/>
        <c:auto val="1"/>
        <c:lblAlgn val="ctr"/>
        <c:lblOffset val="100"/>
        <c:noMultiLvlLbl val="0"/>
      </c:catAx>
      <c:valAx>
        <c:axId val="568217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68215736"/>
        <c:crosses val="autoZero"/>
        <c:crossBetween val="between"/>
      </c:valAx>
      <c:valAx>
        <c:axId val="511967544"/>
        <c:scaling>
          <c:orientation val="minMax"/>
        </c:scaling>
        <c:delete val="0"/>
        <c:axPos val="r"/>
        <c:numFmt formatCode="0.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11972584"/>
        <c:crosses val="max"/>
        <c:crossBetween val="between"/>
      </c:valAx>
      <c:catAx>
        <c:axId val="511972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19675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341712848120419"/>
          <c:y val="0.917486942719272"/>
          <c:w val="0.70815987558958537"/>
          <c:h val="6.25305599837111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[THONG_KE_VNINDEX_VN30.xlsm]VN100!PivotTable1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Biểu</a:t>
            </a:r>
            <a:r>
              <a:rPr lang="en-US" sz="1600" b="1" baseline="0">
                <a:solidFill>
                  <a:sysClr val="windowText" lastClr="000000"/>
                </a:solidFill>
              </a:rPr>
              <a:t> đồ biến động VN100</a:t>
            </a:r>
            <a:endParaRPr lang="en-US" sz="16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3884429778457581E-2"/>
          <c:y val="0.12639488409272581"/>
          <c:w val="0.87393316913741825"/>
          <c:h val="0.661381823674918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'VN100'!$B$3</c:f>
              <c:strCache>
                <c:ptCount val="1"/>
                <c:pt idx="0">
                  <c:v>S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'VN100'!$A$4:$A$102</c:f>
              <c:strCache>
                <c:ptCount val="98"/>
                <c:pt idx="0">
                  <c:v>VIC</c:v>
                </c:pt>
                <c:pt idx="1">
                  <c:v>VHM</c:v>
                </c:pt>
                <c:pt idx="2">
                  <c:v>VJC</c:v>
                </c:pt>
                <c:pt idx="3">
                  <c:v>CTR</c:v>
                </c:pt>
                <c:pt idx="4">
                  <c:v>SJS</c:v>
                </c:pt>
                <c:pt idx="5">
                  <c:v>HAG</c:v>
                </c:pt>
                <c:pt idx="6">
                  <c:v>VPB</c:v>
                </c:pt>
                <c:pt idx="7">
                  <c:v>DIG</c:v>
                </c:pt>
                <c:pt idx="8">
                  <c:v>SSI</c:v>
                </c:pt>
                <c:pt idx="9">
                  <c:v>TCB</c:v>
                </c:pt>
                <c:pt idx="10">
                  <c:v>VRE</c:v>
                </c:pt>
                <c:pt idx="11">
                  <c:v>KDH</c:v>
                </c:pt>
                <c:pt idx="12">
                  <c:v>CMG</c:v>
                </c:pt>
                <c:pt idx="13">
                  <c:v>CTS</c:v>
                </c:pt>
                <c:pt idx="14">
                  <c:v>HCM</c:v>
                </c:pt>
                <c:pt idx="15">
                  <c:v>PDR</c:v>
                </c:pt>
                <c:pt idx="16">
                  <c:v>MBB</c:v>
                </c:pt>
                <c:pt idx="17">
                  <c:v>HDC</c:v>
                </c:pt>
                <c:pt idx="18">
                  <c:v>FTS</c:v>
                </c:pt>
                <c:pt idx="19">
                  <c:v>HDB</c:v>
                </c:pt>
                <c:pt idx="20">
                  <c:v>KOS</c:v>
                </c:pt>
                <c:pt idx="21">
                  <c:v>IMP</c:v>
                </c:pt>
                <c:pt idx="22">
                  <c:v>CTG</c:v>
                </c:pt>
                <c:pt idx="23">
                  <c:v>NLG</c:v>
                </c:pt>
                <c:pt idx="24">
                  <c:v>CTD</c:v>
                </c:pt>
                <c:pt idx="25">
                  <c:v>PC1</c:v>
                </c:pt>
                <c:pt idx="26">
                  <c:v>VPI</c:v>
                </c:pt>
                <c:pt idx="27">
                  <c:v>VTP</c:v>
                </c:pt>
                <c:pt idx="28">
                  <c:v>SSB</c:v>
                </c:pt>
                <c:pt idx="29">
                  <c:v>PAN</c:v>
                </c:pt>
                <c:pt idx="30">
                  <c:v>HPG</c:v>
                </c:pt>
                <c:pt idx="31">
                  <c:v>VND</c:v>
                </c:pt>
                <c:pt idx="32">
                  <c:v>ANV</c:v>
                </c:pt>
                <c:pt idx="33">
                  <c:v>MWG</c:v>
                </c:pt>
                <c:pt idx="34">
                  <c:v>FRT</c:v>
                </c:pt>
                <c:pt idx="35">
                  <c:v>KBC</c:v>
                </c:pt>
                <c:pt idx="36">
                  <c:v>PTB</c:v>
                </c:pt>
                <c:pt idx="37">
                  <c:v>TPB</c:v>
                </c:pt>
                <c:pt idx="38">
                  <c:v>SCS</c:v>
                </c:pt>
                <c:pt idx="39">
                  <c:v>LPB</c:v>
                </c:pt>
                <c:pt idx="40">
                  <c:v>PPC</c:v>
                </c:pt>
                <c:pt idx="41">
                  <c:v>SZC</c:v>
                </c:pt>
                <c:pt idx="42">
                  <c:v>HHV</c:v>
                </c:pt>
                <c:pt idx="43">
                  <c:v>SBT</c:v>
                </c:pt>
                <c:pt idx="44">
                  <c:v>OCB</c:v>
                </c:pt>
                <c:pt idx="45">
                  <c:v>MSN</c:v>
                </c:pt>
                <c:pt idx="46">
                  <c:v>NKG</c:v>
                </c:pt>
                <c:pt idx="47">
                  <c:v>DXG</c:v>
                </c:pt>
                <c:pt idx="48">
                  <c:v>SHB</c:v>
                </c:pt>
                <c:pt idx="49">
                  <c:v>DGW</c:v>
                </c:pt>
                <c:pt idx="50">
                  <c:v>BID</c:v>
                </c:pt>
                <c:pt idx="51">
                  <c:v>DXS</c:v>
                </c:pt>
                <c:pt idx="52">
                  <c:v>FPT</c:v>
                </c:pt>
                <c:pt idx="53">
                  <c:v>DGC</c:v>
                </c:pt>
                <c:pt idx="54">
                  <c:v>REE</c:v>
                </c:pt>
                <c:pt idx="55">
                  <c:v>VIB</c:v>
                </c:pt>
                <c:pt idx="56">
                  <c:v>HT1</c:v>
                </c:pt>
                <c:pt idx="57">
                  <c:v>BWE</c:v>
                </c:pt>
                <c:pt idx="58">
                  <c:v>DSE</c:v>
                </c:pt>
                <c:pt idx="59">
                  <c:v>MSB</c:v>
                </c:pt>
                <c:pt idx="60">
                  <c:v>EVF</c:v>
                </c:pt>
                <c:pt idx="61">
                  <c:v>NT2</c:v>
                </c:pt>
                <c:pt idx="62">
                  <c:v>KDC</c:v>
                </c:pt>
                <c:pt idx="63">
                  <c:v>VCG</c:v>
                </c:pt>
                <c:pt idx="64">
                  <c:v>SIP</c:v>
                </c:pt>
                <c:pt idx="65">
                  <c:v>EIB</c:v>
                </c:pt>
                <c:pt idx="66">
                  <c:v>CII</c:v>
                </c:pt>
                <c:pt idx="67">
                  <c:v>TLG</c:v>
                </c:pt>
                <c:pt idx="68">
                  <c:v>VIX</c:v>
                </c:pt>
                <c:pt idx="69">
                  <c:v>VCB</c:v>
                </c:pt>
                <c:pt idx="70">
                  <c:v>VHC</c:v>
                </c:pt>
                <c:pt idx="71">
                  <c:v>VNM</c:v>
                </c:pt>
                <c:pt idx="72">
                  <c:v>TCH</c:v>
                </c:pt>
                <c:pt idx="73">
                  <c:v>POW</c:v>
                </c:pt>
                <c:pt idx="74">
                  <c:v>NAB</c:v>
                </c:pt>
                <c:pt idx="75">
                  <c:v>SAB</c:v>
                </c:pt>
                <c:pt idx="76">
                  <c:v>HDG</c:v>
                </c:pt>
                <c:pt idx="77">
                  <c:v>DBC</c:v>
                </c:pt>
                <c:pt idx="78">
                  <c:v>BSI</c:v>
                </c:pt>
                <c:pt idx="79">
                  <c:v>PHR</c:v>
                </c:pt>
                <c:pt idx="80">
                  <c:v>ACB</c:v>
                </c:pt>
                <c:pt idx="81">
                  <c:v>BCM</c:v>
                </c:pt>
                <c:pt idx="82">
                  <c:v>HSG</c:v>
                </c:pt>
                <c:pt idx="83">
                  <c:v>GEX</c:v>
                </c:pt>
                <c:pt idx="84">
                  <c:v>GEE</c:v>
                </c:pt>
                <c:pt idx="85">
                  <c:v>VSC</c:v>
                </c:pt>
                <c:pt idx="86">
                  <c:v>BMP</c:v>
                </c:pt>
                <c:pt idx="87">
                  <c:v>BVH</c:v>
                </c:pt>
                <c:pt idx="88">
                  <c:v>GMD</c:v>
                </c:pt>
                <c:pt idx="89">
                  <c:v>PVT</c:v>
                </c:pt>
                <c:pt idx="90">
                  <c:v>STB</c:v>
                </c:pt>
                <c:pt idx="91">
                  <c:v>GVR</c:v>
                </c:pt>
                <c:pt idx="92">
                  <c:v>DCM</c:v>
                </c:pt>
                <c:pt idx="93">
                  <c:v>DPM</c:v>
                </c:pt>
                <c:pt idx="94">
                  <c:v>PNJ</c:v>
                </c:pt>
                <c:pt idx="95">
                  <c:v>GAS</c:v>
                </c:pt>
                <c:pt idx="96">
                  <c:v>PLX</c:v>
                </c:pt>
                <c:pt idx="97">
                  <c:v>PVD</c:v>
                </c:pt>
              </c:strCache>
            </c:strRef>
          </c:cat>
          <c:val>
            <c:numRef>
              <c:f>'VN100'!$B$4:$B$102</c:f>
              <c:numCache>
                <c:formatCode>0.0%</c:formatCode>
                <c:ptCount val="98"/>
                <c:pt idx="0">
                  <c:v>-3.8399999999999997E-2</c:v>
                </c:pt>
                <c:pt idx="1">
                  <c:v>-2.9399999999999999E-2</c:v>
                </c:pt>
                <c:pt idx="2">
                  <c:v>-2.3099999999999999E-2</c:v>
                </c:pt>
                <c:pt idx="3">
                  <c:v>-2.3E-2</c:v>
                </c:pt>
                <c:pt idx="4">
                  <c:v>-1.78E-2</c:v>
                </c:pt>
                <c:pt idx="5">
                  <c:v>-1.7100000000000001E-2</c:v>
                </c:pt>
                <c:pt idx="6">
                  <c:v>-1.7000000000000001E-2</c:v>
                </c:pt>
                <c:pt idx="7">
                  <c:v>-1.5800000000000002E-2</c:v>
                </c:pt>
                <c:pt idx="8">
                  <c:v>-1.5600000000000001E-2</c:v>
                </c:pt>
                <c:pt idx="9">
                  <c:v>-1.55E-2</c:v>
                </c:pt>
                <c:pt idx="10">
                  <c:v>-1.54E-2</c:v>
                </c:pt>
                <c:pt idx="11">
                  <c:v>-1.52E-2</c:v>
                </c:pt>
                <c:pt idx="12">
                  <c:v>-1.5100000000000001E-2</c:v>
                </c:pt>
                <c:pt idx="13">
                  <c:v>-1.49E-2</c:v>
                </c:pt>
                <c:pt idx="14">
                  <c:v>-1.4499999999999999E-2</c:v>
                </c:pt>
                <c:pt idx="15">
                  <c:v>-1.4499999999999999E-2</c:v>
                </c:pt>
                <c:pt idx="16">
                  <c:v>-1.43E-2</c:v>
                </c:pt>
                <c:pt idx="17">
                  <c:v>-1.3899999999999999E-2</c:v>
                </c:pt>
                <c:pt idx="18">
                  <c:v>-1.3600000000000001E-2</c:v>
                </c:pt>
                <c:pt idx="19">
                  <c:v>-1.3100000000000001E-2</c:v>
                </c:pt>
                <c:pt idx="20">
                  <c:v>-1.3100000000000001E-2</c:v>
                </c:pt>
                <c:pt idx="21">
                  <c:v>-1.26E-2</c:v>
                </c:pt>
                <c:pt idx="22">
                  <c:v>-1.23E-2</c:v>
                </c:pt>
                <c:pt idx="23">
                  <c:v>-1.18E-2</c:v>
                </c:pt>
                <c:pt idx="24">
                  <c:v>-1.18E-2</c:v>
                </c:pt>
                <c:pt idx="25">
                  <c:v>-1.18E-2</c:v>
                </c:pt>
                <c:pt idx="26">
                  <c:v>-1.15E-2</c:v>
                </c:pt>
                <c:pt idx="27">
                  <c:v>-9.8999999999999991E-3</c:v>
                </c:pt>
                <c:pt idx="28">
                  <c:v>-9.5999999999999992E-3</c:v>
                </c:pt>
                <c:pt idx="29">
                  <c:v>-9.1999999999999998E-3</c:v>
                </c:pt>
                <c:pt idx="30">
                  <c:v>-8.8999999999999999E-3</c:v>
                </c:pt>
                <c:pt idx="31">
                  <c:v>-8.6E-3</c:v>
                </c:pt>
                <c:pt idx="32">
                  <c:v>-8.0000000000000002E-3</c:v>
                </c:pt>
                <c:pt idx="33">
                  <c:v>-7.9000000000000008E-3</c:v>
                </c:pt>
                <c:pt idx="34">
                  <c:v>-7.9000000000000008E-3</c:v>
                </c:pt>
                <c:pt idx="35">
                  <c:v>-7.0999999999999995E-3</c:v>
                </c:pt>
                <c:pt idx="36">
                  <c:v>-6.8999999999999999E-3</c:v>
                </c:pt>
                <c:pt idx="37">
                  <c:v>-6.4000000000000003E-3</c:v>
                </c:pt>
                <c:pt idx="38">
                  <c:v>-6.1999999999999998E-3</c:v>
                </c:pt>
                <c:pt idx="39">
                  <c:v>-5.7999999999999996E-3</c:v>
                </c:pt>
                <c:pt idx="40">
                  <c:v>-5.5000000000000005E-3</c:v>
                </c:pt>
                <c:pt idx="41">
                  <c:v>-4.8999999999999998E-3</c:v>
                </c:pt>
                <c:pt idx="42">
                  <c:v>-4.7999999999999996E-3</c:v>
                </c:pt>
                <c:pt idx="43">
                  <c:v>-4.6999999999999993E-3</c:v>
                </c:pt>
                <c:pt idx="44">
                  <c:v>-4.5999999999999999E-3</c:v>
                </c:pt>
                <c:pt idx="45">
                  <c:v>-4.4000000000000003E-3</c:v>
                </c:pt>
                <c:pt idx="46">
                  <c:v>-4.3E-3</c:v>
                </c:pt>
                <c:pt idx="47">
                  <c:v>-4.0999999999999995E-3</c:v>
                </c:pt>
                <c:pt idx="48">
                  <c:v>-4.0000000000000001E-3</c:v>
                </c:pt>
                <c:pt idx="49">
                  <c:v>-3.9000000000000003E-3</c:v>
                </c:pt>
                <c:pt idx="50">
                  <c:v>-3.8E-3</c:v>
                </c:pt>
                <c:pt idx="51">
                  <c:v>-2.8999999999999998E-3</c:v>
                </c:pt>
                <c:pt idx="52">
                  <c:v>-2.8000000000000004E-3</c:v>
                </c:pt>
                <c:pt idx="53">
                  <c:v>-2.2000000000000001E-3</c:v>
                </c:pt>
                <c:pt idx="54">
                  <c:v>-1.1000000000000001E-3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5.0000000000000001E-4</c:v>
                </c:pt>
                <c:pt idx="64">
                  <c:v>1E-3</c:v>
                </c:pt>
                <c:pt idx="65">
                  <c:v>2.5999999999999999E-3</c:v>
                </c:pt>
                <c:pt idx="66">
                  <c:v>3.0999999999999999E-3</c:v>
                </c:pt>
                <c:pt idx="67">
                  <c:v>3.0999999999999999E-3</c:v>
                </c:pt>
                <c:pt idx="68">
                  <c:v>3.4000000000000002E-3</c:v>
                </c:pt>
                <c:pt idx="69">
                  <c:v>3.4000000000000002E-3</c:v>
                </c:pt>
                <c:pt idx="70">
                  <c:v>3.4999999999999996E-3</c:v>
                </c:pt>
                <c:pt idx="71">
                  <c:v>3.5999999999999999E-3</c:v>
                </c:pt>
                <c:pt idx="72">
                  <c:v>3.5999999999999999E-3</c:v>
                </c:pt>
                <c:pt idx="73">
                  <c:v>3.5999999999999999E-3</c:v>
                </c:pt>
                <c:pt idx="74">
                  <c:v>3.9000000000000003E-3</c:v>
                </c:pt>
                <c:pt idx="75">
                  <c:v>4.3E-3</c:v>
                </c:pt>
                <c:pt idx="76">
                  <c:v>5.3E-3</c:v>
                </c:pt>
                <c:pt idx="77">
                  <c:v>5.8999999999999999E-3</c:v>
                </c:pt>
                <c:pt idx="78">
                  <c:v>6.0999999999999995E-3</c:v>
                </c:pt>
                <c:pt idx="79">
                  <c:v>6.5000000000000006E-3</c:v>
                </c:pt>
                <c:pt idx="80">
                  <c:v>6.7000000000000002E-3</c:v>
                </c:pt>
                <c:pt idx="81">
                  <c:v>8.6999999999999994E-3</c:v>
                </c:pt>
                <c:pt idx="82">
                  <c:v>8.8999999999999999E-3</c:v>
                </c:pt>
                <c:pt idx="83">
                  <c:v>9.5999999999999992E-3</c:v>
                </c:pt>
                <c:pt idx="84">
                  <c:v>0.01</c:v>
                </c:pt>
                <c:pt idx="85">
                  <c:v>1.29E-2</c:v>
                </c:pt>
                <c:pt idx="86">
                  <c:v>1.4800000000000001E-2</c:v>
                </c:pt>
                <c:pt idx="87">
                  <c:v>2.0899999999999998E-2</c:v>
                </c:pt>
                <c:pt idx="88">
                  <c:v>2.12E-2</c:v>
                </c:pt>
                <c:pt idx="89">
                  <c:v>2.3700000000000002E-2</c:v>
                </c:pt>
                <c:pt idx="90">
                  <c:v>2.4799999999999999E-2</c:v>
                </c:pt>
                <c:pt idx="91">
                  <c:v>2.7099999999999999E-2</c:v>
                </c:pt>
                <c:pt idx="92">
                  <c:v>2.76E-2</c:v>
                </c:pt>
                <c:pt idx="93">
                  <c:v>3.2099999999999997E-2</c:v>
                </c:pt>
                <c:pt idx="94">
                  <c:v>3.4200000000000001E-2</c:v>
                </c:pt>
                <c:pt idx="95">
                  <c:v>3.4500000000000003E-2</c:v>
                </c:pt>
                <c:pt idx="96">
                  <c:v>3.5200000000000002E-2</c:v>
                </c:pt>
                <c:pt idx="97">
                  <c:v>6.9599999999999995E-2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0D71-426A-9ACB-ACA535EFB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axId val="568215736"/>
        <c:axId val="568217896"/>
      </c:barChart>
      <c:lineChart>
        <c:grouping val="standard"/>
        <c:varyColors val="0"/>
        <c:ser>
          <c:idx val="1"/>
          <c:order val="1"/>
          <c:tx>
            <c:strRef>
              <c:f>'VN100'!$C$3</c:f>
              <c:strCache>
                <c:ptCount val="1"/>
                <c:pt idx="0">
                  <c:v>KL/KLTB21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'VN100'!$A$4:$A$102</c:f>
              <c:strCache>
                <c:ptCount val="98"/>
                <c:pt idx="0">
                  <c:v>VIC</c:v>
                </c:pt>
                <c:pt idx="1">
                  <c:v>VHM</c:v>
                </c:pt>
                <c:pt idx="2">
                  <c:v>VJC</c:v>
                </c:pt>
                <c:pt idx="3">
                  <c:v>CTR</c:v>
                </c:pt>
                <c:pt idx="4">
                  <c:v>SJS</c:v>
                </c:pt>
                <c:pt idx="5">
                  <c:v>HAG</c:v>
                </c:pt>
                <c:pt idx="6">
                  <c:v>VPB</c:v>
                </c:pt>
                <c:pt idx="7">
                  <c:v>DIG</c:v>
                </c:pt>
                <c:pt idx="8">
                  <c:v>SSI</c:v>
                </c:pt>
                <c:pt idx="9">
                  <c:v>TCB</c:v>
                </c:pt>
                <c:pt idx="10">
                  <c:v>VRE</c:v>
                </c:pt>
                <c:pt idx="11">
                  <c:v>KDH</c:v>
                </c:pt>
                <c:pt idx="12">
                  <c:v>CMG</c:v>
                </c:pt>
                <c:pt idx="13">
                  <c:v>CTS</c:v>
                </c:pt>
                <c:pt idx="14">
                  <c:v>HCM</c:v>
                </c:pt>
                <c:pt idx="15">
                  <c:v>PDR</c:v>
                </c:pt>
                <c:pt idx="16">
                  <c:v>MBB</c:v>
                </c:pt>
                <c:pt idx="17">
                  <c:v>HDC</c:v>
                </c:pt>
                <c:pt idx="18">
                  <c:v>FTS</c:v>
                </c:pt>
                <c:pt idx="19">
                  <c:v>HDB</c:v>
                </c:pt>
                <c:pt idx="20">
                  <c:v>KOS</c:v>
                </c:pt>
                <c:pt idx="21">
                  <c:v>IMP</c:v>
                </c:pt>
                <c:pt idx="22">
                  <c:v>CTG</c:v>
                </c:pt>
                <c:pt idx="23">
                  <c:v>NLG</c:v>
                </c:pt>
                <c:pt idx="24">
                  <c:v>CTD</c:v>
                </c:pt>
                <c:pt idx="25">
                  <c:v>PC1</c:v>
                </c:pt>
                <c:pt idx="26">
                  <c:v>VPI</c:v>
                </c:pt>
                <c:pt idx="27">
                  <c:v>VTP</c:v>
                </c:pt>
                <c:pt idx="28">
                  <c:v>SSB</c:v>
                </c:pt>
                <c:pt idx="29">
                  <c:v>PAN</c:v>
                </c:pt>
                <c:pt idx="30">
                  <c:v>HPG</c:v>
                </c:pt>
                <c:pt idx="31">
                  <c:v>VND</c:v>
                </c:pt>
                <c:pt idx="32">
                  <c:v>ANV</c:v>
                </c:pt>
                <c:pt idx="33">
                  <c:v>MWG</c:v>
                </c:pt>
                <c:pt idx="34">
                  <c:v>FRT</c:v>
                </c:pt>
                <c:pt idx="35">
                  <c:v>KBC</c:v>
                </c:pt>
                <c:pt idx="36">
                  <c:v>PTB</c:v>
                </c:pt>
                <c:pt idx="37">
                  <c:v>TPB</c:v>
                </c:pt>
                <c:pt idx="38">
                  <c:v>SCS</c:v>
                </c:pt>
                <c:pt idx="39">
                  <c:v>LPB</c:v>
                </c:pt>
                <c:pt idx="40">
                  <c:v>PPC</c:v>
                </c:pt>
                <c:pt idx="41">
                  <c:v>SZC</c:v>
                </c:pt>
                <c:pt idx="42">
                  <c:v>HHV</c:v>
                </c:pt>
                <c:pt idx="43">
                  <c:v>SBT</c:v>
                </c:pt>
                <c:pt idx="44">
                  <c:v>OCB</c:v>
                </c:pt>
                <c:pt idx="45">
                  <c:v>MSN</c:v>
                </c:pt>
                <c:pt idx="46">
                  <c:v>NKG</c:v>
                </c:pt>
                <c:pt idx="47">
                  <c:v>DXG</c:v>
                </c:pt>
                <c:pt idx="48">
                  <c:v>SHB</c:v>
                </c:pt>
                <c:pt idx="49">
                  <c:v>DGW</c:v>
                </c:pt>
                <c:pt idx="50">
                  <c:v>BID</c:v>
                </c:pt>
                <c:pt idx="51">
                  <c:v>DXS</c:v>
                </c:pt>
                <c:pt idx="52">
                  <c:v>FPT</c:v>
                </c:pt>
                <c:pt idx="53">
                  <c:v>DGC</c:v>
                </c:pt>
                <c:pt idx="54">
                  <c:v>REE</c:v>
                </c:pt>
                <c:pt idx="55">
                  <c:v>VIB</c:v>
                </c:pt>
                <c:pt idx="56">
                  <c:v>HT1</c:v>
                </c:pt>
                <c:pt idx="57">
                  <c:v>BWE</c:v>
                </c:pt>
                <c:pt idx="58">
                  <c:v>DSE</c:v>
                </c:pt>
                <c:pt idx="59">
                  <c:v>MSB</c:v>
                </c:pt>
                <c:pt idx="60">
                  <c:v>EVF</c:v>
                </c:pt>
                <c:pt idx="61">
                  <c:v>NT2</c:v>
                </c:pt>
                <c:pt idx="62">
                  <c:v>KDC</c:v>
                </c:pt>
                <c:pt idx="63">
                  <c:v>VCG</c:v>
                </c:pt>
                <c:pt idx="64">
                  <c:v>SIP</c:v>
                </c:pt>
                <c:pt idx="65">
                  <c:v>EIB</c:v>
                </c:pt>
                <c:pt idx="66">
                  <c:v>CII</c:v>
                </c:pt>
                <c:pt idx="67">
                  <c:v>TLG</c:v>
                </c:pt>
                <c:pt idx="68">
                  <c:v>VIX</c:v>
                </c:pt>
                <c:pt idx="69">
                  <c:v>VCB</c:v>
                </c:pt>
                <c:pt idx="70">
                  <c:v>VHC</c:v>
                </c:pt>
                <c:pt idx="71">
                  <c:v>VNM</c:v>
                </c:pt>
                <c:pt idx="72">
                  <c:v>TCH</c:v>
                </c:pt>
                <c:pt idx="73">
                  <c:v>POW</c:v>
                </c:pt>
                <c:pt idx="74">
                  <c:v>NAB</c:v>
                </c:pt>
                <c:pt idx="75">
                  <c:v>SAB</c:v>
                </c:pt>
                <c:pt idx="76">
                  <c:v>HDG</c:v>
                </c:pt>
                <c:pt idx="77">
                  <c:v>DBC</c:v>
                </c:pt>
                <c:pt idx="78">
                  <c:v>BSI</c:v>
                </c:pt>
                <c:pt idx="79">
                  <c:v>PHR</c:v>
                </c:pt>
                <c:pt idx="80">
                  <c:v>ACB</c:v>
                </c:pt>
                <c:pt idx="81">
                  <c:v>BCM</c:v>
                </c:pt>
                <c:pt idx="82">
                  <c:v>HSG</c:v>
                </c:pt>
                <c:pt idx="83">
                  <c:v>GEX</c:v>
                </c:pt>
                <c:pt idx="84">
                  <c:v>GEE</c:v>
                </c:pt>
                <c:pt idx="85">
                  <c:v>VSC</c:v>
                </c:pt>
                <c:pt idx="86">
                  <c:v>BMP</c:v>
                </c:pt>
                <c:pt idx="87">
                  <c:v>BVH</c:v>
                </c:pt>
                <c:pt idx="88">
                  <c:v>GMD</c:v>
                </c:pt>
                <c:pt idx="89">
                  <c:v>PVT</c:v>
                </c:pt>
                <c:pt idx="90">
                  <c:v>STB</c:v>
                </c:pt>
                <c:pt idx="91">
                  <c:v>GVR</c:v>
                </c:pt>
                <c:pt idx="92">
                  <c:v>DCM</c:v>
                </c:pt>
                <c:pt idx="93">
                  <c:v>DPM</c:v>
                </c:pt>
                <c:pt idx="94">
                  <c:v>PNJ</c:v>
                </c:pt>
                <c:pt idx="95">
                  <c:v>GAS</c:v>
                </c:pt>
                <c:pt idx="96">
                  <c:v>PLX</c:v>
                </c:pt>
                <c:pt idx="97">
                  <c:v>PVD</c:v>
                </c:pt>
              </c:strCache>
            </c:strRef>
          </c:cat>
          <c:val>
            <c:numRef>
              <c:f>'VN100'!$C$4:$C$102</c:f>
              <c:numCache>
                <c:formatCode>0.000</c:formatCode>
                <c:ptCount val="98"/>
                <c:pt idx="0">
                  <c:v>0.2934706083366842</c:v>
                </c:pt>
                <c:pt idx="1">
                  <c:v>0.40009832016160113</c:v>
                </c:pt>
                <c:pt idx="2">
                  <c:v>0.48696236762894968</c:v>
                </c:pt>
                <c:pt idx="3">
                  <c:v>0.2131952352065985</c:v>
                </c:pt>
                <c:pt idx="4">
                  <c:v>0.16811003565970456</c:v>
                </c:pt>
                <c:pt idx="5">
                  <c:v>0.28037854386117639</c:v>
                </c:pt>
                <c:pt idx="6">
                  <c:v>0.41846453283607277</c:v>
                </c:pt>
                <c:pt idx="7">
                  <c:v>0.48547073057029327</c:v>
                </c:pt>
                <c:pt idx="8">
                  <c:v>0.62712493552946413</c:v>
                </c:pt>
                <c:pt idx="9">
                  <c:v>0.28672985781990523</c:v>
                </c:pt>
                <c:pt idx="10">
                  <c:v>0.29391432043698934</c:v>
                </c:pt>
                <c:pt idx="11">
                  <c:v>0.40891074009820011</c:v>
                </c:pt>
                <c:pt idx="12">
                  <c:v>0.47292175086972327</c:v>
                </c:pt>
                <c:pt idx="13">
                  <c:v>0.36741001019528935</c:v>
                </c:pt>
                <c:pt idx="14">
                  <c:v>0.22438707274970729</c:v>
                </c:pt>
                <c:pt idx="15">
                  <c:v>0.47150865530168412</c:v>
                </c:pt>
                <c:pt idx="16">
                  <c:v>0.41476746209342708</c:v>
                </c:pt>
                <c:pt idx="17">
                  <c:v>0.36612619276407027</c:v>
                </c:pt>
                <c:pt idx="18">
                  <c:v>0.27391944874990143</c:v>
                </c:pt>
                <c:pt idx="19">
                  <c:v>0.33628938373234524</c:v>
                </c:pt>
                <c:pt idx="20">
                  <c:v>0.2926602265798004</c:v>
                </c:pt>
                <c:pt idx="21">
                  <c:v>0.24941387738813789</c:v>
                </c:pt>
                <c:pt idx="22">
                  <c:v>0.91267299932803536</c:v>
                </c:pt>
                <c:pt idx="23">
                  <c:v>0.21981790232943124</c:v>
                </c:pt>
                <c:pt idx="24">
                  <c:v>0.56607573469009198</c:v>
                </c:pt>
                <c:pt idx="25">
                  <c:v>0.18673641209585015</c:v>
                </c:pt>
                <c:pt idx="26">
                  <c:v>0.79042258895354378</c:v>
                </c:pt>
                <c:pt idx="27">
                  <c:v>0.72426958927764729</c:v>
                </c:pt>
                <c:pt idx="28">
                  <c:v>0.38561452214028979</c:v>
                </c:pt>
                <c:pt idx="29">
                  <c:v>0.43096871550531657</c:v>
                </c:pt>
                <c:pt idx="30">
                  <c:v>0.70020562229506278</c:v>
                </c:pt>
                <c:pt idx="31">
                  <c:v>0.23643718039717396</c:v>
                </c:pt>
                <c:pt idx="32">
                  <c:v>0.20995271142557576</c:v>
                </c:pt>
                <c:pt idx="33">
                  <c:v>0.40105787436744117</c:v>
                </c:pt>
                <c:pt idx="34">
                  <c:v>0.15114207412458039</c:v>
                </c:pt>
                <c:pt idx="35">
                  <c:v>0.35325738264925693</c:v>
                </c:pt>
                <c:pt idx="36">
                  <c:v>0.14997727617027723</c:v>
                </c:pt>
                <c:pt idx="37">
                  <c:v>0.30067539663354981</c:v>
                </c:pt>
                <c:pt idx="38">
                  <c:v>0.60236959976881954</c:v>
                </c:pt>
                <c:pt idx="39">
                  <c:v>0.33812908729030422</c:v>
                </c:pt>
                <c:pt idx="40">
                  <c:v>1.2986306030449946</c:v>
                </c:pt>
                <c:pt idx="41">
                  <c:v>0.25769290242770992</c:v>
                </c:pt>
                <c:pt idx="42">
                  <c:v>0.21154740939809613</c:v>
                </c:pt>
                <c:pt idx="43">
                  <c:v>0.6012324558340898</c:v>
                </c:pt>
                <c:pt idx="44">
                  <c:v>0.12299661032484846</c:v>
                </c:pt>
                <c:pt idx="45">
                  <c:v>0.31107577149280946</c:v>
                </c:pt>
                <c:pt idx="46">
                  <c:v>0.53137978307167744</c:v>
                </c:pt>
                <c:pt idx="47">
                  <c:v>0.17453137024451879</c:v>
                </c:pt>
                <c:pt idx="48">
                  <c:v>0.41338369493821869</c:v>
                </c:pt>
                <c:pt idx="49">
                  <c:v>0.27637003028230928</c:v>
                </c:pt>
                <c:pt idx="50">
                  <c:v>0.44804437566277988</c:v>
                </c:pt>
                <c:pt idx="51">
                  <c:v>0.2470471226793314</c:v>
                </c:pt>
                <c:pt idx="52">
                  <c:v>0.45675143626210279</c:v>
                </c:pt>
                <c:pt idx="53">
                  <c:v>0.27152693926834837</c:v>
                </c:pt>
                <c:pt idx="54">
                  <c:v>0.4269734376596977</c:v>
                </c:pt>
                <c:pt idx="55">
                  <c:v>0.29869489681208561</c:v>
                </c:pt>
                <c:pt idx="56">
                  <c:v>0.37813639880623412</c:v>
                </c:pt>
                <c:pt idx="57">
                  <c:v>1.0249523335820276</c:v>
                </c:pt>
                <c:pt idx="58">
                  <c:v>0.64449902201567721</c:v>
                </c:pt>
                <c:pt idx="59">
                  <c:v>0.2307354035213402</c:v>
                </c:pt>
                <c:pt idx="60">
                  <c:v>0.21062875629611122</c:v>
                </c:pt>
                <c:pt idx="61">
                  <c:v>0.41059673764805688</c:v>
                </c:pt>
                <c:pt idx="62">
                  <c:v>6.4566115702479332E-2</c:v>
                </c:pt>
                <c:pt idx="63">
                  <c:v>0.2902223922720828</c:v>
                </c:pt>
                <c:pt idx="64">
                  <c:v>0.25175023988059275</c:v>
                </c:pt>
                <c:pt idx="65">
                  <c:v>0.37150402060628357</c:v>
                </c:pt>
                <c:pt idx="66">
                  <c:v>0.17302164466030559</c:v>
                </c:pt>
                <c:pt idx="67">
                  <c:v>0.2408837713683426</c:v>
                </c:pt>
                <c:pt idx="68">
                  <c:v>0.34892108547159512</c:v>
                </c:pt>
                <c:pt idx="69">
                  <c:v>0.45847017376246491</c:v>
                </c:pt>
                <c:pt idx="70">
                  <c:v>0.34485957825154145</c:v>
                </c:pt>
                <c:pt idx="71">
                  <c:v>0.31573446450228648</c:v>
                </c:pt>
                <c:pt idx="72">
                  <c:v>0.3019095665540108</c:v>
                </c:pt>
                <c:pt idx="73">
                  <c:v>0.29443752890907748</c:v>
                </c:pt>
                <c:pt idx="74">
                  <c:v>0.34502886212550088</c:v>
                </c:pt>
                <c:pt idx="75">
                  <c:v>0.38187130195674057</c:v>
                </c:pt>
                <c:pt idx="76">
                  <c:v>0.27853329974284258</c:v>
                </c:pt>
                <c:pt idx="77">
                  <c:v>0.65064166236242993</c:v>
                </c:pt>
                <c:pt idx="78">
                  <c:v>0.16130250214294461</c:v>
                </c:pt>
                <c:pt idx="79">
                  <c:v>0.38537777163140186</c:v>
                </c:pt>
                <c:pt idx="80">
                  <c:v>0.51973405007780449</c:v>
                </c:pt>
                <c:pt idx="81">
                  <c:v>0.36270530194217199</c:v>
                </c:pt>
                <c:pt idx="82">
                  <c:v>0.39274986213955881</c:v>
                </c:pt>
                <c:pt idx="83">
                  <c:v>0.34005215415677215</c:v>
                </c:pt>
                <c:pt idx="84">
                  <c:v>0.48025682182985552</c:v>
                </c:pt>
                <c:pt idx="85">
                  <c:v>0.69110865173623137</c:v>
                </c:pt>
                <c:pt idx="86">
                  <c:v>0.69740267252848964</c:v>
                </c:pt>
                <c:pt idx="87">
                  <c:v>0.60708582834331337</c:v>
                </c:pt>
                <c:pt idx="88">
                  <c:v>0.7735681458309196</c:v>
                </c:pt>
                <c:pt idx="89">
                  <c:v>0.71601886217935529</c:v>
                </c:pt>
                <c:pt idx="90">
                  <c:v>0.54589518794773706</c:v>
                </c:pt>
                <c:pt idx="91">
                  <c:v>0.55288715348679685</c:v>
                </c:pt>
                <c:pt idx="92">
                  <c:v>0.6256539368122328</c:v>
                </c:pt>
                <c:pt idx="93">
                  <c:v>1.0700176970565261</c:v>
                </c:pt>
                <c:pt idx="94">
                  <c:v>0.85962686300439617</c:v>
                </c:pt>
                <c:pt idx="95">
                  <c:v>1.1216593064749909</c:v>
                </c:pt>
                <c:pt idx="96">
                  <c:v>1.0839100402232751</c:v>
                </c:pt>
                <c:pt idx="97">
                  <c:v>1.8659107480183914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71-426A-9ACB-ACA535EFB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972584"/>
        <c:axId val="511967544"/>
      </c:lineChart>
      <c:catAx>
        <c:axId val="568215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68217896"/>
        <c:crosses val="autoZero"/>
        <c:auto val="1"/>
        <c:lblAlgn val="ctr"/>
        <c:lblOffset val="100"/>
        <c:noMultiLvlLbl val="0"/>
      </c:catAx>
      <c:valAx>
        <c:axId val="568217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68215736"/>
        <c:crosses val="autoZero"/>
        <c:crossBetween val="between"/>
      </c:valAx>
      <c:valAx>
        <c:axId val="511967544"/>
        <c:scaling>
          <c:orientation val="minMax"/>
        </c:scaling>
        <c:delete val="0"/>
        <c:axPos val="r"/>
        <c:numFmt formatCode="0.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11972584"/>
        <c:crosses val="max"/>
        <c:crossBetween val="between"/>
      </c:valAx>
      <c:catAx>
        <c:axId val="511972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19675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341712848120419"/>
          <c:y val="0.917486942719272"/>
          <c:w val="0.70815987558958537"/>
          <c:h val="6.25305599837111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[THONG_KE_VNINDEX_VN30.xlsm]NGÂN HÀNG!PivotTable2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/>
                </a:solidFill>
              </a:rPr>
              <a:t>Biểu</a:t>
            </a:r>
            <a:r>
              <a:rPr lang="en-US" sz="1600" b="1" baseline="0">
                <a:solidFill>
                  <a:schemeClr val="tx1"/>
                </a:solidFill>
              </a:rPr>
              <a:t> đồ biến động nhóm Ngân Hàng</a:t>
            </a:r>
            <a:endParaRPr lang="en-US" sz="16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56622727173031E-2"/>
          <c:y val="0.1286500629427591"/>
          <c:w val="0.87649259023680537"/>
          <c:h val="0.721470426661783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'NGÂN HÀNG'!$T$18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'NGÂN HÀNG'!$S$19:$S$46</c:f>
              <c:strCache>
                <c:ptCount val="27"/>
                <c:pt idx="0">
                  <c:v>PGB</c:v>
                </c:pt>
                <c:pt idx="1">
                  <c:v>VBB</c:v>
                </c:pt>
                <c:pt idx="2">
                  <c:v>VPB</c:v>
                </c:pt>
                <c:pt idx="3">
                  <c:v>TCB</c:v>
                </c:pt>
                <c:pt idx="4">
                  <c:v>MBB</c:v>
                </c:pt>
                <c:pt idx="5">
                  <c:v>HDB</c:v>
                </c:pt>
                <c:pt idx="6">
                  <c:v>CTG</c:v>
                </c:pt>
                <c:pt idx="7">
                  <c:v>ABB</c:v>
                </c:pt>
                <c:pt idx="8">
                  <c:v>SSB</c:v>
                </c:pt>
                <c:pt idx="9">
                  <c:v>BVB</c:v>
                </c:pt>
                <c:pt idx="10">
                  <c:v>TPB</c:v>
                </c:pt>
                <c:pt idx="11">
                  <c:v>LPB</c:v>
                </c:pt>
                <c:pt idx="12">
                  <c:v>OCB</c:v>
                </c:pt>
                <c:pt idx="13">
                  <c:v>SHB</c:v>
                </c:pt>
                <c:pt idx="14">
                  <c:v>BID</c:v>
                </c:pt>
                <c:pt idx="15">
                  <c:v>MSB</c:v>
                </c:pt>
                <c:pt idx="16">
                  <c:v>VAB</c:v>
                </c:pt>
                <c:pt idx="17">
                  <c:v>VIB</c:v>
                </c:pt>
                <c:pt idx="18">
                  <c:v>EIB</c:v>
                </c:pt>
                <c:pt idx="19">
                  <c:v>VCB</c:v>
                </c:pt>
                <c:pt idx="20">
                  <c:v>NAB</c:v>
                </c:pt>
                <c:pt idx="21">
                  <c:v>ACB</c:v>
                </c:pt>
                <c:pt idx="22">
                  <c:v>KLB</c:v>
                </c:pt>
                <c:pt idx="23">
                  <c:v>NVB</c:v>
                </c:pt>
                <c:pt idx="24">
                  <c:v>SGB</c:v>
                </c:pt>
                <c:pt idx="25">
                  <c:v>STB</c:v>
                </c:pt>
                <c:pt idx="26">
                  <c:v>BAB</c:v>
                </c:pt>
              </c:strCache>
            </c:strRef>
          </c:cat>
          <c:val>
            <c:numRef>
              <c:f>'NGÂN HÀNG'!$T$19:$T$46</c:f>
              <c:numCache>
                <c:formatCode>0.00%</c:formatCode>
                <c:ptCount val="27"/>
                <c:pt idx="0">
                  <c:v>-2.86E-2</c:v>
                </c:pt>
                <c:pt idx="1">
                  <c:v>-1.8200000000000001E-2</c:v>
                </c:pt>
                <c:pt idx="2">
                  <c:v>-1.7000000000000001E-2</c:v>
                </c:pt>
                <c:pt idx="3">
                  <c:v>-1.55E-2</c:v>
                </c:pt>
                <c:pt idx="4">
                  <c:v>-1.43E-2</c:v>
                </c:pt>
                <c:pt idx="5">
                  <c:v>-1.3100000000000001E-2</c:v>
                </c:pt>
                <c:pt idx="6">
                  <c:v>-1.23E-2</c:v>
                </c:pt>
                <c:pt idx="7">
                  <c:v>-1.18E-2</c:v>
                </c:pt>
                <c:pt idx="8">
                  <c:v>-9.5999999999999992E-3</c:v>
                </c:pt>
                <c:pt idx="9">
                  <c:v>-7.4999999999999997E-3</c:v>
                </c:pt>
                <c:pt idx="10">
                  <c:v>-6.4000000000000003E-3</c:v>
                </c:pt>
                <c:pt idx="11">
                  <c:v>-5.7999999999999996E-3</c:v>
                </c:pt>
                <c:pt idx="12">
                  <c:v>-4.5999999999999999E-3</c:v>
                </c:pt>
                <c:pt idx="13">
                  <c:v>-4.0000000000000001E-3</c:v>
                </c:pt>
                <c:pt idx="14">
                  <c:v>-3.8E-3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2.5999999999999999E-3</c:v>
                </c:pt>
                <c:pt idx="19">
                  <c:v>3.4000000000000002E-3</c:v>
                </c:pt>
                <c:pt idx="20">
                  <c:v>3.9000000000000003E-3</c:v>
                </c:pt>
                <c:pt idx="21">
                  <c:v>6.7000000000000002E-3</c:v>
                </c:pt>
                <c:pt idx="22">
                  <c:v>1.21E-2</c:v>
                </c:pt>
                <c:pt idx="23">
                  <c:v>1.5300000000000001E-2</c:v>
                </c:pt>
                <c:pt idx="24">
                  <c:v>2.3300000000000001E-2</c:v>
                </c:pt>
                <c:pt idx="25">
                  <c:v>2.4799999999999999E-2</c:v>
                </c:pt>
                <c:pt idx="26">
                  <c:v>2.7000000000000003E-2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AB71-4F45-A4BC-34F77CD69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axId val="523434176"/>
        <c:axId val="523427336"/>
      </c:barChart>
      <c:lineChart>
        <c:grouping val="standard"/>
        <c:varyColors val="0"/>
        <c:ser>
          <c:idx val="1"/>
          <c:order val="1"/>
          <c:tx>
            <c:strRef>
              <c:f>'NGÂN HÀNG'!$U$18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'NGÂN HÀNG'!$S$19:$S$46</c:f>
              <c:strCache>
                <c:ptCount val="27"/>
                <c:pt idx="0">
                  <c:v>PGB</c:v>
                </c:pt>
                <c:pt idx="1">
                  <c:v>VBB</c:v>
                </c:pt>
                <c:pt idx="2">
                  <c:v>VPB</c:v>
                </c:pt>
                <c:pt idx="3">
                  <c:v>TCB</c:v>
                </c:pt>
                <c:pt idx="4">
                  <c:v>MBB</c:v>
                </c:pt>
                <c:pt idx="5">
                  <c:v>HDB</c:v>
                </c:pt>
                <c:pt idx="6">
                  <c:v>CTG</c:v>
                </c:pt>
                <c:pt idx="7">
                  <c:v>ABB</c:v>
                </c:pt>
                <c:pt idx="8">
                  <c:v>SSB</c:v>
                </c:pt>
                <c:pt idx="9">
                  <c:v>BVB</c:v>
                </c:pt>
                <c:pt idx="10">
                  <c:v>TPB</c:v>
                </c:pt>
                <c:pt idx="11">
                  <c:v>LPB</c:v>
                </c:pt>
                <c:pt idx="12">
                  <c:v>OCB</c:v>
                </c:pt>
                <c:pt idx="13">
                  <c:v>SHB</c:v>
                </c:pt>
                <c:pt idx="14">
                  <c:v>BID</c:v>
                </c:pt>
                <c:pt idx="15">
                  <c:v>MSB</c:v>
                </c:pt>
                <c:pt idx="16">
                  <c:v>VAB</c:v>
                </c:pt>
                <c:pt idx="17">
                  <c:v>VIB</c:v>
                </c:pt>
                <c:pt idx="18">
                  <c:v>EIB</c:v>
                </c:pt>
                <c:pt idx="19">
                  <c:v>VCB</c:v>
                </c:pt>
                <c:pt idx="20">
                  <c:v>NAB</c:v>
                </c:pt>
                <c:pt idx="21">
                  <c:v>ACB</c:v>
                </c:pt>
                <c:pt idx="22">
                  <c:v>KLB</c:v>
                </c:pt>
                <c:pt idx="23">
                  <c:v>NVB</c:v>
                </c:pt>
                <c:pt idx="24">
                  <c:v>SGB</c:v>
                </c:pt>
                <c:pt idx="25">
                  <c:v>STB</c:v>
                </c:pt>
                <c:pt idx="26">
                  <c:v>BAB</c:v>
                </c:pt>
              </c:strCache>
            </c:strRef>
          </c:cat>
          <c:val>
            <c:numRef>
              <c:f>'NGÂN HÀNG'!$U$19:$U$46</c:f>
              <c:numCache>
                <c:formatCode>0.00</c:formatCode>
                <c:ptCount val="27"/>
                <c:pt idx="0">
                  <c:v>0.58244170096021941</c:v>
                </c:pt>
                <c:pt idx="1">
                  <c:v>3.8030751037701367</c:v>
                </c:pt>
                <c:pt idx="2">
                  <c:v>0.41846453283607277</c:v>
                </c:pt>
                <c:pt idx="3">
                  <c:v>0.28672985781990523</c:v>
                </c:pt>
                <c:pt idx="4">
                  <c:v>0.41476746209342708</c:v>
                </c:pt>
                <c:pt idx="5">
                  <c:v>0.33628938373234524</c:v>
                </c:pt>
                <c:pt idx="6">
                  <c:v>0.91267299932803536</c:v>
                </c:pt>
                <c:pt idx="7">
                  <c:v>0.76858450209410445</c:v>
                </c:pt>
                <c:pt idx="8">
                  <c:v>0.38561452214028979</c:v>
                </c:pt>
                <c:pt idx="9">
                  <c:v>1.647541886745677</c:v>
                </c:pt>
                <c:pt idx="10">
                  <c:v>0.30067539663354981</c:v>
                </c:pt>
                <c:pt idx="11">
                  <c:v>0.33812908729030422</c:v>
                </c:pt>
                <c:pt idx="12">
                  <c:v>0.12299661032484846</c:v>
                </c:pt>
                <c:pt idx="13">
                  <c:v>0.41338369493821869</c:v>
                </c:pt>
                <c:pt idx="14">
                  <c:v>0.44804437566277988</c:v>
                </c:pt>
                <c:pt idx="15">
                  <c:v>0.2307354035213402</c:v>
                </c:pt>
                <c:pt idx="16">
                  <c:v>0.70942145353680219</c:v>
                </c:pt>
                <c:pt idx="17">
                  <c:v>0.29869489681208561</c:v>
                </c:pt>
                <c:pt idx="18">
                  <c:v>0.37150402060628357</c:v>
                </c:pt>
                <c:pt idx="19">
                  <c:v>0.45847017376246491</c:v>
                </c:pt>
                <c:pt idx="20">
                  <c:v>0.34502886212550088</c:v>
                </c:pt>
                <c:pt idx="21">
                  <c:v>0.51973405007780449</c:v>
                </c:pt>
                <c:pt idx="22">
                  <c:v>0.52344939188600903</c:v>
                </c:pt>
                <c:pt idx="23">
                  <c:v>0.14216374643833141</c:v>
                </c:pt>
                <c:pt idx="24">
                  <c:v>0.26431095406360422</c:v>
                </c:pt>
                <c:pt idx="25">
                  <c:v>0.54589518794773706</c:v>
                </c:pt>
                <c:pt idx="26">
                  <c:v>0.10055292683289131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71-4F45-A4BC-34F77CD69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887264"/>
        <c:axId val="532882584"/>
      </c:lineChart>
      <c:catAx>
        <c:axId val="523434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23427336"/>
        <c:crosses val="autoZero"/>
        <c:auto val="1"/>
        <c:lblAlgn val="ctr"/>
        <c:lblOffset val="100"/>
        <c:noMultiLvlLbl val="0"/>
      </c:catAx>
      <c:valAx>
        <c:axId val="523427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23434176"/>
        <c:crosses val="autoZero"/>
        <c:crossBetween val="between"/>
      </c:valAx>
      <c:valAx>
        <c:axId val="53288258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2887264"/>
        <c:crosses val="max"/>
        <c:crossBetween val="between"/>
      </c:valAx>
      <c:catAx>
        <c:axId val="532887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28825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4.318256294063124E-2"/>
          <c:y val="0.93752823048281775"/>
          <c:w val="0.92393787224635326"/>
          <c:h val="5.9276384056644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[THONG_KE_VNINDEX_VN30.xlsm]VINGROUP!PivotTable2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/>
                </a:solidFill>
              </a:rPr>
              <a:t>Biểu</a:t>
            </a:r>
            <a:r>
              <a:rPr lang="en-US" sz="1600" b="1" baseline="0">
                <a:solidFill>
                  <a:schemeClr val="tx1"/>
                </a:solidFill>
              </a:rPr>
              <a:t> đồ biến động nhóm Ngân Hàng</a:t>
            </a:r>
            <a:endParaRPr lang="en-US" sz="16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19050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6622727173031E-2"/>
          <c:y val="0.1286500629427591"/>
          <c:w val="0.87649259023680537"/>
          <c:h val="0.721470426661783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VINGROUP!$T$18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VINGROUP!$S$19:$S$23</c:f>
              <c:strCache>
                <c:ptCount val="4"/>
                <c:pt idx="0">
                  <c:v>VIC</c:v>
                </c:pt>
                <c:pt idx="1">
                  <c:v>VHM</c:v>
                </c:pt>
                <c:pt idx="2">
                  <c:v>VPL</c:v>
                </c:pt>
                <c:pt idx="3">
                  <c:v>VRE</c:v>
                </c:pt>
              </c:strCache>
            </c:strRef>
          </c:cat>
          <c:val>
            <c:numRef>
              <c:f>VINGROUP!$T$19:$T$23</c:f>
              <c:numCache>
                <c:formatCode>0.00%</c:formatCode>
                <c:ptCount val="4"/>
                <c:pt idx="0">
                  <c:v>-3.8399999999999997E-2</c:v>
                </c:pt>
                <c:pt idx="1">
                  <c:v>-2.9399999999999999E-2</c:v>
                </c:pt>
                <c:pt idx="2">
                  <c:v>-1.5700000000000002E-2</c:v>
                </c:pt>
                <c:pt idx="3">
                  <c:v>-1.54E-2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E540-4394-B59F-65094C5E6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axId val="523434176"/>
        <c:axId val="523427336"/>
      </c:barChart>
      <c:lineChart>
        <c:grouping val="standard"/>
        <c:varyColors val="0"/>
        <c:ser>
          <c:idx val="1"/>
          <c:order val="1"/>
          <c:tx>
            <c:strRef>
              <c:f>VINGROUP!$U$18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VINGROUP!$S$19:$S$23</c:f>
              <c:strCache>
                <c:ptCount val="4"/>
                <c:pt idx="0">
                  <c:v>VIC</c:v>
                </c:pt>
                <c:pt idx="1">
                  <c:v>VHM</c:v>
                </c:pt>
                <c:pt idx="2">
                  <c:v>VPL</c:v>
                </c:pt>
                <c:pt idx="3">
                  <c:v>VRE</c:v>
                </c:pt>
              </c:strCache>
            </c:strRef>
          </c:cat>
          <c:val>
            <c:numRef>
              <c:f>VINGROUP!$U$19:$U$23</c:f>
              <c:numCache>
                <c:formatCode>0.00</c:formatCode>
                <c:ptCount val="4"/>
                <c:pt idx="0">
                  <c:v>0.2934706083366842</c:v>
                </c:pt>
                <c:pt idx="1">
                  <c:v>0.40009832016160113</c:v>
                </c:pt>
                <c:pt idx="2">
                  <c:v>0.43357664233576643</c:v>
                </c:pt>
                <c:pt idx="3">
                  <c:v>0.29391432043698934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40-4394-B59F-65094C5E6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887264"/>
        <c:axId val="532882584"/>
      </c:lineChart>
      <c:catAx>
        <c:axId val="523434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23427336"/>
        <c:crosses val="autoZero"/>
        <c:auto val="1"/>
        <c:lblAlgn val="ctr"/>
        <c:lblOffset val="100"/>
        <c:noMultiLvlLbl val="0"/>
      </c:catAx>
      <c:valAx>
        <c:axId val="523427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23434176"/>
        <c:crosses val="autoZero"/>
        <c:crossBetween val="between"/>
      </c:valAx>
      <c:valAx>
        <c:axId val="53288258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2887264"/>
        <c:crosses val="max"/>
        <c:crossBetween val="between"/>
      </c:valAx>
      <c:catAx>
        <c:axId val="532887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28825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4.318256294063124E-2"/>
          <c:y val="0.93752823048281775"/>
          <c:w val="0.92393787224635326"/>
          <c:h val="5.9276384056644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[THONG_KE_VNINDEX_VN30.xlsm]CHỨNG KHOÁN!PivotTable1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Chứng Khoán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636015042218217E-2"/>
          <c:y val="0.14417881438289601"/>
          <c:w val="0.88304220752307006"/>
          <c:h val="0.6623147616751987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'CHỨNG KHOÁN'!$T$18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'CHỨNG KHOÁN'!$S$19:$S$41</c:f>
              <c:strCache>
                <c:ptCount val="22"/>
                <c:pt idx="0">
                  <c:v>BVS</c:v>
                </c:pt>
                <c:pt idx="1">
                  <c:v>ABW</c:v>
                </c:pt>
                <c:pt idx="2">
                  <c:v>VCI</c:v>
                </c:pt>
                <c:pt idx="3">
                  <c:v>SSI</c:v>
                </c:pt>
                <c:pt idx="4">
                  <c:v>CTS</c:v>
                </c:pt>
                <c:pt idx="5">
                  <c:v>HCM</c:v>
                </c:pt>
                <c:pt idx="6">
                  <c:v>FTS</c:v>
                </c:pt>
                <c:pt idx="7">
                  <c:v>AAS</c:v>
                </c:pt>
                <c:pt idx="8">
                  <c:v>SHS</c:v>
                </c:pt>
                <c:pt idx="9">
                  <c:v>VDS</c:v>
                </c:pt>
                <c:pt idx="10">
                  <c:v>VND</c:v>
                </c:pt>
                <c:pt idx="11">
                  <c:v>ORS</c:v>
                </c:pt>
                <c:pt idx="12">
                  <c:v>APG</c:v>
                </c:pt>
                <c:pt idx="13">
                  <c:v>VFS</c:v>
                </c:pt>
                <c:pt idx="14">
                  <c:v>SBS</c:v>
                </c:pt>
                <c:pt idx="15">
                  <c:v>APS</c:v>
                </c:pt>
                <c:pt idx="16">
                  <c:v>DSE</c:v>
                </c:pt>
                <c:pt idx="17">
                  <c:v>EVS</c:v>
                </c:pt>
                <c:pt idx="18">
                  <c:v>MBS</c:v>
                </c:pt>
                <c:pt idx="19">
                  <c:v>VIX</c:v>
                </c:pt>
                <c:pt idx="20">
                  <c:v>BSI</c:v>
                </c:pt>
                <c:pt idx="21">
                  <c:v>AGR</c:v>
                </c:pt>
              </c:strCache>
            </c:strRef>
          </c:cat>
          <c:val>
            <c:numRef>
              <c:f>'CHỨNG KHOÁN'!$T$19:$T$41</c:f>
              <c:numCache>
                <c:formatCode>0.00%</c:formatCode>
                <c:ptCount val="22"/>
                <c:pt idx="0">
                  <c:v>-4.41E-2</c:v>
                </c:pt>
                <c:pt idx="1">
                  <c:v>-2.1600000000000001E-2</c:v>
                </c:pt>
                <c:pt idx="2">
                  <c:v>-1.6899999999999998E-2</c:v>
                </c:pt>
                <c:pt idx="3">
                  <c:v>-1.5600000000000001E-2</c:v>
                </c:pt>
                <c:pt idx="4">
                  <c:v>-1.49E-2</c:v>
                </c:pt>
                <c:pt idx="5">
                  <c:v>-1.4499999999999999E-2</c:v>
                </c:pt>
                <c:pt idx="6">
                  <c:v>-1.3600000000000001E-2</c:v>
                </c:pt>
                <c:pt idx="7">
                  <c:v>-1.1899999999999999E-2</c:v>
                </c:pt>
                <c:pt idx="8">
                  <c:v>-1.1399999999999999E-2</c:v>
                </c:pt>
                <c:pt idx="9">
                  <c:v>-1.03E-2</c:v>
                </c:pt>
                <c:pt idx="10">
                  <c:v>-8.6E-3</c:v>
                </c:pt>
                <c:pt idx="11">
                  <c:v>-7.4000000000000003E-3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3.4000000000000002E-3</c:v>
                </c:pt>
                <c:pt idx="20">
                  <c:v>6.0999999999999995E-3</c:v>
                </c:pt>
                <c:pt idx="21">
                  <c:v>6.8999999999999999E-3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1875-44E5-8E37-9AD9FB6C9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axId val="583956560"/>
        <c:axId val="432289904"/>
      </c:barChart>
      <c:lineChart>
        <c:grouping val="standard"/>
        <c:varyColors val="0"/>
        <c:ser>
          <c:idx val="1"/>
          <c:order val="1"/>
          <c:tx>
            <c:strRef>
              <c:f>'CHỨNG KHOÁN'!$U$18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'CHỨNG KHOÁN'!$S$19:$S$41</c:f>
              <c:strCache>
                <c:ptCount val="22"/>
                <c:pt idx="0">
                  <c:v>BVS</c:v>
                </c:pt>
                <c:pt idx="1">
                  <c:v>ABW</c:v>
                </c:pt>
                <c:pt idx="2">
                  <c:v>VCI</c:v>
                </c:pt>
                <c:pt idx="3">
                  <c:v>SSI</c:v>
                </c:pt>
                <c:pt idx="4">
                  <c:v>CTS</c:v>
                </c:pt>
                <c:pt idx="5">
                  <c:v>HCM</c:v>
                </c:pt>
                <c:pt idx="6">
                  <c:v>FTS</c:v>
                </c:pt>
                <c:pt idx="7">
                  <c:v>AAS</c:v>
                </c:pt>
                <c:pt idx="8">
                  <c:v>SHS</c:v>
                </c:pt>
                <c:pt idx="9">
                  <c:v>VDS</c:v>
                </c:pt>
                <c:pt idx="10">
                  <c:v>VND</c:v>
                </c:pt>
                <c:pt idx="11">
                  <c:v>ORS</c:v>
                </c:pt>
                <c:pt idx="12">
                  <c:v>APG</c:v>
                </c:pt>
                <c:pt idx="13">
                  <c:v>VFS</c:v>
                </c:pt>
                <c:pt idx="14">
                  <c:v>SBS</c:v>
                </c:pt>
                <c:pt idx="15">
                  <c:v>APS</c:v>
                </c:pt>
                <c:pt idx="16">
                  <c:v>DSE</c:v>
                </c:pt>
                <c:pt idx="17">
                  <c:v>EVS</c:v>
                </c:pt>
                <c:pt idx="18">
                  <c:v>MBS</c:v>
                </c:pt>
                <c:pt idx="19">
                  <c:v>VIX</c:v>
                </c:pt>
                <c:pt idx="20">
                  <c:v>BSI</c:v>
                </c:pt>
                <c:pt idx="21">
                  <c:v>AGR</c:v>
                </c:pt>
              </c:strCache>
            </c:strRef>
          </c:cat>
          <c:val>
            <c:numRef>
              <c:f>'CHỨNG KHOÁN'!$U$19:$U$41</c:f>
              <c:numCache>
                <c:formatCode>General</c:formatCode>
                <c:ptCount val="22"/>
                <c:pt idx="0">
                  <c:v>0.50595506772911925</c:v>
                </c:pt>
                <c:pt idx="1">
                  <c:v>0.73634188848356263</c:v>
                </c:pt>
                <c:pt idx="2">
                  <c:v>0.56243537944673205</c:v>
                </c:pt>
                <c:pt idx="3">
                  <c:v>0.62712493552946413</c:v>
                </c:pt>
                <c:pt idx="4">
                  <c:v>0.36741001019528935</c:v>
                </c:pt>
                <c:pt idx="5">
                  <c:v>0.22438707274970729</c:v>
                </c:pt>
                <c:pt idx="6">
                  <c:v>0.27391944874990143</c:v>
                </c:pt>
                <c:pt idx="7">
                  <c:v>0.31332982394572145</c:v>
                </c:pt>
                <c:pt idx="8">
                  <c:v>0.38929952809423746</c:v>
                </c:pt>
                <c:pt idx="9">
                  <c:v>0.33214468674977149</c:v>
                </c:pt>
                <c:pt idx="10">
                  <c:v>0.23643718039717396</c:v>
                </c:pt>
                <c:pt idx="11">
                  <c:v>0.10593525589013672</c:v>
                </c:pt>
                <c:pt idx="12">
                  <c:v>0.13351450489589745</c:v>
                </c:pt>
                <c:pt idx="13">
                  <c:v>0.20202694084982389</c:v>
                </c:pt>
                <c:pt idx="14">
                  <c:v>0.35940127641350783</c:v>
                </c:pt>
                <c:pt idx="15">
                  <c:v>0.15260937668343541</c:v>
                </c:pt>
                <c:pt idx="16">
                  <c:v>0.64449902201567721</c:v>
                </c:pt>
                <c:pt idx="17">
                  <c:v>0.11473897804833057</c:v>
                </c:pt>
                <c:pt idx="18">
                  <c:v>0.52189219237054041</c:v>
                </c:pt>
                <c:pt idx="19">
                  <c:v>0.34892108547159512</c:v>
                </c:pt>
                <c:pt idx="20">
                  <c:v>0.16130250214294461</c:v>
                </c:pt>
                <c:pt idx="21">
                  <c:v>0.29695810769552156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75-44E5-8E37-9AD9FB6C9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601464"/>
        <c:axId val="591600384"/>
      </c:lineChart>
      <c:catAx>
        <c:axId val="58395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32289904"/>
        <c:crosses val="autoZero"/>
        <c:auto val="1"/>
        <c:lblAlgn val="ctr"/>
        <c:lblOffset val="100"/>
        <c:noMultiLvlLbl val="0"/>
      </c:catAx>
      <c:valAx>
        <c:axId val="43228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83956560"/>
        <c:crosses val="autoZero"/>
        <c:crossBetween val="between"/>
      </c:valAx>
      <c:valAx>
        <c:axId val="5916003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91601464"/>
        <c:crosses val="max"/>
        <c:crossBetween val="between"/>
      </c:valAx>
      <c:catAx>
        <c:axId val="591601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916003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2795966517783528"/>
          <c:y val="0.90585034013605448"/>
          <c:w val="0.53755480295511615"/>
          <c:h val="8.35781241630510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 DẦU -KHÍ ĐỐT!PivotTable2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Dầu khí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4393793048605539E-2"/>
          <c:y val="0.1207040296433534"/>
          <c:w val="0.88052072976915796"/>
          <c:h val="0.695846842674077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 DẦU -KHÍ ĐỐT'!$U$18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 DẦU -KHÍ ĐỐT'!$T$19:$T$29</c:f>
              <c:strCache>
                <c:ptCount val="10"/>
                <c:pt idx="0">
                  <c:v>CNG</c:v>
                </c:pt>
                <c:pt idx="1">
                  <c:v>PLC</c:v>
                </c:pt>
                <c:pt idx="2">
                  <c:v>PVB</c:v>
                </c:pt>
                <c:pt idx="3">
                  <c:v>GAS</c:v>
                </c:pt>
                <c:pt idx="4">
                  <c:v>PLX</c:v>
                </c:pt>
                <c:pt idx="5">
                  <c:v>OIL</c:v>
                </c:pt>
                <c:pt idx="6">
                  <c:v>BSR</c:v>
                </c:pt>
                <c:pt idx="7">
                  <c:v>PVS</c:v>
                </c:pt>
                <c:pt idx="8">
                  <c:v>PVC</c:v>
                </c:pt>
                <c:pt idx="9">
                  <c:v>PVD</c:v>
                </c:pt>
              </c:strCache>
            </c:strRef>
          </c:cat>
          <c:val>
            <c:numRef>
              <c:f>' DẦU -KHÍ ĐỐT'!$U$19:$U$29</c:f>
              <c:numCache>
                <c:formatCode>0.00%</c:formatCode>
                <c:ptCount val="10"/>
                <c:pt idx="0">
                  <c:v>9.3999999999999986E-3</c:v>
                </c:pt>
                <c:pt idx="1">
                  <c:v>2.4799999999999999E-2</c:v>
                </c:pt>
                <c:pt idx="2">
                  <c:v>3.0200000000000001E-2</c:v>
                </c:pt>
                <c:pt idx="3">
                  <c:v>3.4500000000000003E-2</c:v>
                </c:pt>
                <c:pt idx="4">
                  <c:v>3.5200000000000002E-2</c:v>
                </c:pt>
                <c:pt idx="5">
                  <c:v>4.2300000000000004E-2</c:v>
                </c:pt>
                <c:pt idx="6">
                  <c:v>5.2400000000000002E-2</c:v>
                </c:pt>
                <c:pt idx="7">
                  <c:v>5.4100000000000002E-2</c:v>
                </c:pt>
                <c:pt idx="8">
                  <c:v>5.4299999999999994E-2</c:v>
                </c:pt>
                <c:pt idx="9">
                  <c:v>6.9599999999999995E-2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C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E627-4584-B4D7-588370700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8"/>
        <c:axId val="409244536"/>
        <c:axId val="409245616"/>
      </c:barChart>
      <c:lineChart>
        <c:grouping val="standard"/>
        <c:varyColors val="0"/>
        <c:ser>
          <c:idx val="1"/>
          <c:order val="1"/>
          <c:tx>
            <c:strRef>
              <c:f>' DẦU -KHÍ ĐỐT'!$V$18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 DẦU -KHÍ ĐỐT'!$T$19:$T$29</c:f>
              <c:strCache>
                <c:ptCount val="10"/>
                <c:pt idx="0">
                  <c:v>CNG</c:v>
                </c:pt>
                <c:pt idx="1">
                  <c:v>PLC</c:v>
                </c:pt>
                <c:pt idx="2">
                  <c:v>PVB</c:v>
                </c:pt>
                <c:pt idx="3">
                  <c:v>GAS</c:v>
                </c:pt>
                <c:pt idx="4">
                  <c:v>PLX</c:v>
                </c:pt>
                <c:pt idx="5">
                  <c:v>OIL</c:v>
                </c:pt>
                <c:pt idx="6">
                  <c:v>BSR</c:v>
                </c:pt>
                <c:pt idx="7">
                  <c:v>PVS</c:v>
                </c:pt>
                <c:pt idx="8">
                  <c:v>PVC</c:v>
                </c:pt>
                <c:pt idx="9">
                  <c:v>PVD</c:v>
                </c:pt>
              </c:strCache>
            </c:strRef>
          </c:cat>
          <c:val>
            <c:numRef>
              <c:f>' DẦU -KHÍ ĐỐT'!$V$19:$V$29</c:f>
              <c:numCache>
                <c:formatCode>General</c:formatCode>
                <c:ptCount val="10"/>
                <c:pt idx="0">
                  <c:v>0.33192516596258298</c:v>
                </c:pt>
                <c:pt idx="1">
                  <c:v>0.64910851660783786</c:v>
                </c:pt>
                <c:pt idx="2">
                  <c:v>1.379232139964361</c:v>
                </c:pt>
                <c:pt idx="3">
                  <c:v>1.1216593064749909</c:v>
                </c:pt>
                <c:pt idx="4">
                  <c:v>1.0839100402232751</c:v>
                </c:pt>
                <c:pt idx="5">
                  <c:v>1.8205325266399586</c:v>
                </c:pt>
                <c:pt idx="6">
                  <c:v>1.2512005608569232</c:v>
                </c:pt>
                <c:pt idx="7">
                  <c:v>1.7651009929622143</c:v>
                </c:pt>
                <c:pt idx="8">
                  <c:v>1.3821179504209724</c:v>
                </c:pt>
                <c:pt idx="9">
                  <c:v>1.8659107480183914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27-4584-B4D7-588370700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472568"/>
        <c:axId val="103474368"/>
      </c:lineChart>
      <c:catAx>
        <c:axId val="409244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09245616"/>
        <c:crosses val="autoZero"/>
        <c:auto val="1"/>
        <c:lblAlgn val="ctr"/>
        <c:lblOffset val="100"/>
        <c:noMultiLvlLbl val="0"/>
      </c:catAx>
      <c:valAx>
        <c:axId val="4092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09244536"/>
        <c:crosses val="autoZero"/>
        <c:crossBetween val="between"/>
      </c:valAx>
      <c:valAx>
        <c:axId val="1034743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03472568"/>
        <c:crosses val="max"/>
        <c:crossBetween val="between"/>
      </c:valAx>
      <c:catAx>
        <c:axId val="1034725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34743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420800011436868"/>
          <c:y val="0.91666574031187276"/>
          <c:w val="0.65071602321735167"/>
          <c:h val="8.03940095723328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[THONG_KE_VNINDEX_VN30.xlsm]CÔNG NGHỆ!PivotTable3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Công nghệ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2743444798134682E-2"/>
          <c:y val="0.1207040296433534"/>
          <c:w val="0.89731437558209359"/>
          <c:h val="0.7146771653543306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'CÔNG NGHỆ'!$U$18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'CÔNG NGHỆ'!$T$19:$T$29</c:f>
              <c:strCache>
                <c:ptCount val="10"/>
                <c:pt idx="0">
                  <c:v>ADS</c:v>
                </c:pt>
                <c:pt idx="1">
                  <c:v>CTR</c:v>
                </c:pt>
                <c:pt idx="2">
                  <c:v>CMG</c:v>
                </c:pt>
                <c:pt idx="3">
                  <c:v>ELC</c:v>
                </c:pt>
                <c:pt idx="4">
                  <c:v>VTK</c:v>
                </c:pt>
                <c:pt idx="5">
                  <c:v>ITD</c:v>
                </c:pt>
                <c:pt idx="6">
                  <c:v>FPT</c:v>
                </c:pt>
                <c:pt idx="7">
                  <c:v>FOX</c:v>
                </c:pt>
                <c:pt idx="8">
                  <c:v>ICT</c:v>
                </c:pt>
                <c:pt idx="9">
                  <c:v>DGT</c:v>
                </c:pt>
              </c:strCache>
            </c:strRef>
          </c:cat>
          <c:val>
            <c:numRef>
              <c:f>'CÔNG NGHỆ'!$U$19:$U$29</c:f>
              <c:numCache>
                <c:formatCode>0.00%</c:formatCode>
                <c:ptCount val="10"/>
                <c:pt idx="0">
                  <c:v>-2.6000000000000002E-2</c:v>
                </c:pt>
                <c:pt idx="1">
                  <c:v>-2.3E-2</c:v>
                </c:pt>
                <c:pt idx="2">
                  <c:v>-1.5100000000000001E-2</c:v>
                </c:pt>
                <c:pt idx="3">
                  <c:v>-1.4999999999999999E-2</c:v>
                </c:pt>
                <c:pt idx="4">
                  <c:v>-6.0000000000000001E-3</c:v>
                </c:pt>
                <c:pt idx="5">
                  <c:v>-3.3E-3</c:v>
                </c:pt>
                <c:pt idx="6">
                  <c:v>-2.8000000000000004E-3</c:v>
                </c:pt>
                <c:pt idx="7">
                  <c:v>-1.5E-3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88C2-43C9-AF22-49094CDE7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8"/>
        <c:axId val="558287920"/>
        <c:axId val="558289000"/>
      </c:barChart>
      <c:lineChart>
        <c:grouping val="standard"/>
        <c:varyColors val="0"/>
        <c:ser>
          <c:idx val="1"/>
          <c:order val="1"/>
          <c:tx>
            <c:strRef>
              <c:f>'CÔNG NGHỆ'!$V$18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'CÔNG NGHỆ'!$T$19:$T$29</c:f>
              <c:strCache>
                <c:ptCount val="10"/>
                <c:pt idx="0">
                  <c:v>ADS</c:v>
                </c:pt>
                <c:pt idx="1">
                  <c:v>CTR</c:v>
                </c:pt>
                <c:pt idx="2">
                  <c:v>CMG</c:v>
                </c:pt>
                <c:pt idx="3">
                  <c:v>ELC</c:v>
                </c:pt>
                <c:pt idx="4">
                  <c:v>VTK</c:v>
                </c:pt>
                <c:pt idx="5">
                  <c:v>ITD</c:v>
                </c:pt>
                <c:pt idx="6">
                  <c:v>FPT</c:v>
                </c:pt>
                <c:pt idx="7">
                  <c:v>FOX</c:v>
                </c:pt>
                <c:pt idx="8">
                  <c:v>ICT</c:v>
                </c:pt>
                <c:pt idx="9">
                  <c:v>DGT</c:v>
                </c:pt>
              </c:strCache>
            </c:strRef>
          </c:cat>
          <c:val>
            <c:numRef>
              <c:f>'CÔNG NGHỆ'!$V$19:$V$29</c:f>
              <c:numCache>
                <c:formatCode>General</c:formatCode>
                <c:ptCount val="10"/>
                <c:pt idx="0">
                  <c:v>0.78181346802924045</c:v>
                </c:pt>
                <c:pt idx="1">
                  <c:v>0.2131952352065985</c:v>
                </c:pt>
                <c:pt idx="2">
                  <c:v>0.47292175086972327</c:v>
                </c:pt>
                <c:pt idx="3">
                  <c:v>0.18334561532792926</c:v>
                </c:pt>
                <c:pt idx="4">
                  <c:v>4.2771876842917042E-2</c:v>
                </c:pt>
                <c:pt idx="5">
                  <c:v>0.24549067563436258</c:v>
                </c:pt>
                <c:pt idx="6">
                  <c:v>0.45675143626210279</c:v>
                </c:pt>
                <c:pt idx="7">
                  <c:v>0.14132969595635148</c:v>
                </c:pt>
                <c:pt idx="8">
                  <c:v>0.44423076923076926</c:v>
                </c:pt>
                <c:pt idx="9">
                  <c:v>0.74217344368477867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C2-43C9-AF22-49094CDE7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908984"/>
        <c:axId val="489907544"/>
      </c:lineChart>
      <c:catAx>
        <c:axId val="558287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58289000"/>
        <c:crosses val="autoZero"/>
        <c:auto val="1"/>
        <c:lblAlgn val="ctr"/>
        <c:lblOffset val="100"/>
        <c:noMultiLvlLbl val="0"/>
      </c:catAx>
      <c:valAx>
        <c:axId val="558289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58287920"/>
        <c:crosses val="autoZero"/>
        <c:crossBetween val="between"/>
      </c:valAx>
      <c:valAx>
        <c:axId val="4899075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89908984"/>
        <c:crosses val="max"/>
        <c:crossBetween val="between"/>
      </c:valAx>
      <c:catAx>
        <c:axId val="4899089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9907544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6158097527607316"/>
          <c:y val="0.91666574031187276"/>
          <c:w val="0.47452166840490384"/>
          <c:h val="8.33342596881272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[THONG_KE_VNINDEX_VN30.xlsm]BẢO HIỂM - DV TÀI CHÍNH!PivotTable1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Biểu</a:t>
            </a:r>
            <a:r>
              <a:rPr lang="en-US" b="1" baseline="0">
                <a:solidFill>
                  <a:schemeClr val="tx1"/>
                </a:solidFill>
              </a:rPr>
              <a:t> đồ biến động giá ngành Bảo hiểm - DV Tài chính</a:t>
            </a:r>
            <a:endParaRPr lang="en-U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60192874304884E-2"/>
          <c:y val="0.11904761904761904"/>
          <c:w val="0.85985784291169021"/>
          <c:h val="0.7191288588926384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'BẢO HIỂM - DV TÀI CHÍNH'!$T$18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'BẢO HIỂM - DV TÀI CHÍNH'!$S$19:$S$30</c:f>
              <c:strCache>
                <c:ptCount val="11"/>
                <c:pt idx="0">
                  <c:v>BVH</c:v>
                </c:pt>
                <c:pt idx="1">
                  <c:v>BMI</c:v>
                </c:pt>
                <c:pt idx="2">
                  <c:v>OGC</c:v>
                </c:pt>
                <c:pt idx="3">
                  <c:v>FIT</c:v>
                </c:pt>
                <c:pt idx="4">
                  <c:v>EVF</c:v>
                </c:pt>
                <c:pt idx="5">
                  <c:v>BLI</c:v>
                </c:pt>
                <c:pt idx="6">
                  <c:v>BCG</c:v>
                </c:pt>
                <c:pt idx="7">
                  <c:v>TVC</c:v>
                </c:pt>
                <c:pt idx="8">
                  <c:v>BIC</c:v>
                </c:pt>
                <c:pt idx="9">
                  <c:v>ABI</c:v>
                </c:pt>
                <c:pt idx="10">
                  <c:v>MIG</c:v>
                </c:pt>
              </c:strCache>
            </c:strRef>
          </c:cat>
          <c:val>
            <c:numRef>
              <c:f>'BẢO HIỂM - DV TÀI CHÍNH'!$T$19:$T$30</c:f>
              <c:numCache>
                <c:formatCode>General</c:formatCode>
                <c:ptCount val="11"/>
                <c:pt idx="0">
                  <c:v>2.0899999999999998E-2</c:v>
                </c:pt>
                <c:pt idx="1">
                  <c:v>1.4800000000000001E-2</c:v>
                </c:pt>
                <c:pt idx="2">
                  <c:v>3.8E-3</c:v>
                </c:pt>
                <c:pt idx="3">
                  <c:v>2.8000000000000004E-3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-1.15E-2</c:v>
                </c:pt>
                <c:pt idx="8">
                  <c:v>-1.55E-2</c:v>
                </c:pt>
                <c:pt idx="9">
                  <c:v>-1.5700000000000002E-2</c:v>
                </c:pt>
                <c:pt idx="10">
                  <c:v>-1.6899999999999998E-2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42E8-4256-BC81-97AF513D5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10716104"/>
        <c:axId val="710720424"/>
      </c:barChart>
      <c:lineChart>
        <c:grouping val="standard"/>
        <c:varyColors val="0"/>
        <c:ser>
          <c:idx val="1"/>
          <c:order val="1"/>
          <c:tx>
            <c:strRef>
              <c:f>'BẢO HIỂM - DV TÀI CHÍNH'!$U$18</c:f>
              <c:strCache>
                <c:ptCount val="1"/>
                <c:pt idx="0">
                  <c:v>Sum of KLGD/1000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'BẢO HIỂM - DV TÀI CHÍNH'!$S$19:$S$30</c:f>
              <c:strCache>
                <c:ptCount val="11"/>
                <c:pt idx="0">
                  <c:v>BVH</c:v>
                </c:pt>
                <c:pt idx="1">
                  <c:v>BMI</c:v>
                </c:pt>
                <c:pt idx="2">
                  <c:v>OGC</c:v>
                </c:pt>
                <c:pt idx="3">
                  <c:v>FIT</c:v>
                </c:pt>
                <c:pt idx="4">
                  <c:v>EVF</c:v>
                </c:pt>
                <c:pt idx="5">
                  <c:v>BLI</c:v>
                </c:pt>
                <c:pt idx="6">
                  <c:v>BCG</c:v>
                </c:pt>
                <c:pt idx="7">
                  <c:v>TVC</c:v>
                </c:pt>
                <c:pt idx="8">
                  <c:v>BIC</c:v>
                </c:pt>
                <c:pt idx="9">
                  <c:v>ABI</c:v>
                </c:pt>
                <c:pt idx="10">
                  <c:v>MIG</c:v>
                </c:pt>
              </c:strCache>
            </c:strRef>
          </c:cat>
          <c:val>
            <c:numRef>
              <c:f>'BẢO HIỂM - DV TÀI CHÍNH'!$U$19:$U$30</c:f>
              <c:numCache>
                <c:formatCode>General</c:formatCode>
                <c:ptCount val="11"/>
                <c:pt idx="0">
                  <c:v>221.2</c:v>
                </c:pt>
                <c:pt idx="1">
                  <c:v>26</c:v>
                </c:pt>
                <c:pt idx="2">
                  <c:v>37.9</c:v>
                </c:pt>
                <c:pt idx="3">
                  <c:v>34.5</c:v>
                </c:pt>
                <c:pt idx="4">
                  <c:v>582.4</c:v>
                </c:pt>
                <c:pt idx="5">
                  <c:v>1.6</c:v>
                </c:pt>
                <c:pt idx="6">
                  <c:v>0</c:v>
                </c:pt>
                <c:pt idx="7">
                  <c:v>6.6</c:v>
                </c:pt>
                <c:pt idx="8">
                  <c:v>22</c:v>
                </c:pt>
                <c:pt idx="9">
                  <c:v>5.7</c:v>
                </c:pt>
                <c:pt idx="10">
                  <c:v>37.9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1F-4167-B3B6-EF8274042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0741904"/>
        <c:axId val="870741544"/>
      </c:lineChart>
      <c:catAx>
        <c:axId val="710716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710720424"/>
        <c:crosses val="autoZero"/>
        <c:auto val="1"/>
        <c:lblAlgn val="ctr"/>
        <c:lblOffset val="100"/>
        <c:noMultiLvlLbl val="0"/>
      </c:catAx>
      <c:valAx>
        <c:axId val="71072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710716104"/>
        <c:crosses val="autoZero"/>
        <c:crossBetween val="between"/>
      </c:valAx>
      <c:valAx>
        <c:axId val="8707415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870741904"/>
        <c:crosses val="max"/>
        <c:crossBetween val="between"/>
      </c:valAx>
      <c:catAx>
        <c:axId val="870741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707415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2001531768606478"/>
          <c:y val="0.9041143673608848"/>
          <c:w val="0.35894721538132957"/>
          <c:h val="8.4051313112488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[THONG_KE_VNINDEX_VN30.xlsm]BÁN LẺ!PivotTable8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Bán lẻ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7521690403464475E-2"/>
          <c:y val="0.12214098237720285"/>
          <c:w val="0.88397266702010735"/>
          <c:h val="0.751749781277340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'BÁN LẺ'!$U$18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'BÁN LẺ'!$T$19:$T$31</c:f>
              <c:strCache>
                <c:ptCount val="12"/>
                <c:pt idx="0">
                  <c:v>PET</c:v>
                </c:pt>
                <c:pt idx="1">
                  <c:v>HUT</c:v>
                </c:pt>
                <c:pt idx="2">
                  <c:v>MWG</c:v>
                </c:pt>
                <c:pt idx="3">
                  <c:v>FRT</c:v>
                </c:pt>
                <c:pt idx="4">
                  <c:v>HHS</c:v>
                </c:pt>
                <c:pt idx="5">
                  <c:v>DGW</c:v>
                </c:pt>
                <c:pt idx="6">
                  <c:v>CSM</c:v>
                </c:pt>
                <c:pt idx="7">
                  <c:v>HAX</c:v>
                </c:pt>
                <c:pt idx="8">
                  <c:v>CTF</c:v>
                </c:pt>
                <c:pt idx="9">
                  <c:v>VEA</c:v>
                </c:pt>
                <c:pt idx="10">
                  <c:v>DAH</c:v>
                </c:pt>
                <c:pt idx="11">
                  <c:v>PNJ</c:v>
                </c:pt>
              </c:strCache>
            </c:strRef>
          </c:cat>
          <c:val>
            <c:numRef>
              <c:f>'BÁN LẺ'!$U$19:$U$31</c:f>
              <c:numCache>
                <c:formatCode>0.00%</c:formatCode>
                <c:ptCount val="12"/>
                <c:pt idx="0">
                  <c:v>-2.0400000000000001E-2</c:v>
                </c:pt>
                <c:pt idx="1">
                  <c:v>-1.9900000000000001E-2</c:v>
                </c:pt>
                <c:pt idx="2">
                  <c:v>-7.9000000000000008E-3</c:v>
                </c:pt>
                <c:pt idx="3">
                  <c:v>-7.9000000000000008E-3</c:v>
                </c:pt>
                <c:pt idx="4">
                  <c:v>-4.6999999999999993E-3</c:v>
                </c:pt>
                <c:pt idx="5">
                  <c:v>-3.9000000000000003E-3</c:v>
                </c:pt>
                <c:pt idx="6">
                  <c:v>-3.4999999999999996E-3</c:v>
                </c:pt>
                <c:pt idx="7">
                  <c:v>-3.2000000000000002E-3</c:v>
                </c:pt>
                <c:pt idx="8">
                  <c:v>-2.8999999999999998E-3</c:v>
                </c:pt>
                <c:pt idx="9">
                  <c:v>-2.8999999999999998E-3</c:v>
                </c:pt>
                <c:pt idx="10">
                  <c:v>0</c:v>
                </c:pt>
                <c:pt idx="11">
                  <c:v>3.4200000000000001E-2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1D6B-4A08-93F2-DDCC01FE2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8"/>
        <c:axId val="478556144"/>
        <c:axId val="478556504"/>
      </c:barChart>
      <c:lineChart>
        <c:grouping val="standard"/>
        <c:varyColors val="0"/>
        <c:ser>
          <c:idx val="1"/>
          <c:order val="1"/>
          <c:tx>
            <c:strRef>
              <c:f>'BÁN LẺ'!$V$18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'BÁN LẺ'!$T$19:$T$31</c:f>
              <c:strCache>
                <c:ptCount val="12"/>
                <c:pt idx="0">
                  <c:v>PET</c:v>
                </c:pt>
                <c:pt idx="1">
                  <c:v>HUT</c:v>
                </c:pt>
                <c:pt idx="2">
                  <c:v>MWG</c:v>
                </c:pt>
                <c:pt idx="3">
                  <c:v>FRT</c:v>
                </c:pt>
                <c:pt idx="4">
                  <c:v>HHS</c:v>
                </c:pt>
                <c:pt idx="5">
                  <c:v>DGW</c:v>
                </c:pt>
                <c:pt idx="6">
                  <c:v>CSM</c:v>
                </c:pt>
                <c:pt idx="7">
                  <c:v>HAX</c:v>
                </c:pt>
                <c:pt idx="8">
                  <c:v>CTF</c:v>
                </c:pt>
                <c:pt idx="9">
                  <c:v>VEA</c:v>
                </c:pt>
                <c:pt idx="10">
                  <c:v>DAH</c:v>
                </c:pt>
                <c:pt idx="11">
                  <c:v>PNJ</c:v>
                </c:pt>
              </c:strCache>
            </c:strRef>
          </c:cat>
          <c:val>
            <c:numRef>
              <c:f>'BÁN LẺ'!$V$19:$V$31</c:f>
              <c:numCache>
                <c:formatCode>General</c:formatCode>
                <c:ptCount val="12"/>
                <c:pt idx="0">
                  <c:v>0.16201399077944051</c:v>
                </c:pt>
                <c:pt idx="1">
                  <c:v>0.52016904245768458</c:v>
                </c:pt>
                <c:pt idx="2">
                  <c:v>0.40105787436744117</c:v>
                </c:pt>
                <c:pt idx="3">
                  <c:v>0.15114207412458039</c:v>
                </c:pt>
                <c:pt idx="4">
                  <c:v>0.18938965482073486</c:v>
                </c:pt>
                <c:pt idx="5">
                  <c:v>0.27637003028230928</c:v>
                </c:pt>
                <c:pt idx="6">
                  <c:v>0.13898069441564936</c:v>
                </c:pt>
                <c:pt idx="7">
                  <c:v>0.59906197349847456</c:v>
                </c:pt>
                <c:pt idx="8">
                  <c:v>0.77158242140003475</c:v>
                </c:pt>
                <c:pt idx="9">
                  <c:v>0.4844275894761792</c:v>
                </c:pt>
                <c:pt idx="10">
                  <c:v>4.1102756892230578E-2</c:v>
                </c:pt>
                <c:pt idx="11">
                  <c:v>0.85962686300439617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6B-4A08-93F2-DDCC01FE2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935888"/>
        <c:axId val="628943808"/>
      </c:lineChart>
      <c:catAx>
        <c:axId val="47855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78556504"/>
        <c:crosses val="autoZero"/>
        <c:auto val="1"/>
        <c:lblAlgn val="ctr"/>
        <c:lblOffset val="100"/>
        <c:noMultiLvlLbl val="0"/>
      </c:catAx>
      <c:valAx>
        <c:axId val="478556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78556144"/>
        <c:crosses val="autoZero"/>
        <c:crossBetween val="between"/>
      </c:valAx>
      <c:valAx>
        <c:axId val="6289438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28935888"/>
        <c:crosses val="max"/>
        <c:crossBetween val="between"/>
      </c:valAx>
      <c:catAx>
        <c:axId val="628935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289438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9803814578862627"/>
          <c:y val="0.93353080864891891"/>
          <c:w val="0.59216879255936694"/>
          <c:h val="5.75415573053368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[THONG_KE_VNINDEX_VN30.xlsm]DỆT MAY!PivotTable1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/>
                </a:solidFill>
              </a:rPr>
              <a:t>Biểu</a:t>
            </a:r>
            <a:r>
              <a:rPr lang="en-US" sz="1600" b="1" baseline="0">
                <a:solidFill>
                  <a:schemeClr val="tx1"/>
                </a:solidFill>
              </a:rPr>
              <a:t> đồ biến động nhóm Dệt may</a:t>
            </a:r>
            <a:endParaRPr lang="en-US" sz="16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221953159032439E-2"/>
          <c:y val="0.11884545133612683"/>
          <c:w val="0.89942794955508598"/>
          <c:h val="0.705260395082193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'DỆT MAY'!$U$18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'DỆT MAY'!$T$19:$T$30</c:f>
              <c:strCache>
                <c:ptCount val="11"/>
                <c:pt idx="0">
                  <c:v>GIL</c:v>
                </c:pt>
                <c:pt idx="1">
                  <c:v>ADS</c:v>
                </c:pt>
                <c:pt idx="2">
                  <c:v>AAT</c:v>
                </c:pt>
                <c:pt idx="3">
                  <c:v>TCM</c:v>
                </c:pt>
                <c:pt idx="4">
                  <c:v>EVE</c:v>
                </c:pt>
                <c:pt idx="5">
                  <c:v>STK</c:v>
                </c:pt>
                <c:pt idx="6">
                  <c:v>SVD</c:v>
                </c:pt>
                <c:pt idx="7">
                  <c:v>HTG</c:v>
                </c:pt>
                <c:pt idx="8">
                  <c:v>SBG</c:v>
                </c:pt>
                <c:pt idx="9">
                  <c:v>MSH</c:v>
                </c:pt>
                <c:pt idx="10">
                  <c:v>KMR</c:v>
                </c:pt>
              </c:strCache>
            </c:strRef>
          </c:cat>
          <c:val>
            <c:numRef>
              <c:f>'DỆT MAY'!$U$19:$U$30</c:f>
              <c:numCache>
                <c:formatCode>0.00%</c:formatCode>
                <c:ptCount val="11"/>
                <c:pt idx="0">
                  <c:v>-6.9599999999999995E-2</c:v>
                </c:pt>
                <c:pt idx="1">
                  <c:v>-2.6000000000000002E-2</c:v>
                </c:pt>
                <c:pt idx="2">
                  <c:v>-1.4800000000000001E-2</c:v>
                </c:pt>
                <c:pt idx="3">
                  <c:v>-7.4999999999999997E-3</c:v>
                </c:pt>
                <c:pt idx="4">
                  <c:v>-2.3E-3</c:v>
                </c:pt>
                <c:pt idx="5">
                  <c:v>-1.1000000000000001E-3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4.0000000000000001E-3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FFED-42CC-B58F-9C374C577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31599416"/>
        <c:axId val="531594016"/>
      </c:barChart>
      <c:lineChart>
        <c:grouping val="standard"/>
        <c:varyColors val="0"/>
        <c:ser>
          <c:idx val="1"/>
          <c:order val="1"/>
          <c:tx>
            <c:strRef>
              <c:f>'DỆT MAY'!$V$18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'DỆT MAY'!$T$19:$T$30</c:f>
              <c:strCache>
                <c:ptCount val="11"/>
                <c:pt idx="0">
                  <c:v>GIL</c:v>
                </c:pt>
                <c:pt idx="1">
                  <c:v>ADS</c:v>
                </c:pt>
                <c:pt idx="2">
                  <c:v>AAT</c:v>
                </c:pt>
                <c:pt idx="3">
                  <c:v>TCM</c:v>
                </c:pt>
                <c:pt idx="4">
                  <c:v>EVE</c:v>
                </c:pt>
                <c:pt idx="5">
                  <c:v>STK</c:v>
                </c:pt>
                <c:pt idx="6">
                  <c:v>SVD</c:v>
                </c:pt>
                <c:pt idx="7">
                  <c:v>HTG</c:v>
                </c:pt>
                <c:pt idx="8">
                  <c:v>SBG</c:v>
                </c:pt>
                <c:pt idx="9">
                  <c:v>MSH</c:v>
                </c:pt>
                <c:pt idx="10">
                  <c:v>KMR</c:v>
                </c:pt>
              </c:strCache>
            </c:strRef>
          </c:cat>
          <c:val>
            <c:numRef>
              <c:f>'DỆT MAY'!$V$19:$V$30</c:f>
              <c:numCache>
                <c:formatCode>General</c:formatCode>
                <c:ptCount val="11"/>
                <c:pt idx="0">
                  <c:v>1.1040250914793519</c:v>
                </c:pt>
                <c:pt idx="1">
                  <c:v>0.78181346802924045</c:v>
                </c:pt>
                <c:pt idx="2">
                  <c:v>0.42943587741557682</c:v>
                </c:pt>
                <c:pt idx="3">
                  <c:v>0.59099387707649786</c:v>
                </c:pt>
                <c:pt idx="4">
                  <c:v>3.3783783783783786E-2</c:v>
                </c:pt>
                <c:pt idx="5">
                  <c:v>5.2330947253576746E-2</c:v>
                </c:pt>
                <c:pt idx="6">
                  <c:v>0.16661811826390913</c:v>
                </c:pt>
                <c:pt idx="7">
                  <c:v>0.42436548223350257</c:v>
                </c:pt>
                <c:pt idx="8">
                  <c:v>0.9319988442345335</c:v>
                </c:pt>
                <c:pt idx="9">
                  <c:v>0.47619047619047616</c:v>
                </c:pt>
                <c:pt idx="10">
                  <c:v>8.994276369582993E-2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ED-42CC-B58F-9C374C577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609496"/>
        <c:axId val="531608776"/>
      </c:lineChart>
      <c:catAx>
        <c:axId val="531599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1594016"/>
        <c:crosses val="autoZero"/>
        <c:auto val="1"/>
        <c:lblAlgn val="ctr"/>
        <c:lblOffset val="100"/>
        <c:noMultiLvlLbl val="0"/>
      </c:catAx>
      <c:valAx>
        <c:axId val="53159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1599416"/>
        <c:crosses val="autoZero"/>
        <c:crossBetween val="between"/>
      </c:valAx>
      <c:valAx>
        <c:axId val="5316087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1609496"/>
        <c:crosses val="max"/>
        <c:crossBetween val="between"/>
      </c:valAx>
      <c:catAx>
        <c:axId val="531609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16087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7954431974159"/>
          <c:y val="0.93182776884072283"/>
          <c:w val="0.71014955267245838"/>
          <c:h val="6.45183868145514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[THONG_KE_VNINDEX_VN30.xlsm]THÉP!PivotTable10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Thép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2743444798134682E-2"/>
          <c:y val="0.11826907803671514"/>
          <c:w val="0.89568537955543293"/>
          <c:h val="0.69737820236447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THÉP!$U$18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THÉP!$T$19:$T$27</c:f>
              <c:strCache>
                <c:ptCount val="8"/>
                <c:pt idx="0">
                  <c:v>VCA</c:v>
                </c:pt>
                <c:pt idx="1">
                  <c:v>TNI</c:v>
                </c:pt>
                <c:pt idx="2">
                  <c:v>HPG</c:v>
                </c:pt>
                <c:pt idx="3">
                  <c:v>TLH</c:v>
                </c:pt>
                <c:pt idx="4">
                  <c:v>NKG</c:v>
                </c:pt>
                <c:pt idx="5">
                  <c:v>SHI</c:v>
                </c:pt>
                <c:pt idx="6">
                  <c:v>SMC</c:v>
                </c:pt>
                <c:pt idx="7">
                  <c:v>HSG</c:v>
                </c:pt>
              </c:strCache>
            </c:strRef>
          </c:cat>
          <c:val>
            <c:numRef>
              <c:f>THÉP!$U$19:$U$27</c:f>
              <c:numCache>
                <c:formatCode>0.00%</c:formatCode>
                <c:ptCount val="8"/>
                <c:pt idx="0">
                  <c:v>-5.5899999999999998E-2</c:v>
                </c:pt>
                <c:pt idx="1">
                  <c:v>-2.3599999999999999E-2</c:v>
                </c:pt>
                <c:pt idx="2">
                  <c:v>-8.8999999999999999E-3</c:v>
                </c:pt>
                <c:pt idx="3">
                  <c:v>-4.6999999999999993E-3</c:v>
                </c:pt>
                <c:pt idx="4">
                  <c:v>-4.3E-3</c:v>
                </c:pt>
                <c:pt idx="5">
                  <c:v>0</c:v>
                </c:pt>
                <c:pt idx="6">
                  <c:v>0</c:v>
                </c:pt>
                <c:pt idx="7">
                  <c:v>8.8999999999999999E-3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C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4BBC-4EAC-A13F-5A0824D1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8"/>
        <c:axId val="628937328"/>
        <c:axId val="628942368"/>
      </c:barChart>
      <c:lineChart>
        <c:grouping val="standard"/>
        <c:varyColors val="0"/>
        <c:ser>
          <c:idx val="1"/>
          <c:order val="1"/>
          <c:tx>
            <c:strRef>
              <c:f>THÉP!$V$18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THÉP!$T$19:$T$27</c:f>
              <c:strCache>
                <c:ptCount val="8"/>
                <c:pt idx="0">
                  <c:v>VCA</c:v>
                </c:pt>
                <c:pt idx="1">
                  <c:v>TNI</c:v>
                </c:pt>
                <c:pt idx="2">
                  <c:v>HPG</c:v>
                </c:pt>
                <c:pt idx="3">
                  <c:v>TLH</c:v>
                </c:pt>
                <c:pt idx="4">
                  <c:v>NKG</c:v>
                </c:pt>
                <c:pt idx="5">
                  <c:v>SHI</c:v>
                </c:pt>
                <c:pt idx="6">
                  <c:v>SMC</c:v>
                </c:pt>
                <c:pt idx="7">
                  <c:v>HSG</c:v>
                </c:pt>
              </c:strCache>
            </c:strRef>
          </c:cat>
          <c:val>
            <c:numRef>
              <c:f>THÉP!$V$19:$V$27</c:f>
              <c:numCache>
                <c:formatCode>General</c:formatCode>
                <c:ptCount val="8"/>
                <c:pt idx="0">
                  <c:v>0.43031784841075799</c:v>
                </c:pt>
                <c:pt idx="1">
                  <c:v>3.9691832992111471</c:v>
                </c:pt>
                <c:pt idx="2">
                  <c:v>0.70020562229506278</c:v>
                </c:pt>
                <c:pt idx="3">
                  <c:v>1.6114278138671614</c:v>
                </c:pt>
                <c:pt idx="4">
                  <c:v>0.53137978307167744</c:v>
                </c:pt>
                <c:pt idx="5">
                  <c:v>0.65204928932360162</c:v>
                </c:pt>
                <c:pt idx="6">
                  <c:v>0.35014958543465252</c:v>
                </c:pt>
                <c:pt idx="7">
                  <c:v>0.39274986213955881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BC-4EAC-A13F-5A0824D1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6582792"/>
        <c:axId val="616584232"/>
      </c:lineChart>
      <c:catAx>
        <c:axId val="62893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28942368"/>
        <c:crosses val="autoZero"/>
        <c:auto val="1"/>
        <c:lblAlgn val="ctr"/>
        <c:lblOffset val="100"/>
        <c:noMultiLvlLbl val="0"/>
      </c:catAx>
      <c:valAx>
        <c:axId val="62894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28937328"/>
        <c:crosses val="autoZero"/>
        <c:crossBetween val="between"/>
      </c:valAx>
      <c:valAx>
        <c:axId val="6165842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16582792"/>
        <c:crosses val="max"/>
        <c:crossBetween val="between"/>
      </c:valAx>
      <c:catAx>
        <c:axId val="6165827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65842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3877503090282426"/>
          <c:y val="0.92363006497386679"/>
          <c:w val="0.51850456112474097"/>
          <c:h val="5.95599325300475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[THONG_KE_VNINDEX_VN30.xlsm]NĂNG LƯỢNG - TB ĐIỆN!PivotTable5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Năng lượng - TB Điện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39186527976874E-2"/>
          <c:y val="0.11861089618132993"/>
          <c:w val="0.87617018162255822"/>
          <c:h val="0.711917831080363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'NĂNG LƯỢNG - TB ĐIỆN'!$U$18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'NĂNG LƯỢNG - TB ĐIỆN'!$T$19:$T$35</c:f>
              <c:strCache>
                <c:ptCount val="16"/>
                <c:pt idx="0">
                  <c:v>VNE</c:v>
                </c:pt>
                <c:pt idx="1">
                  <c:v>PC1</c:v>
                </c:pt>
                <c:pt idx="2">
                  <c:v>TTA</c:v>
                </c:pt>
                <c:pt idx="3">
                  <c:v>PAC</c:v>
                </c:pt>
                <c:pt idx="4">
                  <c:v>PPC</c:v>
                </c:pt>
                <c:pt idx="5">
                  <c:v>HHP</c:v>
                </c:pt>
                <c:pt idx="6">
                  <c:v>TV2</c:v>
                </c:pt>
                <c:pt idx="7">
                  <c:v>REE</c:v>
                </c:pt>
                <c:pt idx="8">
                  <c:v>VSH</c:v>
                </c:pt>
                <c:pt idx="9">
                  <c:v>NT2</c:v>
                </c:pt>
                <c:pt idx="10">
                  <c:v>SJD</c:v>
                </c:pt>
                <c:pt idx="11">
                  <c:v>SAM</c:v>
                </c:pt>
                <c:pt idx="12">
                  <c:v>GEG</c:v>
                </c:pt>
                <c:pt idx="13">
                  <c:v>POW</c:v>
                </c:pt>
                <c:pt idx="14">
                  <c:v>GEX</c:v>
                </c:pt>
                <c:pt idx="15">
                  <c:v>GEE</c:v>
                </c:pt>
              </c:strCache>
            </c:strRef>
          </c:cat>
          <c:val>
            <c:numRef>
              <c:f>'NĂNG LƯỢNG - TB ĐIỆN'!$U$19:$U$35</c:f>
              <c:numCache>
                <c:formatCode>0.00%</c:formatCode>
                <c:ptCount val="16"/>
                <c:pt idx="0">
                  <c:v>-0.1</c:v>
                </c:pt>
                <c:pt idx="1">
                  <c:v>-1.18E-2</c:v>
                </c:pt>
                <c:pt idx="2">
                  <c:v>-8.6999999999999994E-3</c:v>
                </c:pt>
                <c:pt idx="3">
                  <c:v>-8.3999999999999995E-3</c:v>
                </c:pt>
                <c:pt idx="4">
                  <c:v>-5.5000000000000005E-3</c:v>
                </c:pt>
                <c:pt idx="5">
                  <c:v>-3.4999999999999996E-3</c:v>
                </c:pt>
                <c:pt idx="6">
                  <c:v>-1.9E-3</c:v>
                </c:pt>
                <c:pt idx="7">
                  <c:v>-1.1000000000000001E-3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3.5999999999999999E-3</c:v>
                </c:pt>
                <c:pt idx="14">
                  <c:v>9.5999999999999992E-3</c:v>
                </c:pt>
                <c:pt idx="15">
                  <c:v>0.01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DA3B-4EBD-AC5D-43C676F66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axId val="483452664"/>
        <c:axId val="483449424"/>
      </c:barChart>
      <c:lineChart>
        <c:grouping val="standard"/>
        <c:varyColors val="0"/>
        <c:ser>
          <c:idx val="1"/>
          <c:order val="1"/>
          <c:tx>
            <c:strRef>
              <c:f>'NĂNG LƯỢNG - TB ĐIỆN'!$V$18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'NĂNG LƯỢNG - TB ĐIỆN'!$T$19:$T$35</c:f>
              <c:strCache>
                <c:ptCount val="16"/>
                <c:pt idx="0">
                  <c:v>VNE</c:v>
                </c:pt>
                <c:pt idx="1">
                  <c:v>PC1</c:v>
                </c:pt>
                <c:pt idx="2">
                  <c:v>TTA</c:v>
                </c:pt>
                <c:pt idx="3">
                  <c:v>PAC</c:v>
                </c:pt>
                <c:pt idx="4">
                  <c:v>PPC</c:v>
                </c:pt>
                <c:pt idx="5">
                  <c:v>HHP</c:v>
                </c:pt>
                <c:pt idx="6">
                  <c:v>TV2</c:v>
                </c:pt>
                <c:pt idx="7">
                  <c:v>REE</c:v>
                </c:pt>
                <c:pt idx="8">
                  <c:v>VSH</c:v>
                </c:pt>
                <c:pt idx="9">
                  <c:v>NT2</c:v>
                </c:pt>
                <c:pt idx="10">
                  <c:v>SJD</c:v>
                </c:pt>
                <c:pt idx="11">
                  <c:v>SAM</c:v>
                </c:pt>
                <c:pt idx="12">
                  <c:v>GEG</c:v>
                </c:pt>
                <c:pt idx="13">
                  <c:v>POW</c:v>
                </c:pt>
                <c:pt idx="14">
                  <c:v>GEX</c:v>
                </c:pt>
                <c:pt idx="15">
                  <c:v>GEE</c:v>
                </c:pt>
              </c:strCache>
            </c:strRef>
          </c:cat>
          <c:val>
            <c:numRef>
              <c:f>'NĂNG LƯỢNG - TB ĐIỆN'!$V$19:$V$35</c:f>
              <c:numCache>
                <c:formatCode>General</c:formatCode>
                <c:ptCount val="16"/>
                <c:pt idx="0">
                  <c:v>0.4644487359550562</c:v>
                </c:pt>
                <c:pt idx="1">
                  <c:v>0.18673641209585015</c:v>
                </c:pt>
                <c:pt idx="2">
                  <c:v>6.3346603570444929E-2</c:v>
                </c:pt>
                <c:pt idx="3">
                  <c:v>0.21796266353079524</c:v>
                </c:pt>
                <c:pt idx="4">
                  <c:v>1.2986306030449946</c:v>
                </c:pt>
                <c:pt idx="5">
                  <c:v>0.37616393646276253</c:v>
                </c:pt>
                <c:pt idx="6">
                  <c:v>0.21007925988043391</c:v>
                </c:pt>
                <c:pt idx="7">
                  <c:v>0.4269734376596977</c:v>
                </c:pt>
                <c:pt idx="8">
                  <c:v>2.9743016759776539</c:v>
                </c:pt>
                <c:pt idx="9">
                  <c:v>0.41059673764805688</c:v>
                </c:pt>
                <c:pt idx="10">
                  <c:v>0.21956465628495225</c:v>
                </c:pt>
                <c:pt idx="11">
                  <c:v>7.5592715611041111E-2</c:v>
                </c:pt>
                <c:pt idx="12">
                  <c:v>0.25240805320403953</c:v>
                </c:pt>
                <c:pt idx="13">
                  <c:v>0.29443752890907748</c:v>
                </c:pt>
                <c:pt idx="14">
                  <c:v>0.34005215415677215</c:v>
                </c:pt>
                <c:pt idx="15">
                  <c:v>0.48025682182985552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3B-4EBD-AC5D-43C676F66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471848"/>
        <c:axId val="103471488"/>
      </c:lineChart>
      <c:catAx>
        <c:axId val="483452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83449424"/>
        <c:crosses val="autoZero"/>
        <c:auto val="1"/>
        <c:lblAlgn val="ctr"/>
        <c:lblOffset val="100"/>
        <c:noMultiLvlLbl val="0"/>
      </c:catAx>
      <c:valAx>
        <c:axId val="48344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83452664"/>
        <c:crosses val="autoZero"/>
        <c:crossBetween val="between"/>
      </c:valAx>
      <c:valAx>
        <c:axId val="1034714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03471848"/>
        <c:crosses val="max"/>
        <c:crossBetween val="between"/>
      </c:valAx>
      <c:catAx>
        <c:axId val="103471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34714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3636102412091897"/>
          <c:y val="0.9479759683218788"/>
          <c:w val="0.52183834911759719"/>
          <c:h val="4.81713774217529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[THONG_KE_VNINDEX_VN30.xlsm]CÔNG NGHIỆP - KCN!PivotTable1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Công nghiệp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8500996568665151E-2"/>
          <c:y val="0.16595078299776286"/>
          <c:w val="0.86815197814104972"/>
          <c:h val="0.669487572442706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'CÔNG NGHIỆP - KCN'!$U$18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'CÔNG NGHIỆP - KCN'!$T$19:$T$37</c:f>
              <c:strCache>
                <c:ptCount val="18"/>
                <c:pt idx="0">
                  <c:v>SGT</c:v>
                </c:pt>
                <c:pt idx="1">
                  <c:v>MH3</c:v>
                </c:pt>
                <c:pt idx="2">
                  <c:v>SZL</c:v>
                </c:pt>
                <c:pt idx="3">
                  <c:v>NLG</c:v>
                </c:pt>
                <c:pt idx="4">
                  <c:v>CCL</c:v>
                </c:pt>
                <c:pt idx="5">
                  <c:v>VGC</c:v>
                </c:pt>
                <c:pt idx="6">
                  <c:v>KBC</c:v>
                </c:pt>
                <c:pt idx="7">
                  <c:v>LHG</c:v>
                </c:pt>
                <c:pt idx="8">
                  <c:v>SZC</c:v>
                </c:pt>
                <c:pt idx="9">
                  <c:v>TIP</c:v>
                </c:pt>
                <c:pt idx="10">
                  <c:v>NTC</c:v>
                </c:pt>
                <c:pt idx="11">
                  <c:v>IDV</c:v>
                </c:pt>
                <c:pt idx="12">
                  <c:v>SIP</c:v>
                </c:pt>
                <c:pt idx="13">
                  <c:v>PHR</c:v>
                </c:pt>
                <c:pt idx="14">
                  <c:v>BCM</c:v>
                </c:pt>
                <c:pt idx="15">
                  <c:v>IDC</c:v>
                </c:pt>
                <c:pt idx="16">
                  <c:v>D2D</c:v>
                </c:pt>
                <c:pt idx="17">
                  <c:v>VRG</c:v>
                </c:pt>
              </c:strCache>
            </c:strRef>
          </c:cat>
          <c:val>
            <c:numRef>
              <c:f>'CÔNG NGHIỆP - KCN'!$U$19:$U$37</c:f>
              <c:numCache>
                <c:formatCode>0.00%</c:formatCode>
                <c:ptCount val="18"/>
                <c:pt idx="0">
                  <c:v>-6.6400000000000001E-2</c:v>
                </c:pt>
                <c:pt idx="1">
                  <c:v>-5.45E-2</c:v>
                </c:pt>
                <c:pt idx="2">
                  <c:v>-1.47E-2</c:v>
                </c:pt>
                <c:pt idx="3">
                  <c:v>-1.18E-2</c:v>
                </c:pt>
                <c:pt idx="4">
                  <c:v>-9.7000000000000003E-3</c:v>
                </c:pt>
                <c:pt idx="5">
                  <c:v>-7.1999999999999998E-3</c:v>
                </c:pt>
                <c:pt idx="6">
                  <c:v>-7.0999999999999995E-3</c:v>
                </c:pt>
                <c:pt idx="7">
                  <c:v>-6.8999999999999999E-3</c:v>
                </c:pt>
                <c:pt idx="8">
                  <c:v>-4.8999999999999998E-3</c:v>
                </c:pt>
                <c:pt idx="9">
                  <c:v>-2.8000000000000004E-3</c:v>
                </c:pt>
                <c:pt idx="10">
                  <c:v>-8.0000000000000004E-4</c:v>
                </c:pt>
                <c:pt idx="11">
                  <c:v>0</c:v>
                </c:pt>
                <c:pt idx="12">
                  <c:v>1E-3</c:v>
                </c:pt>
                <c:pt idx="13">
                  <c:v>6.5000000000000006E-3</c:v>
                </c:pt>
                <c:pt idx="14">
                  <c:v>8.6999999999999994E-3</c:v>
                </c:pt>
                <c:pt idx="15">
                  <c:v>1.06E-2</c:v>
                </c:pt>
                <c:pt idx="16">
                  <c:v>1.55E-2</c:v>
                </c:pt>
                <c:pt idx="17">
                  <c:v>2.8399999999999998E-2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29F6-4A8B-9C85-F126881DA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8"/>
        <c:axId val="548619216"/>
        <c:axId val="548627136"/>
      </c:barChart>
      <c:lineChart>
        <c:grouping val="standard"/>
        <c:varyColors val="0"/>
        <c:ser>
          <c:idx val="1"/>
          <c:order val="1"/>
          <c:tx>
            <c:strRef>
              <c:f>'CÔNG NGHIỆP - KCN'!$V$18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'CÔNG NGHIỆP - KCN'!$T$19:$T$37</c:f>
              <c:strCache>
                <c:ptCount val="18"/>
                <c:pt idx="0">
                  <c:v>SGT</c:v>
                </c:pt>
                <c:pt idx="1">
                  <c:v>MH3</c:v>
                </c:pt>
                <c:pt idx="2">
                  <c:v>SZL</c:v>
                </c:pt>
                <c:pt idx="3">
                  <c:v>NLG</c:v>
                </c:pt>
                <c:pt idx="4">
                  <c:v>CCL</c:v>
                </c:pt>
                <c:pt idx="5">
                  <c:v>VGC</c:v>
                </c:pt>
                <c:pt idx="6">
                  <c:v>KBC</c:v>
                </c:pt>
                <c:pt idx="7">
                  <c:v>LHG</c:v>
                </c:pt>
                <c:pt idx="8">
                  <c:v>SZC</c:v>
                </c:pt>
                <c:pt idx="9">
                  <c:v>TIP</c:v>
                </c:pt>
                <c:pt idx="10">
                  <c:v>NTC</c:v>
                </c:pt>
                <c:pt idx="11">
                  <c:v>IDV</c:v>
                </c:pt>
                <c:pt idx="12">
                  <c:v>SIP</c:v>
                </c:pt>
                <c:pt idx="13">
                  <c:v>PHR</c:v>
                </c:pt>
                <c:pt idx="14">
                  <c:v>BCM</c:v>
                </c:pt>
                <c:pt idx="15">
                  <c:v>IDC</c:v>
                </c:pt>
                <c:pt idx="16">
                  <c:v>D2D</c:v>
                </c:pt>
                <c:pt idx="17">
                  <c:v>VRG</c:v>
                </c:pt>
              </c:strCache>
            </c:strRef>
          </c:cat>
          <c:val>
            <c:numRef>
              <c:f>'CÔNG NGHIỆP - KCN'!$V$19:$V$37</c:f>
              <c:numCache>
                <c:formatCode>General</c:formatCode>
                <c:ptCount val="18"/>
                <c:pt idx="0">
                  <c:v>4.4861248761149657</c:v>
                </c:pt>
                <c:pt idx="1">
                  <c:v>4.869791666666667</c:v>
                </c:pt>
                <c:pt idx="2">
                  <c:v>7.3674418604651168E-2</c:v>
                </c:pt>
                <c:pt idx="3">
                  <c:v>0.21981790232943124</c:v>
                </c:pt>
                <c:pt idx="4">
                  <c:v>9.3377712848472072E-2</c:v>
                </c:pt>
                <c:pt idx="5">
                  <c:v>0.42508758113135808</c:v>
                </c:pt>
                <c:pt idx="6">
                  <c:v>0.35325738264925693</c:v>
                </c:pt>
                <c:pt idx="7">
                  <c:v>0.62801244997776795</c:v>
                </c:pt>
                <c:pt idx="8">
                  <c:v>0.25769290242770992</c:v>
                </c:pt>
                <c:pt idx="9">
                  <c:v>1.097728013914556</c:v>
                </c:pt>
                <c:pt idx="10">
                  <c:v>0.28472821397756687</c:v>
                </c:pt>
                <c:pt idx="11">
                  <c:v>0.25071225071225073</c:v>
                </c:pt>
                <c:pt idx="12">
                  <c:v>0.25175023988059275</c:v>
                </c:pt>
                <c:pt idx="13">
                  <c:v>0.38537777163140186</c:v>
                </c:pt>
                <c:pt idx="14">
                  <c:v>0.36270530194217199</c:v>
                </c:pt>
                <c:pt idx="15">
                  <c:v>0.58976231854855643</c:v>
                </c:pt>
                <c:pt idx="16">
                  <c:v>0.41912199739675782</c:v>
                </c:pt>
                <c:pt idx="17">
                  <c:v>0.51303155006858714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F6-4A8B-9C85-F126881DA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026152"/>
        <c:axId val="601030472"/>
      </c:lineChart>
      <c:catAx>
        <c:axId val="548619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48627136"/>
        <c:crosses val="autoZero"/>
        <c:auto val="1"/>
        <c:lblAlgn val="ctr"/>
        <c:lblOffset val="100"/>
        <c:noMultiLvlLbl val="0"/>
      </c:catAx>
      <c:valAx>
        <c:axId val="54862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48619216"/>
        <c:crosses val="autoZero"/>
        <c:crossBetween val="between"/>
      </c:valAx>
      <c:valAx>
        <c:axId val="6010304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01026152"/>
        <c:crosses val="max"/>
        <c:crossBetween val="between"/>
      </c:valAx>
      <c:catAx>
        <c:axId val="601026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10304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868192759764748"/>
          <c:y val="0.90449646814282447"/>
          <c:w val="0.70052930933997271"/>
          <c:h val="8.27761630467332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[THONG_KE_VNINDEX_VN30.xlsm]HÓA CHẤT -NHỰA!PivotTable2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Biểu</a:t>
            </a:r>
            <a:r>
              <a:rPr lang="en-US" b="1" baseline="0">
                <a:solidFill>
                  <a:schemeClr val="tx1"/>
                </a:solidFill>
              </a:rPr>
              <a:t> đồ biến động nhóm ngành Hóa Chất - Nhựa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4141783900749108E-2"/>
          <c:y val="0.14049242424242425"/>
          <c:w val="0.8826785664829534"/>
          <c:h val="0.71640330470054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'HÓA CHẤT -NHỰA'!$U$18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'HÓA CHẤT -NHỰA'!$T$19:$T$40</c:f>
              <c:strCache>
                <c:ptCount val="21"/>
                <c:pt idx="0">
                  <c:v>LTG</c:v>
                </c:pt>
                <c:pt idx="1">
                  <c:v>BRC</c:v>
                </c:pt>
                <c:pt idx="2">
                  <c:v>VNP</c:v>
                </c:pt>
                <c:pt idx="3">
                  <c:v>APH</c:v>
                </c:pt>
                <c:pt idx="4">
                  <c:v>NHH</c:v>
                </c:pt>
                <c:pt idx="5">
                  <c:v>HII</c:v>
                </c:pt>
                <c:pt idx="6">
                  <c:v>PCE</c:v>
                </c:pt>
                <c:pt idx="7">
                  <c:v>CSV</c:v>
                </c:pt>
                <c:pt idx="8">
                  <c:v>DGC</c:v>
                </c:pt>
                <c:pt idx="9">
                  <c:v>SFG</c:v>
                </c:pt>
                <c:pt idx="10">
                  <c:v>NFC</c:v>
                </c:pt>
                <c:pt idx="11">
                  <c:v>AAA</c:v>
                </c:pt>
                <c:pt idx="12">
                  <c:v>NTP</c:v>
                </c:pt>
                <c:pt idx="13">
                  <c:v>VTZ</c:v>
                </c:pt>
                <c:pt idx="14">
                  <c:v>LAS</c:v>
                </c:pt>
                <c:pt idx="15">
                  <c:v>HVT</c:v>
                </c:pt>
                <c:pt idx="16">
                  <c:v>BFC</c:v>
                </c:pt>
                <c:pt idx="17">
                  <c:v>BMP</c:v>
                </c:pt>
                <c:pt idx="18">
                  <c:v>DCM</c:v>
                </c:pt>
                <c:pt idx="19">
                  <c:v>DPM</c:v>
                </c:pt>
                <c:pt idx="20">
                  <c:v>VKC</c:v>
                </c:pt>
              </c:strCache>
            </c:strRef>
          </c:cat>
          <c:val>
            <c:numRef>
              <c:f>'HÓA CHẤT -NHỰA'!$U$19:$U$40</c:f>
              <c:numCache>
                <c:formatCode>General</c:formatCode>
                <c:ptCount val="21"/>
                <c:pt idx="0">
                  <c:v>-3.6400000000000002E-2</c:v>
                </c:pt>
                <c:pt idx="1">
                  <c:v>-2.4199999999999999E-2</c:v>
                </c:pt>
                <c:pt idx="2">
                  <c:v>-1.1599999999999999E-2</c:v>
                </c:pt>
                <c:pt idx="3">
                  <c:v>-1.0800000000000001E-2</c:v>
                </c:pt>
                <c:pt idx="4">
                  <c:v>-0.01</c:v>
                </c:pt>
                <c:pt idx="5">
                  <c:v>-5.3E-3</c:v>
                </c:pt>
                <c:pt idx="6">
                  <c:v>-5.1000000000000004E-3</c:v>
                </c:pt>
                <c:pt idx="7">
                  <c:v>-4.4000000000000003E-3</c:v>
                </c:pt>
                <c:pt idx="8">
                  <c:v>-2.2000000000000001E-3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7.4000000000000003E-3</c:v>
                </c:pt>
                <c:pt idx="15">
                  <c:v>1.2699999999999999E-2</c:v>
                </c:pt>
                <c:pt idx="16">
                  <c:v>1.44E-2</c:v>
                </c:pt>
                <c:pt idx="17">
                  <c:v>1.4800000000000001E-2</c:v>
                </c:pt>
                <c:pt idx="18">
                  <c:v>2.76E-2</c:v>
                </c:pt>
                <c:pt idx="19">
                  <c:v>3.2099999999999997E-2</c:v>
                </c:pt>
                <c:pt idx="20">
                  <c:v>0.1429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E780-4A08-94FF-5C037C477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68058880"/>
        <c:axId val="568061040"/>
      </c:barChart>
      <c:lineChart>
        <c:grouping val="standard"/>
        <c:varyColors val="0"/>
        <c:ser>
          <c:idx val="1"/>
          <c:order val="1"/>
          <c:tx>
            <c:strRef>
              <c:f>'HÓA CHẤT -NHỰA'!$V$18</c:f>
              <c:strCache>
                <c:ptCount val="1"/>
                <c:pt idx="0">
                  <c:v>Sum of KL/KLTB21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'HÓA CHẤT -NHỰA'!$T$19:$T$40</c:f>
              <c:strCache>
                <c:ptCount val="21"/>
                <c:pt idx="0">
                  <c:v>LTG</c:v>
                </c:pt>
                <c:pt idx="1">
                  <c:v>BRC</c:v>
                </c:pt>
                <c:pt idx="2">
                  <c:v>VNP</c:v>
                </c:pt>
                <c:pt idx="3">
                  <c:v>APH</c:v>
                </c:pt>
                <c:pt idx="4">
                  <c:v>NHH</c:v>
                </c:pt>
                <c:pt idx="5">
                  <c:v>HII</c:v>
                </c:pt>
                <c:pt idx="6">
                  <c:v>PCE</c:v>
                </c:pt>
                <c:pt idx="7">
                  <c:v>CSV</c:v>
                </c:pt>
                <c:pt idx="8">
                  <c:v>DGC</c:v>
                </c:pt>
                <c:pt idx="9">
                  <c:v>SFG</c:v>
                </c:pt>
                <c:pt idx="10">
                  <c:v>NFC</c:v>
                </c:pt>
                <c:pt idx="11">
                  <c:v>AAA</c:v>
                </c:pt>
                <c:pt idx="12">
                  <c:v>NTP</c:v>
                </c:pt>
                <c:pt idx="13">
                  <c:v>VTZ</c:v>
                </c:pt>
                <c:pt idx="14">
                  <c:v>LAS</c:v>
                </c:pt>
                <c:pt idx="15">
                  <c:v>HVT</c:v>
                </c:pt>
                <c:pt idx="16">
                  <c:v>BFC</c:v>
                </c:pt>
                <c:pt idx="17">
                  <c:v>BMP</c:v>
                </c:pt>
                <c:pt idx="18">
                  <c:v>DCM</c:v>
                </c:pt>
                <c:pt idx="19">
                  <c:v>DPM</c:v>
                </c:pt>
                <c:pt idx="20">
                  <c:v>VKC</c:v>
                </c:pt>
              </c:strCache>
            </c:strRef>
          </c:cat>
          <c:val>
            <c:numRef>
              <c:f>'HÓA CHẤT -NHỰA'!$V$19:$V$40</c:f>
              <c:numCache>
                <c:formatCode>General</c:formatCode>
                <c:ptCount val="21"/>
                <c:pt idx="0">
                  <c:v>0.42264307898912273</c:v>
                </c:pt>
                <c:pt idx="1">
                  <c:v>0.78827361563517917</c:v>
                </c:pt>
                <c:pt idx="2">
                  <c:v>0.65919614692083817</c:v>
                </c:pt>
                <c:pt idx="3">
                  <c:v>0.50230581426892129</c:v>
                </c:pt>
                <c:pt idx="4">
                  <c:v>0.43626839610875534</c:v>
                </c:pt>
                <c:pt idx="5">
                  <c:v>1.2440406199893104</c:v>
                </c:pt>
                <c:pt idx="6">
                  <c:v>0.94017094017094005</c:v>
                </c:pt>
                <c:pt idx="7">
                  <c:v>0.40847812332700639</c:v>
                </c:pt>
                <c:pt idx="8">
                  <c:v>0.27152693926834837</c:v>
                </c:pt>
                <c:pt idx="9">
                  <c:v>0.26894865525672373</c:v>
                </c:pt>
                <c:pt idx="10">
                  <c:v>2.3352333641159548E-2</c:v>
                </c:pt>
                <c:pt idx="11">
                  <c:v>0.40986389140436225</c:v>
                </c:pt>
                <c:pt idx="12">
                  <c:v>0.2689708537529017</c:v>
                </c:pt>
                <c:pt idx="13">
                  <c:v>0.45206065734823503</c:v>
                </c:pt>
                <c:pt idx="14">
                  <c:v>0.43814197671764438</c:v>
                </c:pt>
                <c:pt idx="15">
                  <c:v>0.16728489344679612</c:v>
                </c:pt>
                <c:pt idx="16">
                  <c:v>1.2849356771089069</c:v>
                </c:pt>
                <c:pt idx="17">
                  <c:v>0.69740267252848964</c:v>
                </c:pt>
                <c:pt idx="18">
                  <c:v>0.6256539368122328</c:v>
                </c:pt>
                <c:pt idx="19">
                  <c:v>1.0700176970565261</c:v>
                </c:pt>
                <c:pt idx="20">
                  <c:v>9.3273828498565511E-2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80-4A08-94FF-5C037C477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048800"/>
        <c:axId val="568068600"/>
      </c:lineChart>
      <c:catAx>
        <c:axId val="568058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68061040"/>
        <c:crosses val="autoZero"/>
        <c:auto val="1"/>
        <c:lblAlgn val="ctr"/>
        <c:lblOffset val="100"/>
        <c:noMultiLvlLbl val="0"/>
      </c:catAx>
      <c:valAx>
        <c:axId val="56806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68058880"/>
        <c:crosses val="autoZero"/>
        <c:crossBetween val="between"/>
      </c:valAx>
      <c:valAx>
        <c:axId val="5680686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68048800"/>
        <c:crosses val="max"/>
        <c:crossBetween val="between"/>
      </c:valAx>
      <c:catAx>
        <c:axId val="568048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68068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8428111013039747"/>
          <c:y val="0.917727570985445"/>
          <c:w val="0.41177626041439636"/>
          <c:h val="6.34478644714864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[THONG_KE_VNINDEX_VN30.xlsm]Y TẾ - DƯỢC!PivotTable2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Y tế - Dược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221953159032439E-2"/>
          <c:y val="0.14502443792766373"/>
          <c:w val="0.8668480103479167"/>
          <c:h val="0.726805366338005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'Y TẾ - DƯỢC'!$U$18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'Y TẾ - DƯỢC'!$T$19:$T$27</c:f>
              <c:strCache>
                <c:ptCount val="8"/>
                <c:pt idx="0">
                  <c:v>IMP</c:v>
                </c:pt>
                <c:pt idx="1">
                  <c:v>DBT</c:v>
                </c:pt>
                <c:pt idx="2">
                  <c:v>DBD</c:v>
                </c:pt>
                <c:pt idx="3">
                  <c:v>DHG</c:v>
                </c:pt>
                <c:pt idx="4">
                  <c:v>JVC</c:v>
                </c:pt>
                <c:pt idx="5">
                  <c:v>DCL</c:v>
                </c:pt>
                <c:pt idx="6">
                  <c:v>TNH</c:v>
                </c:pt>
                <c:pt idx="7">
                  <c:v>OPC</c:v>
                </c:pt>
              </c:strCache>
            </c:strRef>
          </c:cat>
          <c:val>
            <c:numRef>
              <c:f>'Y TẾ - DƯỢC'!$U$19:$U$27</c:f>
              <c:numCache>
                <c:formatCode>0.0%</c:formatCode>
                <c:ptCount val="8"/>
                <c:pt idx="0">
                  <c:v>-1.26E-2</c:v>
                </c:pt>
                <c:pt idx="1">
                  <c:v>-7.9000000000000008E-3</c:v>
                </c:pt>
                <c:pt idx="2">
                  <c:v>-5.8999999999999999E-3</c:v>
                </c:pt>
                <c:pt idx="3">
                  <c:v>0</c:v>
                </c:pt>
                <c:pt idx="4">
                  <c:v>0</c:v>
                </c:pt>
                <c:pt idx="5">
                  <c:v>1.2999999999999999E-3</c:v>
                </c:pt>
                <c:pt idx="6">
                  <c:v>3.7000000000000002E-3</c:v>
                </c:pt>
                <c:pt idx="7">
                  <c:v>3.0899999999999997E-2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1C6-418F-B144-3BF7E20C8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8"/>
        <c:axId val="601031912"/>
        <c:axId val="601022552"/>
      </c:barChart>
      <c:lineChart>
        <c:grouping val="standard"/>
        <c:varyColors val="0"/>
        <c:ser>
          <c:idx val="1"/>
          <c:order val="1"/>
          <c:tx>
            <c:strRef>
              <c:f>'Y TẾ - DƯỢC'!$V$18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'Y TẾ - DƯỢC'!$T$19:$T$27</c:f>
              <c:strCache>
                <c:ptCount val="8"/>
                <c:pt idx="0">
                  <c:v>IMP</c:v>
                </c:pt>
                <c:pt idx="1">
                  <c:v>DBT</c:v>
                </c:pt>
                <c:pt idx="2">
                  <c:v>DBD</c:v>
                </c:pt>
                <c:pt idx="3">
                  <c:v>DHG</c:v>
                </c:pt>
                <c:pt idx="4">
                  <c:v>JVC</c:v>
                </c:pt>
                <c:pt idx="5">
                  <c:v>DCL</c:v>
                </c:pt>
                <c:pt idx="6">
                  <c:v>TNH</c:v>
                </c:pt>
                <c:pt idx="7">
                  <c:v>OPC</c:v>
                </c:pt>
              </c:strCache>
            </c:strRef>
          </c:cat>
          <c:val>
            <c:numRef>
              <c:f>'Y TẾ - DƯỢC'!$V$19:$V$27</c:f>
              <c:numCache>
                <c:formatCode>General</c:formatCode>
                <c:ptCount val="8"/>
                <c:pt idx="0">
                  <c:v>0.24941387738813789</c:v>
                </c:pt>
                <c:pt idx="1">
                  <c:v>3.1345410136372891</c:v>
                </c:pt>
                <c:pt idx="2">
                  <c:v>0.32954230235783633</c:v>
                </c:pt>
                <c:pt idx="3">
                  <c:v>0.3686327077747989</c:v>
                </c:pt>
                <c:pt idx="4">
                  <c:v>0.22435072670955444</c:v>
                </c:pt>
                <c:pt idx="5">
                  <c:v>0.51647895199297067</c:v>
                </c:pt>
                <c:pt idx="6">
                  <c:v>0.14523023645906608</c:v>
                </c:pt>
                <c:pt idx="7">
                  <c:v>7.9323797139141741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6B-4138-9701-9DEF51AD5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7190440"/>
        <c:axId val="1177195120"/>
      </c:lineChart>
      <c:catAx>
        <c:axId val="601031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01022552"/>
        <c:crosses val="autoZero"/>
        <c:auto val="1"/>
        <c:lblAlgn val="ctr"/>
        <c:lblOffset val="100"/>
        <c:noMultiLvlLbl val="0"/>
      </c:catAx>
      <c:valAx>
        <c:axId val="60102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01031912"/>
        <c:crosses val="autoZero"/>
        <c:crossBetween val="between"/>
      </c:valAx>
      <c:valAx>
        <c:axId val="11771951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177190440"/>
        <c:crosses val="max"/>
        <c:crossBetween val="between"/>
      </c:valAx>
      <c:catAx>
        <c:axId val="11771904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7195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9637440205643273"/>
          <c:y val="0.91605083088954053"/>
          <c:w val="0.40054248013518856"/>
          <c:h val="8.39491691104594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[THONG_KE_VNINDEX_VN30.xlsm]BĐS!PivotTable6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BĐS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4526379982349923E-2"/>
          <c:y val="0.11999815812497122"/>
          <c:w val="0.87291688072429552"/>
          <c:h val="0.709321422541480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BĐS!$U$18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BĐS!$T$19:$T$61</c:f>
              <c:strCache>
                <c:ptCount val="42"/>
                <c:pt idx="0">
                  <c:v>VPH</c:v>
                </c:pt>
                <c:pt idx="1">
                  <c:v>NVT</c:v>
                </c:pt>
                <c:pt idx="2">
                  <c:v>SGR</c:v>
                </c:pt>
                <c:pt idx="3">
                  <c:v>CKG</c:v>
                </c:pt>
                <c:pt idx="4">
                  <c:v>SJS</c:v>
                </c:pt>
                <c:pt idx="5">
                  <c:v>FIR</c:v>
                </c:pt>
                <c:pt idx="6">
                  <c:v>DIG</c:v>
                </c:pt>
                <c:pt idx="7">
                  <c:v>KDH</c:v>
                </c:pt>
                <c:pt idx="8">
                  <c:v>PDR</c:v>
                </c:pt>
                <c:pt idx="9">
                  <c:v>HDC</c:v>
                </c:pt>
                <c:pt idx="10">
                  <c:v>NTL</c:v>
                </c:pt>
                <c:pt idx="11">
                  <c:v>KOS</c:v>
                </c:pt>
                <c:pt idx="12">
                  <c:v>NLG</c:v>
                </c:pt>
                <c:pt idx="13">
                  <c:v>VPI</c:v>
                </c:pt>
                <c:pt idx="14">
                  <c:v>CCL</c:v>
                </c:pt>
                <c:pt idx="15">
                  <c:v>HAR</c:v>
                </c:pt>
                <c:pt idx="16">
                  <c:v>AGG</c:v>
                </c:pt>
                <c:pt idx="17">
                  <c:v>NVL</c:v>
                </c:pt>
                <c:pt idx="18">
                  <c:v>CEO</c:v>
                </c:pt>
                <c:pt idx="19">
                  <c:v>HPX</c:v>
                </c:pt>
                <c:pt idx="20">
                  <c:v>LHG</c:v>
                </c:pt>
                <c:pt idx="21">
                  <c:v>IJC</c:v>
                </c:pt>
                <c:pt idx="22">
                  <c:v>LGL</c:v>
                </c:pt>
                <c:pt idx="23">
                  <c:v>PTL</c:v>
                </c:pt>
                <c:pt idx="24">
                  <c:v>SZC</c:v>
                </c:pt>
                <c:pt idx="25">
                  <c:v>TLD</c:v>
                </c:pt>
                <c:pt idx="26">
                  <c:v>ITC</c:v>
                </c:pt>
                <c:pt idx="27">
                  <c:v>DXG</c:v>
                </c:pt>
                <c:pt idx="28">
                  <c:v>TIP</c:v>
                </c:pt>
                <c:pt idx="29">
                  <c:v>KHG</c:v>
                </c:pt>
                <c:pt idx="30">
                  <c:v>QCG</c:v>
                </c:pt>
                <c:pt idx="31">
                  <c:v>SCR</c:v>
                </c:pt>
                <c:pt idx="32">
                  <c:v>HQC</c:v>
                </c:pt>
                <c:pt idx="33">
                  <c:v>NBB</c:v>
                </c:pt>
                <c:pt idx="34">
                  <c:v>SIP</c:v>
                </c:pt>
                <c:pt idx="35">
                  <c:v>TCH</c:v>
                </c:pt>
                <c:pt idx="36">
                  <c:v>HDG</c:v>
                </c:pt>
                <c:pt idx="37">
                  <c:v>HTN</c:v>
                </c:pt>
                <c:pt idx="38">
                  <c:v>BCM</c:v>
                </c:pt>
                <c:pt idx="39">
                  <c:v>D2D</c:v>
                </c:pt>
                <c:pt idx="40">
                  <c:v>CRE</c:v>
                </c:pt>
                <c:pt idx="41">
                  <c:v>TDH</c:v>
                </c:pt>
              </c:strCache>
            </c:strRef>
          </c:cat>
          <c:val>
            <c:numRef>
              <c:f>BĐS!$U$19:$U$61</c:f>
              <c:numCache>
                <c:formatCode>General</c:formatCode>
                <c:ptCount val="42"/>
                <c:pt idx="0">
                  <c:v>-6.25E-2</c:v>
                </c:pt>
                <c:pt idx="1">
                  <c:v>-5.9000000000000004E-2</c:v>
                </c:pt>
                <c:pt idx="2">
                  <c:v>-2.3199999999999998E-2</c:v>
                </c:pt>
                <c:pt idx="3">
                  <c:v>-1.9599999999999999E-2</c:v>
                </c:pt>
                <c:pt idx="4">
                  <c:v>-1.78E-2</c:v>
                </c:pt>
                <c:pt idx="5">
                  <c:v>-1.6200000000000003E-2</c:v>
                </c:pt>
                <c:pt idx="6">
                  <c:v>-1.5800000000000002E-2</c:v>
                </c:pt>
                <c:pt idx="7">
                  <c:v>-1.52E-2</c:v>
                </c:pt>
                <c:pt idx="8">
                  <c:v>-1.4499999999999999E-2</c:v>
                </c:pt>
                <c:pt idx="9">
                  <c:v>-1.3899999999999999E-2</c:v>
                </c:pt>
                <c:pt idx="10">
                  <c:v>-1.34E-2</c:v>
                </c:pt>
                <c:pt idx="11">
                  <c:v>-1.3100000000000001E-2</c:v>
                </c:pt>
                <c:pt idx="12">
                  <c:v>-1.18E-2</c:v>
                </c:pt>
                <c:pt idx="13">
                  <c:v>-1.15E-2</c:v>
                </c:pt>
                <c:pt idx="14">
                  <c:v>-9.7000000000000003E-3</c:v>
                </c:pt>
                <c:pt idx="15">
                  <c:v>-9.3999999999999986E-3</c:v>
                </c:pt>
                <c:pt idx="16">
                  <c:v>-8.6999999999999994E-3</c:v>
                </c:pt>
                <c:pt idx="17">
                  <c:v>-8.199999999999999E-3</c:v>
                </c:pt>
                <c:pt idx="18">
                  <c:v>-7.0999999999999995E-3</c:v>
                </c:pt>
                <c:pt idx="19">
                  <c:v>-6.9999999999999993E-3</c:v>
                </c:pt>
                <c:pt idx="20">
                  <c:v>-6.8999999999999999E-3</c:v>
                </c:pt>
                <c:pt idx="21">
                  <c:v>-6.0999999999999995E-3</c:v>
                </c:pt>
                <c:pt idx="22">
                  <c:v>-5.7999999999999996E-3</c:v>
                </c:pt>
                <c:pt idx="23">
                  <c:v>-5.0000000000000001E-3</c:v>
                </c:pt>
                <c:pt idx="24">
                  <c:v>-4.8999999999999998E-3</c:v>
                </c:pt>
                <c:pt idx="25">
                  <c:v>-4.6999999999999993E-3</c:v>
                </c:pt>
                <c:pt idx="26">
                  <c:v>-4.4000000000000003E-3</c:v>
                </c:pt>
                <c:pt idx="27">
                  <c:v>-4.0999999999999995E-3</c:v>
                </c:pt>
                <c:pt idx="28">
                  <c:v>-2.8000000000000004E-3</c:v>
                </c:pt>
                <c:pt idx="29">
                  <c:v>-2E-3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1E-3</c:v>
                </c:pt>
                <c:pt idx="35">
                  <c:v>3.5999999999999999E-3</c:v>
                </c:pt>
                <c:pt idx="36">
                  <c:v>5.3E-3</c:v>
                </c:pt>
                <c:pt idx="37">
                  <c:v>5.7999999999999996E-3</c:v>
                </c:pt>
                <c:pt idx="38">
                  <c:v>8.6999999999999994E-3</c:v>
                </c:pt>
                <c:pt idx="39">
                  <c:v>1.55E-2</c:v>
                </c:pt>
                <c:pt idx="40">
                  <c:v>2.0799999999999999E-2</c:v>
                </c:pt>
                <c:pt idx="41">
                  <c:v>2.5699999999999997E-2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C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8A34-43C9-924E-66DBE7B3F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axId val="557984296"/>
        <c:axId val="557984656"/>
      </c:barChart>
      <c:lineChart>
        <c:grouping val="standard"/>
        <c:varyColors val="0"/>
        <c:ser>
          <c:idx val="1"/>
          <c:order val="1"/>
          <c:tx>
            <c:strRef>
              <c:f>BĐS!$V$18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BĐS!$T$19:$T$61</c:f>
              <c:strCache>
                <c:ptCount val="42"/>
                <c:pt idx="0">
                  <c:v>VPH</c:v>
                </c:pt>
                <c:pt idx="1">
                  <c:v>NVT</c:v>
                </c:pt>
                <c:pt idx="2">
                  <c:v>SGR</c:v>
                </c:pt>
                <c:pt idx="3">
                  <c:v>CKG</c:v>
                </c:pt>
                <c:pt idx="4">
                  <c:v>SJS</c:v>
                </c:pt>
                <c:pt idx="5">
                  <c:v>FIR</c:v>
                </c:pt>
                <c:pt idx="6">
                  <c:v>DIG</c:v>
                </c:pt>
                <c:pt idx="7">
                  <c:v>KDH</c:v>
                </c:pt>
                <c:pt idx="8">
                  <c:v>PDR</c:v>
                </c:pt>
                <c:pt idx="9">
                  <c:v>HDC</c:v>
                </c:pt>
                <c:pt idx="10">
                  <c:v>NTL</c:v>
                </c:pt>
                <c:pt idx="11">
                  <c:v>KOS</c:v>
                </c:pt>
                <c:pt idx="12">
                  <c:v>NLG</c:v>
                </c:pt>
                <c:pt idx="13">
                  <c:v>VPI</c:v>
                </c:pt>
                <c:pt idx="14">
                  <c:v>CCL</c:v>
                </c:pt>
                <c:pt idx="15">
                  <c:v>HAR</c:v>
                </c:pt>
                <c:pt idx="16">
                  <c:v>AGG</c:v>
                </c:pt>
                <c:pt idx="17">
                  <c:v>NVL</c:v>
                </c:pt>
                <c:pt idx="18">
                  <c:v>CEO</c:v>
                </c:pt>
                <c:pt idx="19">
                  <c:v>HPX</c:v>
                </c:pt>
                <c:pt idx="20">
                  <c:v>LHG</c:v>
                </c:pt>
                <c:pt idx="21">
                  <c:v>IJC</c:v>
                </c:pt>
                <c:pt idx="22">
                  <c:v>LGL</c:v>
                </c:pt>
                <c:pt idx="23">
                  <c:v>PTL</c:v>
                </c:pt>
                <c:pt idx="24">
                  <c:v>SZC</c:v>
                </c:pt>
                <c:pt idx="25">
                  <c:v>TLD</c:v>
                </c:pt>
                <c:pt idx="26">
                  <c:v>ITC</c:v>
                </c:pt>
                <c:pt idx="27">
                  <c:v>DXG</c:v>
                </c:pt>
                <c:pt idx="28">
                  <c:v>TIP</c:v>
                </c:pt>
                <c:pt idx="29">
                  <c:v>KHG</c:v>
                </c:pt>
                <c:pt idx="30">
                  <c:v>QCG</c:v>
                </c:pt>
                <c:pt idx="31">
                  <c:v>SCR</c:v>
                </c:pt>
                <c:pt idx="32">
                  <c:v>HQC</c:v>
                </c:pt>
                <c:pt idx="33">
                  <c:v>NBB</c:v>
                </c:pt>
                <c:pt idx="34">
                  <c:v>SIP</c:v>
                </c:pt>
                <c:pt idx="35">
                  <c:v>TCH</c:v>
                </c:pt>
                <c:pt idx="36">
                  <c:v>HDG</c:v>
                </c:pt>
                <c:pt idx="37">
                  <c:v>HTN</c:v>
                </c:pt>
                <c:pt idx="38">
                  <c:v>BCM</c:v>
                </c:pt>
                <c:pt idx="39">
                  <c:v>D2D</c:v>
                </c:pt>
                <c:pt idx="40">
                  <c:v>CRE</c:v>
                </c:pt>
                <c:pt idx="41">
                  <c:v>TDH</c:v>
                </c:pt>
              </c:strCache>
            </c:strRef>
          </c:cat>
          <c:val>
            <c:numRef>
              <c:f>BĐS!$V$19:$V$61</c:f>
              <c:numCache>
                <c:formatCode>General</c:formatCode>
                <c:ptCount val="42"/>
                <c:pt idx="0">
                  <c:v>2.6379425517702071</c:v>
                </c:pt>
                <c:pt idx="1">
                  <c:v>0.27848101265822789</c:v>
                </c:pt>
                <c:pt idx="2">
                  <c:v>0.31561574269995768</c:v>
                </c:pt>
                <c:pt idx="3">
                  <c:v>4.5418052528959738E-2</c:v>
                </c:pt>
                <c:pt idx="4">
                  <c:v>0.16811003565970456</c:v>
                </c:pt>
                <c:pt idx="5">
                  <c:v>0.30757400999615531</c:v>
                </c:pt>
                <c:pt idx="6">
                  <c:v>0.48547073057029327</c:v>
                </c:pt>
                <c:pt idx="7">
                  <c:v>0.40891074009820011</c:v>
                </c:pt>
                <c:pt idx="8">
                  <c:v>0.47150865530168412</c:v>
                </c:pt>
                <c:pt idx="9">
                  <c:v>0.36612619276407027</c:v>
                </c:pt>
                <c:pt idx="10">
                  <c:v>0.83483805439566638</c:v>
                </c:pt>
                <c:pt idx="11">
                  <c:v>0.2926602265798004</c:v>
                </c:pt>
                <c:pt idx="12">
                  <c:v>0.21981790232943124</c:v>
                </c:pt>
                <c:pt idx="13">
                  <c:v>0.79042258895354378</c:v>
                </c:pt>
                <c:pt idx="14">
                  <c:v>9.3377712848472072E-2</c:v>
                </c:pt>
                <c:pt idx="15">
                  <c:v>0.16196046793061719</c:v>
                </c:pt>
                <c:pt idx="16">
                  <c:v>0.17700493122242408</c:v>
                </c:pt>
                <c:pt idx="17">
                  <c:v>0.29181350905526976</c:v>
                </c:pt>
                <c:pt idx="18">
                  <c:v>0.34294871794871795</c:v>
                </c:pt>
                <c:pt idx="19">
                  <c:v>0.78090056913290928</c:v>
                </c:pt>
                <c:pt idx="20">
                  <c:v>0.62801244997776795</c:v>
                </c:pt>
                <c:pt idx="21">
                  <c:v>0.82582961846435443</c:v>
                </c:pt>
                <c:pt idx="22">
                  <c:v>3.1841756121095161E-2</c:v>
                </c:pt>
                <c:pt idx="23">
                  <c:v>6.0721505209143219E-2</c:v>
                </c:pt>
                <c:pt idx="24">
                  <c:v>0.25769290242770992</c:v>
                </c:pt>
                <c:pt idx="25">
                  <c:v>0.15096719932716568</c:v>
                </c:pt>
                <c:pt idx="26">
                  <c:v>4.9428945890282724E-2</c:v>
                </c:pt>
                <c:pt idx="27">
                  <c:v>0.17453137024451879</c:v>
                </c:pt>
                <c:pt idx="28">
                  <c:v>1.097728013914556</c:v>
                </c:pt>
                <c:pt idx="29">
                  <c:v>0.47514894611676428</c:v>
                </c:pt>
                <c:pt idx="30">
                  <c:v>0.12205589867057469</c:v>
                </c:pt>
                <c:pt idx="31">
                  <c:v>0.23728530409814669</c:v>
                </c:pt>
                <c:pt idx="32">
                  <c:v>0.18446258978492222</c:v>
                </c:pt>
                <c:pt idx="33">
                  <c:v>2.3828264758497317</c:v>
                </c:pt>
                <c:pt idx="34">
                  <c:v>0.25175023988059275</c:v>
                </c:pt>
                <c:pt idx="35">
                  <c:v>0.3019095665540108</c:v>
                </c:pt>
                <c:pt idx="36">
                  <c:v>0.27853329974284258</c:v>
                </c:pt>
                <c:pt idx="37">
                  <c:v>0.55218550374729636</c:v>
                </c:pt>
                <c:pt idx="38">
                  <c:v>0.36270530194217199</c:v>
                </c:pt>
                <c:pt idx="39">
                  <c:v>0.41912199739675782</c:v>
                </c:pt>
                <c:pt idx="40">
                  <c:v>0.39691435768261968</c:v>
                </c:pt>
                <c:pt idx="41">
                  <c:v>8.142116950407105E-2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34-43C9-924E-66DBE7B3F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450504"/>
        <c:axId val="510386600"/>
      </c:lineChart>
      <c:catAx>
        <c:axId val="557984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57984656"/>
        <c:crosses val="autoZero"/>
        <c:auto val="1"/>
        <c:lblAlgn val="ctr"/>
        <c:lblOffset val="100"/>
        <c:noMultiLvlLbl val="0"/>
      </c:catAx>
      <c:valAx>
        <c:axId val="55798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57984296"/>
        <c:crosses val="autoZero"/>
        <c:crossBetween val="between"/>
      </c:valAx>
      <c:valAx>
        <c:axId val="5103866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83450504"/>
        <c:crosses val="max"/>
        <c:crossBetween val="between"/>
      </c:valAx>
      <c:catAx>
        <c:axId val="4834505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0386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9819550538478356"/>
          <c:y val="0.92592500498841157"/>
          <c:w val="0.5970513084460497"/>
          <c:h val="5.65320562999800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[THONG_KE_VNINDEX_VN30.xlsm]THỰC PHẨM-THỦY SẢN!PivotTable9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Thực phẩm - Thủy sản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465961486685908E-2"/>
          <c:y val="0.1207040296433534"/>
          <c:w val="0.87477291859522044"/>
          <c:h val="0.715454685811332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'THỰC PHẨM-THỦY SẢN'!$U$18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'THỰC PHẨM-THỦY SẢN'!$T$19:$T$40</c:f>
              <c:strCache>
                <c:ptCount val="21"/>
                <c:pt idx="0">
                  <c:v>HSL</c:v>
                </c:pt>
                <c:pt idx="1">
                  <c:v>HAG</c:v>
                </c:pt>
                <c:pt idx="2">
                  <c:v>FMC</c:v>
                </c:pt>
                <c:pt idx="3">
                  <c:v>PAN</c:v>
                </c:pt>
                <c:pt idx="4">
                  <c:v>ANV</c:v>
                </c:pt>
                <c:pt idx="5">
                  <c:v>IDI</c:v>
                </c:pt>
                <c:pt idx="6">
                  <c:v>BAF</c:v>
                </c:pt>
                <c:pt idx="7">
                  <c:v>SBT</c:v>
                </c:pt>
                <c:pt idx="8">
                  <c:v>MSN</c:v>
                </c:pt>
                <c:pt idx="9">
                  <c:v>LSS</c:v>
                </c:pt>
                <c:pt idx="10">
                  <c:v>NAF</c:v>
                </c:pt>
                <c:pt idx="11">
                  <c:v>MCM</c:v>
                </c:pt>
                <c:pt idx="12">
                  <c:v>KDC</c:v>
                </c:pt>
                <c:pt idx="13">
                  <c:v>CMX</c:v>
                </c:pt>
                <c:pt idx="14">
                  <c:v>VHC</c:v>
                </c:pt>
                <c:pt idx="15">
                  <c:v>VNM</c:v>
                </c:pt>
                <c:pt idx="16">
                  <c:v>SAB</c:v>
                </c:pt>
                <c:pt idx="17">
                  <c:v>DBC</c:v>
                </c:pt>
                <c:pt idx="18">
                  <c:v>ASM</c:v>
                </c:pt>
                <c:pt idx="19">
                  <c:v>CDN</c:v>
                </c:pt>
                <c:pt idx="20">
                  <c:v>ABS</c:v>
                </c:pt>
              </c:strCache>
            </c:strRef>
          </c:cat>
          <c:val>
            <c:numRef>
              <c:f>'THỰC PHẨM-THỦY SẢN'!$U$19:$U$40</c:f>
              <c:numCache>
                <c:formatCode>0.00%</c:formatCode>
                <c:ptCount val="21"/>
                <c:pt idx="0">
                  <c:v>-4.9000000000000002E-2</c:v>
                </c:pt>
                <c:pt idx="1">
                  <c:v>-1.7100000000000001E-2</c:v>
                </c:pt>
                <c:pt idx="2">
                  <c:v>-1.5900000000000001E-2</c:v>
                </c:pt>
                <c:pt idx="3">
                  <c:v>-9.1999999999999998E-3</c:v>
                </c:pt>
                <c:pt idx="4">
                  <c:v>-8.0000000000000002E-3</c:v>
                </c:pt>
                <c:pt idx="5">
                  <c:v>-7.4999999999999997E-3</c:v>
                </c:pt>
                <c:pt idx="6">
                  <c:v>-5.0000000000000001E-3</c:v>
                </c:pt>
                <c:pt idx="7">
                  <c:v>-4.6999999999999993E-3</c:v>
                </c:pt>
                <c:pt idx="8">
                  <c:v>-4.4000000000000003E-3</c:v>
                </c:pt>
                <c:pt idx="9">
                  <c:v>-3.5999999999999999E-3</c:v>
                </c:pt>
                <c:pt idx="10">
                  <c:v>-2.0999999999999999E-3</c:v>
                </c:pt>
                <c:pt idx="11">
                  <c:v>0</c:v>
                </c:pt>
                <c:pt idx="12">
                  <c:v>0</c:v>
                </c:pt>
                <c:pt idx="13">
                  <c:v>1.9E-3</c:v>
                </c:pt>
                <c:pt idx="14">
                  <c:v>3.4999999999999996E-3</c:v>
                </c:pt>
                <c:pt idx="15">
                  <c:v>3.5999999999999999E-3</c:v>
                </c:pt>
                <c:pt idx="16">
                  <c:v>4.3E-3</c:v>
                </c:pt>
                <c:pt idx="17">
                  <c:v>5.8999999999999999E-3</c:v>
                </c:pt>
                <c:pt idx="18">
                  <c:v>6.5000000000000006E-3</c:v>
                </c:pt>
                <c:pt idx="19">
                  <c:v>2.3099999999999999E-2</c:v>
                </c:pt>
                <c:pt idx="20">
                  <c:v>6.8099999999999994E-2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1F61-4B5C-A0BE-E12A22B9B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axId val="629313872"/>
        <c:axId val="629314232"/>
      </c:barChart>
      <c:lineChart>
        <c:grouping val="standard"/>
        <c:varyColors val="0"/>
        <c:ser>
          <c:idx val="1"/>
          <c:order val="1"/>
          <c:tx>
            <c:strRef>
              <c:f>'THỰC PHẨM-THỦY SẢN'!$V$18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'THỰC PHẨM-THỦY SẢN'!$T$19:$T$40</c:f>
              <c:strCache>
                <c:ptCount val="21"/>
                <c:pt idx="0">
                  <c:v>HSL</c:v>
                </c:pt>
                <c:pt idx="1">
                  <c:v>HAG</c:v>
                </c:pt>
                <c:pt idx="2">
                  <c:v>FMC</c:v>
                </c:pt>
                <c:pt idx="3">
                  <c:v>PAN</c:v>
                </c:pt>
                <c:pt idx="4">
                  <c:v>ANV</c:v>
                </c:pt>
                <c:pt idx="5">
                  <c:v>IDI</c:v>
                </c:pt>
                <c:pt idx="6">
                  <c:v>BAF</c:v>
                </c:pt>
                <c:pt idx="7">
                  <c:v>SBT</c:v>
                </c:pt>
                <c:pt idx="8">
                  <c:v>MSN</c:v>
                </c:pt>
                <c:pt idx="9">
                  <c:v>LSS</c:v>
                </c:pt>
                <c:pt idx="10">
                  <c:v>NAF</c:v>
                </c:pt>
                <c:pt idx="11">
                  <c:v>MCM</c:v>
                </c:pt>
                <c:pt idx="12">
                  <c:v>KDC</c:v>
                </c:pt>
                <c:pt idx="13">
                  <c:v>CMX</c:v>
                </c:pt>
                <c:pt idx="14">
                  <c:v>VHC</c:v>
                </c:pt>
                <c:pt idx="15">
                  <c:v>VNM</c:v>
                </c:pt>
                <c:pt idx="16">
                  <c:v>SAB</c:v>
                </c:pt>
                <c:pt idx="17">
                  <c:v>DBC</c:v>
                </c:pt>
                <c:pt idx="18">
                  <c:v>ASM</c:v>
                </c:pt>
                <c:pt idx="19">
                  <c:v>CDN</c:v>
                </c:pt>
                <c:pt idx="20">
                  <c:v>ABS</c:v>
                </c:pt>
              </c:strCache>
            </c:strRef>
          </c:cat>
          <c:val>
            <c:numRef>
              <c:f>'THỰC PHẨM-THỦY SẢN'!$V$19:$V$40</c:f>
              <c:numCache>
                <c:formatCode>General</c:formatCode>
                <c:ptCount val="21"/>
                <c:pt idx="0">
                  <c:v>0.14056885759813365</c:v>
                </c:pt>
                <c:pt idx="1">
                  <c:v>0.28037854386117639</c:v>
                </c:pt>
                <c:pt idx="2">
                  <c:v>0.42874543239951279</c:v>
                </c:pt>
                <c:pt idx="3">
                  <c:v>0.43096871550531657</c:v>
                </c:pt>
                <c:pt idx="4">
                  <c:v>0.20995271142557576</c:v>
                </c:pt>
                <c:pt idx="5">
                  <c:v>1.1843056272586474</c:v>
                </c:pt>
                <c:pt idx="6">
                  <c:v>0.38376336474837736</c:v>
                </c:pt>
                <c:pt idx="7">
                  <c:v>0.6012324558340898</c:v>
                </c:pt>
                <c:pt idx="8">
                  <c:v>0.31107577149280946</c:v>
                </c:pt>
                <c:pt idx="9">
                  <c:v>0.28737604881769641</c:v>
                </c:pt>
                <c:pt idx="10">
                  <c:v>0.54112477587817875</c:v>
                </c:pt>
                <c:pt idx="11">
                  <c:v>0.8248252488879475</c:v>
                </c:pt>
                <c:pt idx="12">
                  <c:v>6.4566115702479332E-2</c:v>
                </c:pt>
                <c:pt idx="13">
                  <c:v>0.14501647914535742</c:v>
                </c:pt>
                <c:pt idx="14">
                  <c:v>0.34485957825154145</c:v>
                </c:pt>
                <c:pt idx="15">
                  <c:v>0.31573446450228648</c:v>
                </c:pt>
                <c:pt idx="16">
                  <c:v>0.38187130195674057</c:v>
                </c:pt>
                <c:pt idx="17">
                  <c:v>0.65064166236242993</c:v>
                </c:pt>
                <c:pt idx="18">
                  <c:v>0.85444861832964547</c:v>
                </c:pt>
                <c:pt idx="19">
                  <c:v>1.0098375705477951</c:v>
                </c:pt>
                <c:pt idx="20">
                  <c:v>5.0078086266732775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61-4B5C-A0BE-E12A22B9B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137120"/>
        <c:axId val="358138560"/>
      </c:lineChart>
      <c:catAx>
        <c:axId val="629313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29314232"/>
        <c:crosses val="autoZero"/>
        <c:auto val="1"/>
        <c:lblAlgn val="ctr"/>
        <c:lblOffset val="100"/>
        <c:noMultiLvlLbl val="0"/>
      </c:catAx>
      <c:valAx>
        <c:axId val="629314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29313872"/>
        <c:crosses val="autoZero"/>
        <c:crossBetween val="between"/>
      </c:valAx>
      <c:valAx>
        <c:axId val="3581385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58137120"/>
        <c:crosses val="max"/>
        <c:crossBetween val="between"/>
      </c:valAx>
      <c:catAx>
        <c:axId val="358137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581385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9460730485429276"/>
          <c:y val="0.91666574031187276"/>
          <c:w val="0.59525220770648524"/>
          <c:h val="7.25508723174309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[THONG_KE_VNINDEX_VN30.xlsm]VẬN TẢI - Logistics!PivotTable4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Vận tải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2176623986772285E-2"/>
          <c:y val="0.11826907803671514"/>
          <c:w val="0.92117960437352897"/>
          <c:h val="0.724579466886288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'VẬN TẢI - Logistics'!$U$18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'VẬN TẢI - Logistics'!$T$19:$T$37</c:f>
              <c:strCache>
                <c:ptCount val="18"/>
                <c:pt idx="0">
                  <c:v>MVN</c:v>
                </c:pt>
                <c:pt idx="1">
                  <c:v>HVN</c:v>
                </c:pt>
                <c:pt idx="2">
                  <c:v>PDN</c:v>
                </c:pt>
                <c:pt idx="3">
                  <c:v>VTP</c:v>
                </c:pt>
                <c:pt idx="4">
                  <c:v>VOS</c:v>
                </c:pt>
                <c:pt idx="5">
                  <c:v>SCS</c:v>
                </c:pt>
                <c:pt idx="6">
                  <c:v>VTO</c:v>
                </c:pt>
                <c:pt idx="7">
                  <c:v>NCT</c:v>
                </c:pt>
                <c:pt idx="8">
                  <c:v>VIP</c:v>
                </c:pt>
                <c:pt idx="9">
                  <c:v>PHP</c:v>
                </c:pt>
                <c:pt idx="10">
                  <c:v>HAH</c:v>
                </c:pt>
                <c:pt idx="11">
                  <c:v>TCL</c:v>
                </c:pt>
                <c:pt idx="12">
                  <c:v>SWC</c:v>
                </c:pt>
                <c:pt idx="13">
                  <c:v>VSC</c:v>
                </c:pt>
                <c:pt idx="14">
                  <c:v>DVP</c:v>
                </c:pt>
                <c:pt idx="15">
                  <c:v>GMD</c:v>
                </c:pt>
                <c:pt idx="16">
                  <c:v>PVT</c:v>
                </c:pt>
                <c:pt idx="17">
                  <c:v>PVP</c:v>
                </c:pt>
              </c:strCache>
            </c:strRef>
          </c:cat>
          <c:val>
            <c:numRef>
              <c:f>'VẬN TẢI - Logistics'!$U$19:$U$37</c:f>
              <c:numCache>
                <c:formatCode>0.00%</c:formatCode>
                <c:ptCount val="18"/>
                <c:pt idx="0">
                  <c:v>-3.0600000000000002E-2</c:v>
                </c:pt>
                <c:pt idx="1">
                  <c:v>-2.3700000000000002E-2</c:v>
                </c:pt>
                <c:pt idx="2">
                  <c:v>-1.7000000000000001E-2</c:v>
                </c:pt>
                <c:pt idx="3">
                  <c:v>-9.8999999999999991E-3</c:v>
                </c:pt>
                <c:pt idx="4">
                  <c:v>-8.3999999999999995E-3</c:v>
                </c:pt>
                <c:pt idx="5">
                  <c:v>-6.1999999999999998E-3</c:v>
                </c:pt>
                <c:pt idx="6">
                  <c:v>-4.7999999999999996E-3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1.7000000000000001E-3</c:v>
                </c:pt>
                <c:pt idx="12">
                  <c:v>4.0000000000000001E-3</c:v>
                </c:pt>
                <c:pt idx="13">
                  <c:v>1.29E-2</c:v>
                </c:pt>
                <c:pt idx="14">
                  <c:v>1.3999999999999999E-2</c:v>
                </c:pt>
                <c:pt idx="15">
                  <c:v>2.12E-2</c:v>
                </c:pt>
                <c:pt idx="16">
                  <c:v>2.3700000000000002E-2</c:v>
                </c:pt>
                <c:pt idx="17">
                  <c:v>2.9600000000000001E-2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C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EC97-442D-8B04-4E048B369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axId val="358137480"/>
        <c:axId val="358138200"/>
      </c:barChart>
      <c:lineChart>
        <c:grouping val="standard"/>
        <c:varyColors val="0"/>
        <c:ser>
          <c:idx val="1"/>
          <c:order val="1"/>
          <c:tx>
            <c:strRef>
              <c:f>'VẬN TẢI - Logistics'!$V$18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'VẬN TẢI - Logistics'!$T$19:$T$37</c:f>
              <c:strCache>
                <c:ptCount val="18"/>
                <c:pt idx="0">
                  <c:v>MVN</c:v>
                </c:pt>
                <c:pt idx="1">
                  <c:v>HVN</c:v>
                </c:pt>
                <c:pt idx="2">
                  <c:v>PDN</c:v>
                </c:pt>
                <c:pt idx="3">
                  <c:v>VTP</c:v>
                </c:pt>
                <c:pt idx="4">
                  <c:v>VOS</c:v>
                </c:pt>
                <c:pt idx="5">
                  <c:v>SCS</c:v>
                </c:pt>
                <c:pt idx="6">
                  <c:v>VTO</c:v>
                </c:pt>
                <c:pt idx="7">
                  <c:v>NCT</c:v>
                </c:pt>
                <c:pt idx="8">
                  <c:v>VIP</c:v>
                </c:pt>
                <c:pt idx="9">
                  <c:v>PHP</c:v>
                </c:pt>
                <c:pt idx="10">
                  <c:v>HAH</c:v>
                </c:pt>
                <c:pt idx="11">
                  <c:v>TCL</c:v>
                </c:pt>
                <c:pt idx="12">
                  <c:v>SWC</c:v>
                </c:pt>
                <c:pt idx="13">
                  <c:v>VSC</c:v>
                </c:pt>
                <c:pt idx="14">
                  <c:v>DVP</c:v>
                </c:pt>
                <c:pt idx="15">
                  <c:v>GMD</c:v>
                </c:pt>
                <c:pt idx="16">
                  <c:v>PVT</c:v>
                </c:pt>
                <c:pt idx="17">
                  <c:v>PVP</c:v>
                </c:pt>
              </c:strCache>
            </c:strRef>
          </c:cat>
          <c:val>
            <c:numRef>
              <c:f>'VẬN TẢI - Logistics'!$V$19:$V$37</c:f>
              <c:numCache>
                <c:formatCode>General</c:formatCode>
                <c:ptCount val="18"/>
                <c:pt idx="0">
                  <c:v>1.0160226201696512</c:v>
                </c:pt>
                <c:pt idx="1">
                  <c:v>0.82743292677653602</c:v>
                </c:pt>
                <c:pt idx="2">
                  <c:v>3.4581939799331107</c:v>
                </c:pt>
                <c:pt idx="3">
                  <c:v>0.72426958927764729</c:v>
                </c:pt>
                <c:pt idx="4">
                  <c:v>0.22067099102195112</c:v>
                </c:pt>
                <c:pt idx="5">
                  <c:v>0.60236959976881954</c:v>
                </c:pt>
                <c:pt idx="6">
                  <c:v>0.85259515570934263</c:v>
                </c:pt>
                <c:pt idx="7">
                  <c:v>0.40890425761832722</c:v>
                </c:pt>
                <c:pt idx="8">
                  <c:v>6.9370908044430912E-2</c:v>
                </c:pt>
                <c:pt idx="9">
                  <c:v>0.21185849424817943</c:v>
                </c:pt>
                <c:pt idx="10">
                  <c:v>0.26156437338397248</c:v>
                </c:pt>
                <c:pt idx="11">
                  <c:v>0.36617842876165113</c:v>
                </c:pt>
                <c:pt idx="12">
                  <c:v>5.9459459459459463E-2</c:v>
                </c:pt>
                <c:pt idx="13">
                  <c:v>0.69110865173623137</c:v>
                </c:pt>
                <c:pt idx="14">
                  <c:v>0.65110984632896984</c:v>
                </c:pt>
                <c:pt idx="15">
                  <c:v>0.7735681458309196</c:v>
                </c:pt>
                <c:pt idx="16">
                  <c:v>0.71601886217935529</c:v>
                </c:pt>
                <c:pt idx="17">
                  <c:v>0.51216968854327494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97-442D-8B04-4E048B369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554704"/>
        <c:axId val="478558664"/>
      </c:lineChart>
      <c:catAx>
        <c:axId val="358137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58138200"/>
        <c:crosses val="autoZero"/>
        <c:auto val="1"/>
        <c:lblAlgn val="ctr"/>
        <c:lblOffset val="100"/>
        <c:noMultiLvlLbl val="0"/>
      </c:catAx>
      <c:valAx>
        <c:axId val="358138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58137480"/>
        <c:crosses val="autoZero"/>
        <c:crossBetween val="between"/>
      </c:valAx>
      <c:valAx>
        <c:axId val="4785586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78554704"/>
        <c:crosses val="max"/>
        <c:crossBetween val="between"/>
      </c:valAx>
      <c:catAx>
        <c:axId val="478554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85586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57387860859933"/>
          <c:y val="0.92363006497386679"/>
          <c:w val="0.62575363992452593"/>
          <c:h val="7.1087310051661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[THONG_KE_VNINDEX_VN30.xlsm]VLXD-NỘI THẤT!PivotTable3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Biểu</a:t>
            </a:r>
            <a:r>
              <a:rPr lang="en-US" b="1" baseline="0">
                <a:solidFill>
                  <a:schemeClr val="tx1"/>
                </a:solidFill>
              </a:rPr>
              <a:t> đồ biến động nhóm VLXD - Nội Thất</a:t>
            </a:r>
            <a:endParaRPr lang="en-U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647680398712854E-2"/>
          <c:y val="0.10758885686839577"/>
          <c:w val="0.86904617388721617"/>
          <c:h val="0.7011353407913347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'VLXD-NỘI THẤT'!$U$18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'VLXD-NỘI THẤT'!$T$19:$T$36</c:f>
              <c:strCache>
                <c:ptCount val="17"/>
                <c:pt idx="0">
                  <c:v>VID</c:v>
                </c:pt>
                <c:pt idx="1">
                  <c:v>THG</c:v>
                </c:pt>
                <c:pt idx="2">
                  <c:v>ACG</c:v>
                </c:pt>
                <c:pt idx="3">
                  <c:v>VPG</c:v>
                </c:pt>
                <c:pt idx="4">
                  <c:v>DLG</c:v>
                </c:pt>
                <c:pt idx="5">
                  <c:v>TNT</c:v>
                </c:pt>
                <c:pt idx="6">
                  <c:v>SVT</c:v>
                </c:pt>
                <c:pt idx="7">
                  <c:v>KSB</c:v>
                </c:pt>
                <c:pt idx="8">
                  <c:v>PTB</c:v>
                </c:pt>
                <c:pt idx="9">
                  <c:v>BMC</c:v>
                </c:pt>
                <c:pt idx="10">
                  <c:v>VLB</c:v>
                </c:pt>
                <c:pt idx="11">
                  <c:v>TTF</c:v>
                </c:pt>
                <c:pt idx="12">
                  <c:v>DHM</c:v>
                </c:pt>
                <c:pt idx="13">
                  <c:v>HT1</c:v>
                </c:pt>
                <c:pt idx="14">
                  <c:v>SAV</c:v>
                </c:pt>
                <c:pt idx="15">
                  <c:v>PLC</c:v>
                </c:pt>
                <c:pt idx="16">
                  <c:v>BBC</c:v>
                </c:pt>
              </c:strCache>
            </c:strRef>
          </c:cat>
          <c:val>
            <c:numRef>
              <c:f>'VLXD-NỘI THẤT'!$U$19:$U$36</c:f>
              <c:numCache>
                <c:formatCode>0.00%</c:formatCode>
                <c:ptCount val="17"/>
                <c:pt idx="0">
                  <c:v>-6.8000000000000005E-2</c:v>
                </c:pt>
                <c:pt idx="1">
                  <c:v>-2.7699999999999999E-2</c:v>
                </c:pt>
                <c:pt idx="2">
                  <c:v>-2.7000000000000003E-2</c:v>
                </c:pt>
                <c:pt idx="3">
                  <c:v>-2.4799999999999999E-2</c:v>
                </c:pt>
                <c:pt idx="4">
                  <c:v>-2.4500000000000001E-2</c:v>
                </c:pt>
                <c:pt idx="5">
                  <c:v>-2.2599999999999999E-2</c:v>
                </c:pt>
                <c:pt idx="6">
                  <c:v>-1.9E-2</c:v>
                </c:pt>
                <c:pt idx="7">
                  <c:v>-1.0700000000000001E-2</c:v>
                </c:pt>
                <c:pt idx="8">
                  <c:v>-6.8999999999999999E-3</c:v>
                </c:pt>
                <c:pt idx="9">
                  <c:v>-4.0999999999999995E-3</c:v>
                </c:pt>
                <c:pt idx="10">
                  <c:v>-2E-3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2.4799999999999999E-2</c:v>
                </c:pt>
                <c:pt idx="16">
                  <c:v>6.7099999999999993E-2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4EB4-4A26-93A0-AD46BF038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14154392"/>
        <c:axId val="566401240"/>
      </c:barChart>
      <c:lineChart>
        <c:grouping val="standard"/>
        <c:varyColors val="0"/>
        <c:ser>
          <c:idx val="1"/>
          <c:order val="1"/>
          <c:tx>
            <c:strRef>
              <c:f>'VLXD-NỘI THẤT'!$V$18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'VLXD-NỘI THẤT'!$T$19:$T$36</c:f>
              <c:strCache>
                <c:ptCount val="17"/>
                <c:pt idx="0">
                  <c:v>VID</c:v>
                </c:pt>
                <c:pt idx="1">
                  <c:v>THG</c:v>
                </c:pt>
                <c:pt idx="2">
                  <c:v>ACG</c:v>
                </c:pt>
                <c:pt idx="3">
                  <c:v>VPG</c:v>
                </c:pt>
                <c:pt idx="4">
                  <c:v>DLG</c:v>
                </c:pt>
                <c:pt idx="5">
                  <c:v>TNT</c:v>
                </c:pt>
                <c:pt idx="6">
                  <c:v>SVT</c:v>
                </c:pt>
                <c:pt idx="7">
                  <c:v>KSB</c:v>
                </c:pt>
                <c:pt idx="8">
                  <c:v>PTB</c:v>
                </c:pt>
                <c:pt idx="9">
                  <c:v>BMC</c:v>
                </c:pt>
                <c:pt idx="10">
                  <c:v>VLB</c:v>
                </c:pt>
                <c:pt idx="11">
                  <c:v>TTF</c:v>
                </c:pt>
                <c:pt idx="12">
                  <c:v>DHM</c:v>
                </c:pt>
                <c:pt idx="13">
                  <c:v>HT1</c:v>
                </c:pt>
                <c:pt idx="14">
                  <c:v>SAV</c:v>
                </c:pt>
                <c:pt idx="15">
                  <c:v>PLC</c:v>
                </c:pt>
                <c:pt idx="16">
                  <c:v>BBC</c:v>
                </c:pt>
              </c:strCache>
            </c:strRef>
          </c:cat>
          <c:val>
            <c:numRef>
              <c:f>'VLXD-NỘI THẤT'!$V$19:$V$36</c:f>
              <c:numCache>
                <c:formatCode>General</c:formatCode>
                <c:ptCount val="17"/>
                <c:pt idx="0">
                  <c:v>5.8635394456289971</c:v>
                </c:pt>
                <c:pt idx="1">
                  <c:v>0.69709989258861438</c:v>
                </c:pt>
                <c:pt idx="2">
                  <c:v>0.25669183253260125</c:v>
                </c:pt>
                <c:pt idx="3">
                  <c:v>0.15123867452322121</c:v>
                </c:pt>
                <c:pt idx="4">
                  <c:v>0.56904642334505118</c:v>
                </c:pt>
                <c:pt idx="5">
                  <c:v>0.90219397170391624</c:v>
                </c:pt>
                <c:pt idx="6">
                  <c:v>0.4228058936579116</c:v>
                </c:pt>
                <c:pt idx="7">
                  <c:v>0.29200412559389954</c:v>
                </c:pt>
                <c:pt idx="8">
                  <c:v>0.14997727617027723</c:v>
                </c:pt>
                <c:pt idx="9">
                  <c:v>0.21864647420728822</c:v>
                </c:pt>
                <c:pt idx="10">
                  <c:v>1.7286855482933916</c:v>
                </c:pt>
                <c:pt idx="11">
                  <c:v>0.52834630105478786</c:v>
                </c:pt>
                <c:pt idx="12">
                  <c:v>1.3721063707671706</c:v>
                </c:pt>
                <c:pt idx="13">
                  <c:v>0.37813639880623412</c:v>
                </c:pt>
                <c:pt idx="14">
                  <c:v>0.10912698412698413</c:v>
                </c:pt>
                <c:pt idx="15">
                  <c:v>0.64910851660783786</c:v>
                </c:pt>
                <c:pt idx="16">
                  <c:v>2.1469179853824829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B4-4A26-93A0-AD46BF038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412400"/>
        <c:axId val="566410240"/>
      </c:lineChart>
      <c:catAx>
        <c:axId val="714154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66401240"/>
        <c:crosses val="autoZero"/>
        <c:auto val="1"/>
        <c:lblAlgn val="ctr"/>
        <c:lblOffset val="100"/>
        <c:noMultiLvlLbl val="0"/>
      </c:catAx>
      <c:valAx>
        <c:axId val="566401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714154392"/>
        <c:crosses val="autoZero"/>
        <c:crossBetween val="between"/>
      </c:valAx>
      <c:valAx>
        <c:axId val="5664102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66412400"/>
        <c:crosses val="max"/>
        <c:crossBetween val="between"/>
      </c:valAx>
      <c:catAx>
        <c:axId val="5664124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664102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5378245426793572"/>
          <c:y val="0.92405364315051397"/>
          <c:w val="0.48600724540337759"/>
          <c:h val="6.34023917039188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[THONG_KE_VNINDEX_VN30.xlsm]ĐTC!PivotTable1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Xây dựng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111527167777087E-2"/>
          <c:y val="0.14334299516908214"/>
          <c:w val="0.86833839435567672"/>
          <c:h val="0.69519023165582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ĐTC!$U$18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ĐTC!$T$19:$T$41</c:f>
              <c:strCache>
                <c:ptCount val="22"/>
                <c:pt idx="0">
                  <c:v>C47</c:v>
                </c:pt>
                <c:pt idx="1">
                  <c:v>VC9</c:v>
                </c:pt>
                <c:pt idx="2">
                  <c:v>HBC</c:v>
                </c:pt>
                <c:pt idx="3">
                  <c:v>HUT</c:v>
                </c:pt>
                <c:pt idx="4">
                  <c:v>CTI</c:v>
                </c:pt>
                <c:pt idx="5">
                  <c:v>NO1</c:v>
                </c:pt>
                <c:pt idx="6">
                  <c:v>CTD</c:v>
                </c:pt>
                <c:pt idx="7">
                  <c:v>S99</c:v>
                </c:pt>
                <c:pt idx="8">
                  <c:v>PDB</c:v>
                </c:pt>
                <c:pt idx="9">
                  <c:v>HHV</c:v>
                </c:pt>
                <c:pt idx="10">
                  <c:v>DPG</c:v>
                </c:pt>
                <c:pt idx="11">
                  <c:v>FCN</c:v>
                </c:pt>
                <c:pt idx="12">
                  <c:v>G36</c:v>
                </c:pt>
                <c:pt idx="13">
                  <c:v>HUB</c:v>
                </c:pt>
                <c:pt idx="14">
                  <c:v>SCI</c:v>
                </c:pt>
                <c:pt idx="15">
                  <c:v>C4G</c:v>
                </c:pt>
                <c:pt idx="16">
                  <c:v>SRF</c:v>
                </c:pt>
                <c:pt idx="17">
                  <c:v>VCG</c:v>
                </c:pt>
                <c:pt idx="18">
                  <c:v>LCG</c:v>
                </c:pt>
                <c:pt idx="19">
                  <c:v>CII</c:v>
                </c:pt>
                <c:pt idx="20">
                  <c:v>HTN</c:v>
                </c:pt>
                <c:pt idx="21">
                  <c:v>MST</c:v>
                </c:pt>
              </c:strCache>
            </c:strRef>
          </c:cat>
          <c:val>
            <c:numRef>
              <c:f>ĐTC!$U$19:$U$41</c:f>
              <c:numCache>
                <c:formatCode>0.0%</c:formatCode>
                <c:ptCount val="22"/>
                <c:pt idx="0">
                  <c:v>-4.6600000000000003E-2</c:v>
                </c:pt>
                <c:pt idx="1">
                  <c:v>-2.1700000000000001E-2</c:v>
                </c:pt>
                <c:pt idx="2">
                  <c:v>-2.0799999999999999E-2</c:v>
                </c:pt>
                <c:pt idx="3">
                  <c:v>-1.9900000000000001E-2</c:v>
                </c:pt>
                <c:pt idx="4">
                  <c:v>-1.5300000000000001E-2</c:v>
                </c:pt>
                <c:pt idx="5">
                  <c:v>-1.38E-2</c:v>
                </c:pt>
                <c:pt idx="6">
                  <c:v>-1.18E-2</c:v>
                </c:pt>
                <c:pt idx="7">
                  <c:v>-1.1599999999999999E-2</c:v>
                </c:pt>
                <c:pt idx="8">
                  <c:v>-5.0000000000000001E-3</c:v>
                </c:pt>
                <c:pt idx="9">
                  <c:v>-4.7999999999999996E-3</c:v>
                </c:pt>
                <c:pt idx="10">
                  <c:v>-4.5000000000000005E-3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5.0000000000000001E-4</c:v>
                </c:pt>
                <c:pt idx="18">
                  <c:v>1.1999999999999999E-3</c:v>
                </c:pt>
                <c:pt idx="19">
                  <c:v>3.0999999999999999E-3</c:v>
                </c:pt>
                <c:pt idx="20">
                  <c:v>5.7999999999999996E-3</c:v>
                </c:pt>
                <c:pt idx="21">
                  <c:v>0.01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8C86-4EB6-A9CF-C2A06EB4C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axId val="648542856"/>
        <c:axId val="648542496"/>
      </c:barChart>
      <c:lineChart>
        <c:grouping val="standard"/>
        <c:varyColors val="0"/>
        <c:ser>
          <c:idx val="1"/>
          <c:order val="1"/>
          <c:tx>
            <c:strRef>
              <c:f>ĐTC!$V$18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ĐTC!$T$19:$T$41</c:f>
              <c:strCache>
                <c:ptCount val="22"/>
                <c:pt idx="0">
                  <c:v>C47</c:v>
                </c:pt>
                <c:pt idx="1">
                  <c:v>VC9</c:v>
                </c:pt>
                <c:pt idx="2">
                  <c:v>HBC</c:v>
                </c:pt>
                <c:pt idx="3">
                  <c:v>HUT</c:v>
                </c:pt>
                <c:pt idx="4">
                  <c:v>CTI</c:v>
                </c:pt>
                <c:pt idx="5">
                  <c:v>NO1</c:v>
                </c:pt>
                <c:pt idx="6">
                  <c:v>CTD</c:v>
                </c:pt>
                <c:pt idx="7">
                  <c:v>S99</c:v>
                </c:pt>
                <c:pt idx="8">
                  <c:v>PDB</c:v>
                </c:pt>
                <c:pt idx="9">
                  <c:v>HHV</c:v>
                </c:pt>
                <c:pt idx="10">
                  <c:v>DPG</c:v>
                </c:pt>
                <c:pt idx="11">
                  <c:v>FCN</c:v>
                </c:pt>
                <c:pt idx="12">
                  <c:v>G36</c:v>
                </c:pt>
                <c:pt idx="13">
                  <c:v>HUB</c:v>
                </c:pt>
                <c:pt idx="14">
                  <c:v>SCI</c:v>
                </c:pt>
                <c:pt idx="15">
                  <c:v>C4G</c:v>
                </c:pt>
                <c:pt idx="16">
                  <c:v>SRF</c:v>
                </c:pt>
                <c:pt idx="17">
                  <c:v>VCG</c:v>
                </c:pt>
                <c:pt idx="18">
                  <c:v>LCG</c:v>
                </c:pt>
                <c:pt idx="19">
                  <c:v>CII</c:v>
                </c:pt>
                <c:pt idx="20">
                  <c:v>HTN</c:v>
                </c:pt>
                <c:pt idx="21">
                  <c:v>MST</c:v>
                </c:pt>
              </c:strCache>
            </c:strRef>
          </c:cat>
          <c:val>
            <c:numRef>
              <c:f>ĐTC!$V$19:$V$41</c:f>
              <c:numCache>
                <c:formatCode>0.00</c:formatCode>
                <c:ptCount val="22"/>
                <c:pt idx="0">
                  <c:v>3.650880626223092</c:v>
                </c:pt>
                <c:pt idx="1">
                  <c:v>3.4955752212389379</c:v>
                </c:pt>
                <c:pt idx="2">
                  <c:v>0.15444553498512786</c:v>
                </c:pt>
                <c:pt idx="3">
                  <c:v>0.52016904245768458</c:v>
                </c:pt>
                <c:pt idx="4">
                  <c:v>0.22133386634685853</c:v>
                </c:pt>
                <c:pt idx="5">
                  <c:v>5.5143372769199922E-2</c:v>
                </c:pt>
                <c:pt idx="6">
                  <c:v>0.56607573469009198</c:v>
                </c:pt>
                <c:pt idx="7">
                  <c:v>3.0669144981412638E-2</c:v>
                </c:pt>
                <c:pt idx="8">
                  <c:v>1.4400382226469182</c:v>
                </c:pt>
                <c:pt idx="9">
                  <c:v>0.21154740939809613</c:v>
                </c:pt>
                <c:pt idx="10">
                  <c:v>0.19926124576228307</c:v>
                </c:pt>
                <c:pt idx="11">
                  <c:v>0.21639344262295082</c:v>
                </c:pt>
                <c:pt idx="12">
                  <c:v>0.65844101709045433</c:v>
                </c:pt>
                <c:pt idx="13">
                  <c:v>0.1489841986455982</c:v>
                </c:pt>
                <c:pt idx="14">
                  <c:v>0.32165929955797345</c:v>
                </c:pt>
                <c:pt idx="15">
                  <c:v>0.53175571464745286</c:v>
                </c:pt>
                <c:pt idx="16">
                  <c:v>7.3842022823897959E-3</c:v>
                </c:pt>
                <c:pt idx="17">
                  <c:v>0.2902223922720828</c:v>
                </c:pt>
                <c:pt idx="18">
                  <c:v>0.17408740644150372</c:v>
                </c:pt>
                <c:pt idx="19">
                  <c:v>0.17302164466030559</c:v>
                </c:pt>
                <c:pt idx="20">
                  <c:v>0.55218550374729636</c:v>
                </c:pt>
                <c:pt idx="21">
                  <c:v>1.2992859921097961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86-4EB6-A9CF-C2A06EB4C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550416"/>
        <c:axId val="648558336"/>
      </c:lineChart>
      <c:catAx>
        <c:axId val="648542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48542496"/>
        <c:crosses val="autoZero"/>
        <c:auto val="1"/>
        <c:lblAlgn val="ctr"/>
        <c:lblOffset val="100"/>
        <c:noMultiLvlLbl val="0"/>
      </c:catAx>
      <c:valAx>
        <c:axId val="64854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48542856"/>
        <c:crosses val="autoZero"/>
        <c:crossBetween val="between"/>
      </c:valAx>
      <c:valAx>
        <c:axId val="64855833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48550416"/>
        <c:crosses val="max"/>
        <c:crossBetween val="between"/>
      </c:valAx>
      <c:catAx>
        <c:axId val="648550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485583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1568846197555219"/>
          <c:y val="0.91122705314009667"/>
          <c:w val="0.56608464584277385"/>
          <c:h val="7.14994103997869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752473</xdr:colOff>
      <xdr:row>0</xdr:row>
      <xdr:rowOff>28574</xdr:rowOff>
    </xdr:from>
    <xdr:to>
      <xdr:col>12</xdr:col>
      <xdr:colOff>590550</xdr:colOff>
      <xdr:row>16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AD4238-E270-B399-149D-2CD3EDD77F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600075</xdr:colOff>
      <xdr:row>0</xdr:row>
      <xdr:rowOff>28574</xdr:rowOff>
    </xdr:from>
    <xdr:to>
      <xdr:col>20</xdr:col>
      <xdr:colOff>28574</xdr:colOff>
      <xdr:row>16</xdr:row>
      <xdr:rowOff>19049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B3CF8D4-7328-237E-4EBC-668364EFD6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752474</xdr:colOff>
      <xdr:row>16</xdr:row>
      <xdr:rowOff>33336</xdr:rowOff>
    </xdr:from>
    <xdr:to>
      <xdr:col>14</xdr:col>
      <xdr:colOff>9525</xdr:colOff>
      <xdr:row>33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815B480-D3FE-D062-1377-38734681ED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9524</xdr:colOff>
      <xdr:row>16</xdr:row>
      <xdr:rowOff>23811</xdr:rowOff>
    </xdr:from>
    <xdr:to>
      <xdr:col>20</xdr:col>
      <xdr:colOff>38099</xdr:colOff>
      <xdr:row>33</xdr:row>
      <xdr:rowOff>161925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0E208F0-D220-DFDE-9782-E41984F2CA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451241</xdr:colOff>
      <xdr:row>16</xdr:row>
      <xdr:rowOff>14833</xdr:rowOff>
    </xdr:from>
    <xdr:to>
      <xdr:col>7</xdr:col>
      <xdr:colOff>666750</xdr:colOff>
      <xdr:row>25</xdr:row>
      <xdr:rowOff>111816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1298C50-5269-39E4-C9B3-65A972FE73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122092</xdr:rowOff>
    </xdr:from>
    <xdr:to>
      <xdr:col>3</xdr:col>
      <xdr:colOff>453634</xdr:colOff>
      <xdr:row>35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97ECC46-43E8-105A-1D72-EDEE83B0DB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451240</xdr:colOff>
      <xdr:row>25</xdr:row>
      <xdr:rowOff>122092</xdr:rowOff>
    </xdr:from>
    <xdr:to>
      <xdr:col>7</xdr:col>
      <xdr:colOff>666749</xdr:colOff>
      <xdr:row>35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03FD9B1-B193-098A-EFC8-CE086B430A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</xdr:row>
      <xdr:rowOff>0</xdr:rowOff>
    </xdr:from>
    <xdr:to>
      <xdr:col>7</xdr:col>
      <xdr:colOff>666749</xdr:colOff>
      <xdr:row>16</xdr:row>
      <xdr:rowOff>10667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F0587E9-B120-DABF-B9D4-2630E787A3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17651</xdr:rowOff>
    </xdr:from>
    <xdr:to>
      <xdr:col>3</xdr:col>
      <xdr:colOff>453634</xdr:colOff>
      <xdr:row>25</xdr:row>
      <xdr:rowOff>114634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7E3CB7E-38A7-B735-EC27-666DED8C4B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671510</xdr:colOff>
      <xdr:row>2</xdr:row>
      <xdr:rowOff>200024</xdr:rowOff>
    </xdr:from>
    <xdr:to>
      <xdr:col>15</xdr:col>
      <xdr:colOff>1092860</xdr:colOff>
      <xdr:row>19</xdr:row>
      <xdr:rowOff>186674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53D2E4-71C9-148F-8CBD-2E89C349B7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19049</xdr:colOff>
      <xdr:row>3</xdr:row>
      <xdr:rowOff>4761</xdr:rowOff>
    </xdr:from>
    <xdr:to>
      <xdr:col>20</xdr:col>
      <xdr:colOff>733425</xdr:colOff>
      <xdr:row>19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083A732-E101-8B66-7921-CA961A3D12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</xdr:row>
      <xdr:rowOff>19049</xdr:rowOff>
    </xdr:from>
    <xdr:to>
      <xdr:col>12</xdr:col>
      <xdr:colOff>685800</xdr:colOff>
      <xdr:row>20</xdr:row>
      <xdr:rowOff>246524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ED784E-0A52-9BBE-1077-339570A136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</xdr:row>
      <xdr:rowOff>19049</xdr:rowOff>
    </xdr:from>
    <xdr:to>
      <xdr:col>12</xdr:col>
      <xdr:colOff>685800</xdr:colOff>
      <xdr:row>20</xdr:row>
      <xdr:rowOff>246524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97DEAD-281B-4B20-8999-D9F155E40A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0</xdr:row>
      <xdr:rowOff>47625</xdr:rowOff>
    </xdr:from>
    <xdr:to>
      <xdr:col>16</xdr:col>
      <xdr:colOff>466724</xdr:colOff>
      <xdr:row>16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E7D4B85-320D-DDD2-0360-70495BEE4D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0</xdr:row>
      <xdr:rowOff>47625</xdr:rowOff>
    </xdr:from>
    <xdr:to>
      <xdr:col>16</xdr:col>
      <xdr:colOff>466724</xdr:colOff>
      <xdr:row>16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B2064E-67A4-4BE4-8731-7D8329D196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0</xdr:row>
      <xdr:rowOff>76199</xdr:rowOff>
    </xdr:from>
    <xdr:to>
      <xdr:col>16</xdr:col>
      <xdr:colOff>314324</xdr:colOff>
      <xdr:row>16</xdr:row>
      <xdr:rowOff>104774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D11CA4-F0D1-2E5E-BE69-72FC6E5156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0</xdr:row>
      <xdr:rowOff>85725</xdr:rowOff>
    </xdr:from>
    <xdr:to>
      <xdr:col>17</xdr:col>
      <xdr:colOff>380999</xdr:colOff>
      <xdr:row>16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3B1980F-BA06-42CA-D316-7AD097B520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0</xdr:row>
      <xdr:rowOff>66674</xdr:rowOff>
    </xdr:from>
    <xdr:to>
      <xdr:col>17</xdr:col>
      <xdr:colOff>381000</xdr:colOff>
      <xdr:row>16</xdr:row>
      <xdr:rowOff>142874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E8021E-ADF9-FBC4-3AA3-D6503EF421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138111</xdr:colOff>
      <xdr:row>0</xdr:row>
      <xdr:rowOff>57150</xdr:rowOff>
    </xdr:from>
    <xdr:to>
      <xdr:col>16</xdr:col>
      <xdr:colOff>390525</xdr:colOff>
      <xdr:row>16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9EBB192-11A2-B906-F754-E177F7BDF2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38099</xdr:colOff>
      <xdr:row>0</xdr:row>
      <xdr:rowOff>95250</xdr:rowOff>
    </xdr:from>
    <xdr:to>
      <xdr:col>17</xdr:col>
      <xdr:colOff>276224</xdr:colOff>
      <xdr:row>16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8A980B-4841-6C4B-45E1-4DCAD1F4ED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28574</xdr:colOff>
      <xdr:row>0</xdr:row>
      <xdr:rowOff>95251</xdr:rowOff>
    </xdr:from>
    <xdr:to>
      <xdr:col>17</xdr:col>
      <xdr:colOff>304799</xdr:colOff>
      <xdr:row>16</xdr:row>
      <xdr:rowOff>114301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2BE2F40-7415-385E-C59E-CCE5D38BB7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0</xdr:row>
      <xdr:rowOff>47624</xdr:rowOff>
    </xdr:from>
    <xdr:to>
      <xdr:col>17</xdr:col>
      <xdr:colOff>285749</xdr:colOff>
      <xdr:row>16</xdr:row>
      <xdr:rowOff>123824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F0EE43-1FC0-623D-E7F7-06F80238A0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19049</xdr:colOff>
      <xdr:row>0</xdr:row>
      <xdr:rowOff>47625</xdr:rowOff>
    </xdr:from>
    <xdr:to>
      <xdr:col>16</xdr:col>
      <xdr:colOff>371474</xdr:colOff>
      <xdr:row>16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93F002C-AE50-15F3-8DDF-B8619FE10E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0</xdr:row>
      <xdr:rowOff>57150</xdr:rowOff>
    </xdr:from>
    <xdr:to>
      <xdr:col>17</xdr:col>
      <xdr:colOff>276225</xdr:colOff>
      <xdr:row>16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C8F1A0-84C0-A1F0-0DBC-A9719552E6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0</xdr:row>
      <xdr:rowOff>9525</xdr:rowOff>
    </xdr:from>
    <xdr:to>
      <xdr:col>16</xdr:col>
      <xdr:colOff>457200</xdr:colOff>
      <xdr:row>16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999FC2-4255-C58A-5A9D-281DA46B8B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0</xdr:row>
      <xdr:rowOff>76199</xdr:rowOff>
    </xdr:from>
    <xdr:to>
      <xdr:col>17</xdr:col>
      <xdr:colOff>295275</xdr:colOff>
      <xdr:row>16</xdr:row>
      <xdr:rowOff>95249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8B498C8-69F4-CCFC-4ACB-68B0CA5B88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57150</xdr:rowOff>
    </xdr:from>
    <xdr:to>
      <xdr:col>17</xdr:col>
      <xdr:colOff>342899</xdr:colOff>
      <xdr:row>16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8F0D5B8-B42B-219E-4ADE-E014A3C838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0</xdr:row>
      <xdr:rowOff>66675</xdr:rowOff>
    </xdr:from>
    <xdr:to>
      <xdr:col>17</xdr:col>
      <xdr:colOff>304799</xdr:colOff>
      <xdr:row>16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2D3D78-2D3C-3EBC-9A0B-E0C6A964E6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28576</xdr:colOff>
      <xdr:row>0</xdr:row>
      <xdr:rowOff>38099</xdr:rowOff>
    </xdr:from>
    <xdr:to>
      <xdr:col>17</xdr:col>
      <xdr:colOff>352426</xdr:colOff>
      <xdr:row>16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927568-0FE3-8E9A-0408-EF53DDE19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0</xdr:row>
      <xdr:rowOff>47624</xdr:rowOff>
    </xdr:from>
    <xdr:to>
      <xdr:col>16</xdr:col>
      <xdr:colOff>390525</xdr:colOff>
      <xdr:row>16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9CA58B0-03C1-8CE7-3B57-77799DC6EC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0</xdr:row>
      <xdr:rowOff>47624</xdr:rowOff>
    </xdr:from>
    <xdr:to>
      <xdr:col>17</xdr:col>
      <xdr:colOff>419100</xdr:colOff>
      <xdr:row>16</xdr:row>
      <xdr:rowOff>104774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911F178-D1A3-2FBF-2424-3D2E8B7B90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ang%20gia%20CP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ng gia CP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6217.868080324071" createdVersion="8" refreshedVersion="8" minRefreshableVersion="3" recordCount="31" xr:uid="{CBEDC6CA-70F9-41E5-A641-52D90D3768A3}">
  <cacheSource type="worksheet">
    <worksheetSource ref="E22:I53" sheet="VN30"/>
  </cacheSource>
  <cacheFields count="5">
    <cacheField name="Mã" numFmtId="0">
      <sharedItems containsBlank="1" count="34">
        <m/>
        <s v="ACB"/>
        <s v="BID"/>
        <s v="DGC"/>
        <s v="CTG"/>
        <s v="FPT"/>
        <s v="GAS"/>
        <s v="GVR"/>
        <s v="HDB"/>
        <s v="HPG"/>
        <s v="LPB"/>
        <s v="MBB"/>
        <s v="MSN"/>
        <s v="MWG"/>
        <s v="PLX"/>
        <s v="SAB"/>
        <s v="SHB"/>
        <s v="SSB"/>
        <s v="SSI"/>
        <s v="STB"/>
        <s v="TCB"/>
        <s v="TPB"/>
        <s v="VCB"/>
        <s v="VHM"/>
        <s v="VIB"/>
        <s v="VIC"/>
        <s v="VJC"/>
        <s v="VNM"/>
        <s v="VPB"/>
        <s v="VPL"/>
        <s v="VRE"/>
        <s v="BCM" u="1"/>
        <s v="BVH" u="1"/>
        <s v="POW" u="1"/>
      </sharedItems>
    </cacheField>
    <cacheField name="Giá đóng cửa" numFmtId="0">
      <sharedItems containsString="0" containsBlank="1" containsNumber="1" minValue="12.55" maxValue="213"/>
    </cacheField>
    <cacheField name="KLGD/1000" numFmtId="0">
      <sharedItems containsString="0" containsBlank="1" containsNumber="1" minValue="189.1" maxValue="18960.7"/>
    </cacheField>
    <cacheField name="BĐ giá" numFmtId="0">
      <sharedItems containsString="0" containsBlank="1" containsNumber="1" minValue="-3.8399999999999997E-2" maxValue="3.5200000000000002E-2"/>
    </cacheField>
    <cacheField name="KL/KLTB21_x000a_phiên" numFmtId="0">
      <sharedItems containsString="0" containsBlank="1" containsNumber="1" minValue="0.27152693926834837" maxValue="1.12165930647499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6217.868134143515" createdVersion="8" refreshedVersion="8" minRefreshableVersion="3" recordCount="99" xr:uid="{01CAF5C5-AA90-4B3D-9038-3090A1FC756F}">
  <cacheSource type="worksheet">
    <worksheetSource ref="E22:I121" sheet="VN100"/>
  </cacheSource>
  <cacheFields count="5">
    <cacheField name="Mã" numFmtId="0">
      <sharedItems containsBlank="1" count="99">
        <m/>
        <s v="ACB"/>
        <s v="ANV"/>
        <s v="BCM"/>
        <s v="BID"/>
        <s v="BMP"/>
        <s v="BSI"/>
        <s v="BVH"/>
        <s v="BWE"/>
        <s v="CII"/>
        <s v="CMG"/>
        <s v="CTD"/>
        <s v="CTG"/>
        <s v="CTR"/>
        <s v="CTS"/>
        <s v="DBC"/>
        <s v="DCM"/>
        <s v="DGC"/>
        <s v="DGW"/>
        <s v="DIG"/>
        <s v="DPM"/>
        <s v="DSE"/>
        <s v="DXG"/>
        <s v="DXS"/>
        <s v="EIB"/>
        <s v="EVF"/>
        <s v="FPT"/>
        <s v="FRT"/>
        <s v="FTS"/>
        <s v="GAS"/>
        <s v="GEE"/>
        <s v="GEX"/>
        <s v="GMD"/>
        <s v="GVR"/>
        <s v="HAG"/>
        <s v="HCM"/>
        <s v="HDB"/>
        <s v="HDC"/>
        <s v="HDG"/>
        <s v="HHV"/>
        <s v="HPG"/>
        <s v="HSG"/>
        <s v="HT1"/>
        <s v="IMP"/>
        <s v="KBC"/>
        <s v="KDC"/>
        <s v="KDH"/>
        <s v="KOS"/>
        <s v="LPB"/>
        <s v="MBB"/>
        <s v="MSB"/>
        <s v="MSN"/>
        <s v="MWG"/>
        <s v="NAB"/>
        <s v="NKG"/>
        <s v="NLG"/>
        <s v="NT2"/>
        <s v="OCB"/>
        <s v="PAN"/>
        <s v="PC1"/>
        <s v="PDR"/>
        <s v="PHR"/>
        <s v="PLX"/>
        <s v="PNJ"/>
        <s v="POW"/>
        <s v="PPC"/>
        <s v="PTB"/>
        <s v="PVD"/>
        <s v="PVT"/>
        <s v="REE"/>
        <s v="SAB"/>
        <s v="SBT"/>
        <s v="SCS"/>
        <s v="SHB"/>
        <s v="SIP"/>
        <s v="SJS"/>
        <s v="SSB"/>
        <s v="SSI"/>
        <s v="STB"/>
        <s v="SZC"/>
        <s v="TCB"/>
        <s v="TCH"/>
        <s v="TLG"/>
        <s v="TPB"/>
        <s v="VCB"/>
        <s v="VCG"/>
        <s v="VHC"/>
        <s v="VHM"/>
        <s v="VIB"/>
        <s v="VIC"/>
        <s v="VIX"/>
        <s v="VJC"/>
        <s v="VND"/>
        <s v="VNM"/>
        <s v="VPB"/>
        <s v="VPI"/>
        <s v="VRE"/>
        <s v="VSC"/>
        <s v="VTP"/>
      </sharedItems>
    </cacheField>
    <cacheField name="Giá đóng cửa" numFmtId="0">
      <sharedItems containsString="0" containsBlank="1" containsNumber="1" minValue="6.99" maxValue="213"/>
    </cacheField>
    <cacheField name="KLGD/1000" numFmtId="0">
      <sharedItems containsString="0" containsBlank="1" containsNumber="1" minValue="2.5" maxValue="18960.7"/>
    </cacheField>
    <cacheField name="BĐ giá" numFmtId="0">
      <sharedItems containsString="0" containsBlank="1" containsNumber="1" minValue="-3.8399999999999997E-2" maxValue="6.9599999999999995E-2"/>
    </cacheField>
    <cacheField name="KL/KLTB21_x000a_phiên" numFmtId="0">
      <sharedItems containsString="0" containsBlank="1" containsNumber="1" minValue="6.4566115702479332E-2" maxValue="1.86591074801839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6217.868162500003" createdVersion="8" refreshedVersion="8" minRefreshableVersion="3" recordCount="28" xr:uid="{7F1E52BA-9F3B-446B-8A74-911B2278A559}">
  <cacheSource type="worksheet">
    <worksheetSource ref="B18:F46" sheet="NGÂN HÀNG"/>
  </cacheSource>
  <cacheFields count="5">
    <cacheField name="Mã" numFmtId="0">
      <sharedItems containsBlank="1" count="28">
        <m/>
        <s v="ABB"/>
        <s v="ACB"/>
        <s v="BAB"/>
        <s v="BID"/>
        <s v="BVB"/>
        <s v="CTG"/>
        <s v="EIB"/>
        <s v="HDB"/>
        <s v="KLB"/>
        <s v="LPB"/>
        <s v="MBB"/>
        <s v="MSB"/>
        <s v="NAB"/>
        <s v="NVB"/>
        <s v="OCB"/>
        <s v="PGB"/>
        <s v="SGB"/>
        <s v="SHB"/>
        <s v="SSB"/>
        <s v="STB"/>
        <s v="TCB"/>
        <s v="TPB"/>
        <s v="VAB"/>
        <s v="VBB"/>
        <s v="VCB"/>
        <s v="VIB"/>
        <s v="VPB"/>
      </sharedItems>
    </cacheField>
    <cacheField name="Giá đóng cửa" numFmtId="0">
      <sharedItems containsString="0" containsBlank="1" containsNumber="1" minValue="10.199999999999999" maxValue="70.2"/>
    </cacheField>
    <cacheField name="KLGD/1000" numFmtId="0">
      <sharedItems containsString="0" containsBlank="1" containsNumber="1" minValue="3.4" maxValue="18960.7"/>
    </cacheField>
    <cacheField name="BĐ giá" numFmtId="0">
      <sharedItems containsString="0" containsBlank="1" containsNumber="1" minValue="-2.86E-2" maxValue="2.7000000000000003E-2"/>
    </cacheField>
    <cacheField name="KL/KLTB21_x000a_phiên" numFmtId="0">
      <sharedItems containsString="0" containsBlank="1" containsNumber="1" minValue="0.10055292683289131" maxValue="3.80307510377013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6217.868176736112" createdVersion="8" refreshedVersion="8" minRefreshableVersion="3" recordCount="5" xr:uid="{C6D120D1-7635-4258-8617-74DB5C6E9BAE}">
  <cacheSource type="worksheet">
    <worksheetSource ref="B18:F23" sheet="VINGROUP"/>
  </cacheSource>
  <cacheFields count="5">
    <cacheField name="Mã" numFmtId="0">
      <sharedItems containsBlank="1" count="5">
        <m/>
        <s v="VIC"/>
        <s v="VHM"/>
        <s v="VRE"/>
        <s v="VPL"/>
      </sharedItems>
    </cacheField>
    <cacheField name="Giá đóng cửa" numFmtId="0">
      <sharedItems containsString="0" containsBlank="1" containsNumber="1" minValue="25.5" maxValue="213"/>
    </cacheField>
    <cacheField name="KLGD/1000" numFmtId="0">
      <sharedItems containsString="0" containsBlank="1" containsNumber="1" minValue="356.4" maxValue="1977.7"/>
    </cacheField>
    <cacheField name="BĐ giá" numFmtId="0">
      <sharedItems containsString="0" containsBlank="1" containsNumber="1" minValue="-3.8399999999999997E-2" maxValue="-1.54E-2"/>
    </cacheField>
    <cacheField name="KL/KLTB21_x000a_phiên" numFmtId="0">
      <sharedItems containsString="0" containsBlank="1" containsNumber="1" minValue="0.2934706083366842" maxValue="0.4335766423357664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6217.868188310182" createdVersion="8" refreshedVersion="8" minRefreshableVersion="3" recordCount="23" xr:uid="{C33345E6-BC54-4CF5-85EE-C2EED316336B}">
  <cacheSource type="worksheet">
    <worksheetSource ref="B18:F41" sheet="CHỨNG KHOÁN"/>
  </cacheSource>
  <cacheFields count="5">
    <cacheField name="Mã" numFmtId="0">
      <sharedItems containsBlank="1" count="23">
        <m/>
        <s v="AAS"/>
        <s v="ABW"/>
        <s v="AGR"/>
        <s v="APG"/>
        <s v="APS"/>
        <s v="BSI"/>
        <s v="BVS"/>
        <s v="CTS"/>
        <s v="DSE"/>
        <s v="EVS"/>
        <s v="FTS"/>
        <s v="HCM"/>
        <s v="MBS"/>
        <s v="ORS"/>
        <s v="SBS"/>
        <s v="SHS"/>
        <s v="SSI"/>
        <s v="VCI"/>
        <s v="VDS"/>
        <s v="VFS"/>
        <s v="VIX"/>
        <s v="VND"/>
      </sharedItems>
    </cacheField>
    <cacheField name="Giá đóng cửa" numFmtId="0">
      <sharedItems containsString="0" containsBlank="1" containsNumber="1" minValue="4.7" maxValue="32.9"/>
    </cacheField>
    <cacheField name="KLGD/1000" numFmtId="0">
      <sharedItems containsString="0" containsBlank="1" containsNumber="1" minValue="31.1" maxValue="10990.9"/>
    </cacheField>
    <cacheField name="BĐ giá" numFmtId="0">
      <sharedItems containsString="0" containsBlank="1" containsNumber="1" minValue="-4.41E-2" maxValue="6.8999999999999999E-3"/>
    </cacheField>
    <cacheField name="KL/KLTB21_x000a_phiên" numFmtId="0">
      <sharedItems containsString="0" containsBlank="1" containsNumber="1" minValue="0.10593525589013672" maxValue="0.736341888483562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6217.868201967591" createdVersion="8" refreshedVersion="8" minRefreshableVersion="3" recordCount="11" xr:uid="{2906EE95-884B-4A39-84D1-3CB765857D22}">
  <cacheSource type="worksheet">
    <worksheetSource ref="B18:F29" sheet=" DẦU -KHÍ ĐỐT"/>
  </cacheSource>
  <cacheFields count="5">
    <cacheField name="Mã" numFmtId="0">
      <sharedItems containsBlank="1" count="11">
        <m/>
        <s v="PVD"/>
        <s v="PVS"/>
        <s v="PVC"/>
        <s v="PVB"/>
        <s v="BSR"/>
        <s v="PLX"/>
        <s v="OIL"/>
        <s v="PLC"/>
        <s v="CNG"/>
        <s v="GAS"/>
      </sharedItems>
    </cacheField>
    <cacheField name="Giá đóng cửa" numFmtId="0">
      <sharedItems containsString="0" containsBlank="1" containsNumber="1" minValue="13.6" maxValue="78"/>
    </cacheField>
    <cacheField name="KLGD/1000" numFmtId="0">
      <sharedItems containsString="0" containsBlank="1" containsNumber="1" minValue="2.5" maxValue="12103.5"/>
    </cacheField>
    <cacheField name="BĐ giá" numFmtId="0">
      <sharedItems containsString="0" containsBlank="1" containsNumber="1" minValue="9.3999999999999986E-3" maxValue="6.9599999999999995E-2"/>
    </cacheField>
    <cacheField name="KL/KLTB21_x000a_phiên" numFmtId="0">
      <sharedItems containsString="0" containsBlank="1" containsNumber="1" minValue="0.33192516596258298" maxValue="1.86591074801839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6217.868212731482" createdVersion="8" refreshedVersion="8" minRefreshableVersion="3" recordCount="11" xr:uid="{0FCCBC66-43A8-4C8F-99CF-AAEB265E8755}">
  <cacheSource type="worksheet">
    <worksheetSource ref="B18:F29" sheet="CÔNG NGHỆ"/>
  </cacheSource>
  <cacheFields count="5">
    <cacheField name="Mã" numFmtId="0">
      <sharedItems containsBlank="1" count="11">
        <m/>
        <s v="CTR"/>
        <s v="CMG"/>
        <s v="ELC"/>
        <s v="FPT"/>
        <s v="ICT"/>
        <s v="ITD"/>
        <s v="DGT"/>
        <s v="FOX"/>
        <s v="VTK"/>
        <s v="ADS"/>
      </sharedItems>
    </cacheField>
    <cacheField name="Giá đóng cửa" numFmtId="0">
      <sharedItems containsString="0" containsBlank="1" containsNumber="1" minValue="3.7" maxValue="72.099999999999994"/>
    </cacheField>
    <cacheField name="KLGD/1000" numFmtId="0">
      <sharedItems containsString="0" containsBlank="1" containsNumber="1" minValue="0.3" maxValue="3410.7"/>
    </cacheField>
    <cacheField name="BĐ giá" numFmtId="0">
      <sharedItems containsString="0" containsBlank="1" containsNumber="1" minValue="-2.6000000000000002E-2" maxValue="0"/>
    </cacheField>
    <cacheField name="KL/KLTB21_x000a_phiên" numFmtId="0">
      <sharedItems containsString="0" containsBlank="1" containsNumber="1" minValue="4.2771876842917042E-2" maxValue="0.781813468029240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6217.868226041668" createdVersion="8" refreshedVersion="8" minRefreshableVersion="3" recordCount="12" xr:uid="{85FDF940-0041-4D49-A09E-29E80CFDB192}">
  <cacheSource type="worksheet">
    <worksheetSource ref="B18:E30" sheet="BẢO HIỂM - DV TÀI CHÍNH"/>
  </cacheSource>
  <cacheFields count="4">
    <cacheField name="Mã" numFmtId="0">
      <sharedItems containsBlank="1" count="20">
        <m/>
        <s v="ABI"/>
        <s v="BCG"/>
        <s v="BIC"/>
        <s v="BLI"/>
        <s v="BMI"/>
        <s v="BVH"/>
        <s v="EVF"/>
        <s v="FIT"/>
        <s v="MIG"/>
        <s v="OGC"/>
        <s v="TVC"/>
        <s v="PGI" u="1"/>
        <s v="PRE" u="1"/>
        <s v="PTI" u="1"/>
        <s v="PVI" u="1"/>
        <s v="TIN" u="1"/>
        <s v="VNR" u="1"/>
        <s v="AIC" u="1"/>
        <s v="BHI" u="1"/>
      </sharedItems>
    </cacheField>
    <cacheField name="Giá đóng cửa" numFmtId="0">
      <sharedItems containsString="0" containsBlank="1" containsNumber="1" minValue="2.5299999999999998" maxValue="58.7"/>
    </cacheField>
    <cacheField name="KLGD/1000" numFmtId="0">
      <sharedItems containsString="0" containsBlank="1" containsNumber="1" minValue="0" maxValue="582.4"/>
    </cacheField>
    <cacheField name="BĐ giá" numFmtId="0">
      <sharedItems containsString="0" containsBlank="1" containsNumber="1" minValue="-1.6899999999999998E-2" maxValue="2.0899999999999998E-2"/>
    </cacheField>
  </cacheFields>
  <extLst>
    <ext xmlns:x14="http://schemas.microsoft.com/office/spreadsheetml/2009/9/main" uri="{725AE2AE-9491-48be-B2B4-4EB974FC3084}">
      <x14:pivotCacheDefinition pivotCacheId="1804215619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6217.868239699077" createdVersion="8" refreshedVersion="8" minRefreshableVersion="3" recordCount="13" xr:uid="{B1446C2D-E96D-4B39-B5AD-29003F375480}">
  <cacheSource type="worksheet">
    <worksheetSource ref="B18:F31" sheet="BÁN LẺ"/>
  </cacheSource>
  <cacheFields count="5">
    <cacheField name="Mã" numFmtId="0">
      <sharedItems containsBlank="1" count="13">
        <m/>
        <s v="MWG"/>
        <s v="FRT"/>
        <s v="DGW"/>
        <s v="PET"/>
        <s v="CTF"/>
        <s v="HAX"/>
        <s v="PNJ"/>
        <s v="HHS"/>
        <s v="DAH"/>
        <s v="VEA"/>
        <s v="HUT"/>
        <s v="CSM"/>
      </sharedItems>
    </cacheField>
    <cacheField name="Giá đóng cửa" numFmtId="0">
      <sharedItems containsString="0" containsBlank="1" containsNumber="1" minValue="2.85" maxValue="112.4"/>
    </cacheField>
    <cacheField name="KLGD/1000" numFmtId="0">
      <sharedItems containsString="0" containsBlank="1" containsNumber="1" minValue="4.0999999999999996" maxValue="2623.8"/>
    </cacheField>
    <cacheField name="BĐ giá" numFmtId="0">
      <sharedItems containsString="0" containsBlank="1" containsNumber="1" minValue="-2.0400000000000001E-2" maxValue="3.4200000000000001E-2"/>
    </cacheField>
    <cacheField name="KL/KLTB21_x000a_phiên" numFmtId="0">
      <sharedItems containsString="0" containsBlank="1" containsNumber="1" minValue="4.1102756892230578E-2" maxValue="0.859626863004396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6217.868253009263" createdVersion="8" refreshedVersion="8" minRefreshableVersion="3" recordCount="12" xr:uid="{39091279-0ED7-40DE-8DCF-D04999413B29}">
  <cacheSource type="worksheet">
    <worksheetSource ref="B18:F30" sheet="DỆT MAY"/>
  </cacheSource>
  <cacheFields count="5">
    <cacheField name="Mã" numFmtId="0">
      <sharedItems containsBlank="1" count="14">
        <m/>
        <s v="AAT"/>
        <s v="ADS"/>
        <s v="EVE"/>
        <s v="GIL"/>
        <s v="HTG"/>
        <s v="KMR"/>
        <s v="MSH"/>
        <s v="STK"/>
        <s v="SVD"/>
        <s v="TCM"/>
        <s v="SBG"/>
        <s v="GMC" u="1"/>
        <s v="TVT" u="1"/>
      </sharedItems>
    </cacheField>
    <cacheField name="Giá đóng cửa" numFmtId="0">
      <sharedItems containsString="0" containsBlank="1" containsNumber="1" minValue="2.48" maxValue="42"/>
    </cacheField>
    <cacheField name="KLGD/1000" numFmtId="0">
      <sharedItems containsString="0" containsBlank="1" containsNumber="1" minValue="0.5" maxValue="519.9"/>
    </cacheField>
    <cacheField name="BĐ giá" numFmtId="0">
      <sharedItems containsString="0" containsBlank="1" containsNumber="1" minValue="-6.9599999999999995E-2" maxValue="4.0000000000000001E-3"/>
    </cacheField>
    <cacheField name="KL/KLTB21_x000a_phiên" numFmtId="0">
      <sharedItems containsString="0" containsBlank="1" containsNumber="1" minValue="3.3783783783783786E-2" maxValue="1.10402509147935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6217.868266435187" createdVersion="8" refreshedVersion="8" minRefreshableVersion="3" recordCount="10" xr:uid="{A5591B24-A165-4C06-9C13-51E325A6104E}">
  <cacheSource type="worksheet">
    <worksheetSource ref="B18:F28" sheet="THÉP"/>
  </cacheSource>
  <cacheFields count="5">
    <cacheField name="Mã" numFmtId="0">
      <sharedItems containsBlank="1" count="14">
        <m/>
        <s v="HPG"/>
        <s v="HSG"/>
        <s v="NKG"/>
        <s v="VGS"/>
        <s v="SHI"/>
        <s v="SMC"/>
        <s v="TLH"/>
        <s v="TNI"/>
        <s v="VCA"/>
        <s v="SHA" u="1"/>
        <s v="DTL" u="1"/>
        <s v="HMC" u="1"/>
        <s v="TNA" u="1"/>
      </sharedItems>
    </cacheField>
    <cacheField name="Giá đóng cửa" numFmtId="0">
      <sharedItems containsString="0" containsBlank="1" containsNumber="1" minValue="4.28" maxValue="22.2"/>
    </cacheField>
    <cacheField name="KLGD/1000" numFmtId="0">
      <sharedItems containsString="0" containsBlank="1" containsNumber="1" minValue="0.8" maxValue="12172.4"/>
    </cacheField>
    <cacheField name="BĐ giá" numFmtId="0">
      <sharedItems containsString="0" containsBlank="1" containsNumber="1" minValue="-5.5899999999999998E-2" maxValue="8.8999999999999999E-3"/>
    </cacheField>
    <cacheField name="KL/KLTB21_x000a_phiên" numFmtId="0">
      <sharedItems containsString="0" containsBlank="1" containsNumber="1" minValue="0.2618967055277" maxValue="3.969183299211147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6217.868279629627" createdVersion="8" refreshedVersion="8" minRefreshableVersion="3" recordCount="17" xr:uid="{62DEA245-73DD-47D4-8AD7-65D76B728F31}">
  <cacheSource type="worksheet">
    <worksheetSource ref="B18:F35" sheet="NĂNG LƯỢNG - TB ĐIỆN"/>
  </cacheSource>
  <cacheFields count="5">
    <cacheField name="Mã" numFmtId="0">
      <sharedItems containsBlank="1" count="18">
        <m/>
        <s v="PC1"/>
        <s v="GEE"/>
        <s v="GEG"/>
        <s v="GEX"/>
        <s v="NT2"/>
        <s v="PAC"/>
        <s v="POW"/>
        <s v="PPC"/>
        <s v="REE"/>
        <s v="SJD"/>
        <s v="TTA"/>
        <s v="VSH"/>
        <s v="HHP"/>
        <s v="VNE"/>
        <s v="TV2"/>
        <s v="SAM"/>
        <s v="NTL" u="1"/>
      </sharedItems>
    </cacheField>
    <cacheField name="Giá đóng cửa" numFmtId="0">
      <sharedItems containsString="0" containsBlank="1" containsNumber="1" minValue="2.7" maxValue="81.2"/>
    </cacheField>
    <cacheField name="KLGD/1000" numFmtId="0">
      <sharedItems containsString="0" containsBlank="1" containsNumber="1" minValue="6" maxValue="4033"/>
    </cacheField>
    <cacheField name="BĐ giá" numFmtId="0">
      <sharedItems containsString="0" containsBlank="1" containsNumber="1" minValue="-0.1" maxValue="0.01"/>
    </cacheField>
    <cacheField name="KL/KLTB21_x000a_phiên" numFmtId="0">
      <sharedItems containsString="0" containsBlank="1" containsNumber="1" minValue="6.3346603570444929E-2" maxValue="2.97430167597765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6217.86828923611" createdVersion="8" refreshedVersion="8" minRefreshableVersion="3" recordCount="19" xr:uid="{8290586F-1519-4BA6-AF85-F9741AA7592A}">
  <cacheSource type="worksheet">
    <worksheetSource ref="B18:F37" sheet="CÔNG NGHIỆP - KCN"/>
  </cacheSource>
  <cacheFields count="5">
    <cacheField name="Mã" numFmtId="0">
      <sharedItems containsBlank="1" count="19">
        <m/>
        <s v="BCM"/>
        <s v="IDC"/>
        <s v="KBC"/>
        <s v="LHG"/>
        <s v="NLG"/>
        <s v="PHR"/>
        <s v="SIP"/>
        <s v="SZC"/>
        <s v="SZL"/>
        <s v="TIP"/>
        <s v="VGC"/>
        <s v="VRG"/>
        <s v="MH3"/>
        <s v="NTC"/>
        <s v="D2D"/>
        <s v="SGT"/>
        <s v="CCL"/>
        <s v="IDV"/>
      </sharedItems>
    </cacheField>
    <cacheField name="Giá đóng cửa" numFmtId="0">
      <sharedItems containsString="0" containsBlank="1" containsNumber="1" minValue="4.08" maxValue="129.1"/>
    </cacheField>
    <cacheField name="KLGD/1000" numFmtId="0">
      <sharedItems containsString="0" containsBlank="1" containsNumber="1" minValue="1.2" maxValue="638.6"/>
    </cacheField>
    <cacheField name="BĐ giá" numFmtId="0">
      <sharedItems containsString="0" containsBlank="1" containsNumber="1" minValue="-6.6400000000000001E-2" maxValue="2.8399999999999998E-2"/>
    </cacheField>
    <cacheField name="KL/KLTB21_x000a_phiên" numFmtId="0">
      <sharedItems containsString="0" containsBlank="1" containsNumber="1" minValue="7.3674418604651168E-2" maxValue="4.8697916666666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6217.868300694441" createdVersion="8" refreshedVersion="8" minRefreshableVersion="3" recordCount="22" xr:uid="{705E465A-A9C3-4130-8143-CD99F2CAF347}">
  <cacheSource type="worksheet">
    <worksheetSource ref="B18:F40" sheet="HÓA CHẤT -NHỰA"/>
  </cacheSource>
  <cacheFields count="5">
    <cacheField name="Mã" numFmtId="0">
      <sharedItems containsBlank="1" count="23">
        <m/>
        <s v="BFC"/>
        <s v="CSV"/>
        <s v="DCM"/>
        <s v="DGC"/>
        <s v="DPM"/>
        <s v="HVT"/>
        <s v="LAS"/>
        <s v="LTG"/>
        <s v="NFC"/>
        <s v="PCE"/>
        <s v="SFG"/>
        <s v="AAA"/>
        <s v="APH"/>
        <s v="BMP"/>
        <s v="BRC"/>
        <s v="HII"/>
        <s v="NHH"/>
        <s v="NTP"/>
        <s v="VKC"/>
        <s v="VNP"/>
        <s v="VTZ"/>
        <s v="PAC" u="1"/>
      </sharedItems>
    </cacheField>
    <cacheField name="Giá đóng cửa" numFmtId="0">
      <sharedItems containsString="0" containsBlank="1" containsNumber="1" minValue="1.6" maxValue="150.80000000000001"/>
    </cacheField>
    <cacheField name="KLGD/1000" numFmtId="0">
      <sharedItems containsString="0" containsBlank="1" containsNumber="1" minValue="0.1" maxValue="3680"/>
    </cacheField>
    <cacheField name="BĐ giá" numFmtId="0">
      <sharedItems containsString="0" containsBlank="1" containsNumber="1" minValue="-3.6400000000000002E-2" maxValue="0.1429"/>
    </cacheField>
    <cacheField name="KL/KLTB21_x000a_phiên" numFmtId="0">
      <sharedItems containsString="0" containsBlank="1" containsNumber="1" minValue="2.3352333641159548E-2" maxValue="1.284935677108906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6217.868312615741" createdVersion="8" refreshedVersion="8" minRefreshableVersion="3" recordCount="9" xr:uid="{69324D5E-0282-43D9-98F0-E71DC909C68F}">
  <cacheSource type="worksheet">
    <worksheetSource ref="B18:F27" sheet="Y TẾ - DƯỢC"/>
  </cacheSource>
  <cacheFields count="5">
    <cacheField name="Mã" numFmtId="0">
      <sharedItems containsBlank="1" count="14">
        <m/>
        <s v="DBD"/>
        <s v="DBT"/>
        <s v="DCL"/>
        <s v="DHG"/>
        <s v="IMP"/>
        <s v="JVC"/>
        <s v="OPC"/>
        <s v="TNH"/>
        <s v="VDP" u="1"/>
        <s v="TRA" u="1"/>
        <s v="VMD" u="1"/>
        <s v="DMC" u="1"/>
        <s v="SPM" u="1"/>
      </sharedItems>
    </cacheField>
    <cacheField name="Giá đóng cửa" numFmtId="0">
      <sharedItems containsString="0" containsBlank="1" containsNumber="1" minValue="3.25" maxValue="92.5"/>
    </cacheField>
    <cacheField name="KLGD/1000" numFmtId="0">
      <sharedItems containsString="0" containsBlank="1" containsNumber="1" minValue="2.5" maxValue="293.89999999999998"/>
    </cacheField>
    <cacheField name="BĐ giá" numFmtId="0">
      <sharedItems containsString="0" containsBlank="1" containsNumber="1" minValue="-1.26E-2" maxValue="3.0899999999999997E-2"/>
    </cacheField>
    <cacheField name="KL/KLTB21_x000a_phiên" numFmtId="0">
      <sharedItems containsString="0" containsBlank="1" containsNumber="1" minValue="0.14523023645906608" maxValue="7.932379713914174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6217.868326157404" createdVersion="8" refreshedVersion="8" minRefreshableVersion="3" recordCount="43" xr:uid="{E82847C7-9705-4AA6-BF0A-E6B943B9E9C6}">
  <cacheSource type="worksheet">
    <worksheetSource ref="B18:F61" sheet="BĐS"/>
  </cacheSource>
  <cacheFields count="5">
    <cacheField name="Mã" numFmtId="0">
      <sharedItems containsBlank="1" count="43">
        <m/>
        <s v="AGG"/>
        <s v="BCM"/>
        <s v="CCL"/>
        <s v="CKG"/>
        <s v="CRE"/>
        <s v="D2D"/>
        <s v="DIG"/>
        <s v="DXG"/>
        <s v="FIR"/>
        <s v="HAR"/>
        <s v="HDC"/>
        <s v="HDG"/>
        <s v="HPX"/>
        <s v="HQC"/>
        <s v="HTN"/>
        <s v="IJC"/>
        <s v="ITC"/>
        <s v="KDH"/>
        <s v="KHG"/>
        <s v="KOS"/>
        <s v="LGL"/>
        <s v="LHG"/>
        <s v="NBB"/>
        <s v="NLG"/>
        <s v="NTL"/>
        <s v="NVL"/>
        <s v="NVT"/>
        <s v="PDR"/>
        <s v="PTL"/>
        <s v="QCG"/>
        <s v="SCR"/>
        <s v="SGR"/>
        <s v="SIP"/>
        <s v="SJS"/>
        <s v="SZC"/>
        <s v="TCH"/>
        <s v="TDH"/>
        <s v="TIP"/>
        <s v="TLD"/>
        <s v="VPH"/>
        <s v="VPI"/>
        <s v="CEO"/>
      </sharedItems>
    </cacheField>
    <cacheField name="Giá đóng cửa" numFmtId="0">
      <sharedItems containsString="0" containsBlank="1" containsNumber="1" minValue="1.99" maxValue="60.4"/>
    </cacheField>
    <cacheField name="KLGD/1000" numFmtId="0">
      <sharedItems containsString="0" containsBlank="1" containsNumber="1" minValue="0.2" maxValue="3382.1"/>
    </cacheField>
    <cacheField name="BĐ giá" numFmtId="0">
      <sharedItems containsString="0" containsBlank="1" containsNumber="1" minValue="-6.25E-2" maxValue="2.5699999999999997E-2"/>
    </cacheField>
    <cacheField name="KL/KLTB21_x000a_phiên" numFmtId="0">
      <sharedItems containsString="0" containsBlank="1" containsNumber="1" minValue="3.1841756121095161E-2" maxValue="2.637942551770207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6217.868337499996" createdVersion="8" refreshedVersion="8" minRefreshableVersion="3" recordCount="22" xr:uid="{4BD0939C-7E79-474F-A969-22E51974F303}">
  <cacheSource type="worksheet">
    <worksheetSource ref="B18:F40" sheet="THỰC PHẨM-THỦY SẢN"/>
  </cacheSource>
  <cacheFields count="5">
    <cacheField name="Mã" numFmtId="0">
      <sharedItems containsBlank="1" count="22">
        <m/>
        <s v="ABS"/>
        <s v="ANV"/>
        <s v="ASM"/>
        <s v="BAF"/>
        <s v="CMX"/>
        <s v="DBC"/>
        <s v="FMC"/>
        <s v="HAG"/>
        <s v="HSL"/>
        <s v="IDI"/>
        <s v="KDC"/>
        <s v="LSS"/>
        <s v="MCM"/>
        <s v="MSN"/>
        <s v="NAF"/>
        <s v="PAN"/>
        <s v="SAB"/>
        <s v="SBT"/>
        <s v="VHC"/>
        <s v="VNM"/>
        <s v="CDN"/>
      </sharedItems>
    </cacheField>
    <cacheField name="Giá đóng cửa" numFmtId="0">
      <sharedItems containsString="0" containsBlank="1" containsNumber="1" minValue="3.45" maxValue="67.599999999999994"/>
    </cacheField>
    <cacheField name="KLGD/1000" numFmtId="0">
      <sharedItems containsString="0" containsBlank="1" containsNumber="1" minValue="4.4000000000000004" maxValue="1469.2"/>
    </cacheField>
    <cacheField name="BĐ giá" numFmtId="0">
      <sharedItems containsString="0" containsBlank="1" containsNumber="1" minValue="-4.9000000000000002E-2" maxValue="6.8099999999999994E-2"/>
    </cacheField>
    <cacheField name="KL/KLTB21_x000a_phiên" numFmtId="0">
      <sharedItems containsString="0" containsBlank="1" containsNumber="1" minValue="6.4566115702479332E-2" maxValue="5.00780862667327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6217.868352199075" createdVersion="8" refreshedVersion="8" minRefreshableVersion="3" recordCount="19" xr:uid="{81A85788-DFC7-41F6-AD08-2C09B79D54E4}">
  <cacheSource type="worksheet">
    <worksheetSource ref="B18:F37" sheet="VẬN TẢI - Logistics"/>
  </cacheSource>
  <cacheFields count="5">
    <cacheField name="Mã" numFmtId="0">
      <sharedItems containsBlank="1" count="19">
        <m/>
        <s v="GMD"/>
        <s v="HAH"/>
        <s v="VSC"/>
        <s v="PHP"/>
        <s v="PDN"/>
        <s v="DVP"/>
        <s v="VOS"/>
        <s v="PVT"/>
        <s v="PVP"/>
        <s v="VTO"/>
        <s v="VIP"/>
        <s v="MVN"/>
        <s v="SWC"/>
        <s v="HVN"/>
        <s v="SCS"/>
        <s v="NCT"/>
        <s v="VTP"/>
        <s v="TCL"/>
      </sharedItems>
    </cacheField>
    <cacheField name="Giá đóng cửa" numFmtId="0">
      <sharedItems containsString="0" containsBlank="1" containsNumber="1" minValue="10.15" maxValue="98.3"/>
    </cacheField>
    <cacheField name="KLGD/1000" numFmtId="0">
      <sharedItems containsString="0" containsBlank="1" containsNumber="1" minValue="0.1" maxValue="2957.7"/>
    </cacheField>
    <cacheField name="BĐ giá" numFmtId="0">
      <sharedItems containsString="0" containsBlank="1" containsNumber="1" minValue="-3.0600000000000002E-2" maxValue="2.9600000000000001E-2"/>
    </cacheField>
    <cacheField name="KL/KLTB21_x000a_phiên" numFmtId="0">
      <sharedItems containsString="0" containsBlank="1" containsNumber="1" minValue="5.9459459459459463E-2" maxValue="3.45819397993311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6217.868364467591" createdVersion="8" refreshedVersion="8" minRefreshableVersion="3" recordCount="18" xr:uid="{307FCF6A-0568-4D86-B7DB-47ED99256582}">
  <cacheSource type="worksheet">
    <worksheetSource ref="B18:F36" sheet="VLXD-NỘI THẤT"/>
  </cacheSource>
  <cacheFields count="5">
    <cacheField name="Mã" numFmtId="0">
      <sharedItems containsBlank="1" count="19">
        <m/>
        <s v="ACG"/>
        <s v="BBC"/>
        <s v="BMC"/>
        <s v="DHM"/>
        <s v="DLG"/>
        <s v="HT1"/>
        <s v="KSB"/>
        <s v="PLC"/>
        <s v="PTB"/>
        <s v="SAV"/>
        <s v="SVT"/>
        <s v="THG"/>
        <s v="TNT"/>
        <s v="TTF"/>
        <s v="VID"/>
        <s v="VLB"/>
        <s v="VPG"/>
        <s v="QNC" u="1"/>
      </sharedItems>
    </cacheField>
    <cacheField name="Giá đóng cửa" numFmtId="0">
      <sharedItems containsString="0" containsBlank="1" containsNumber="1" minValue="1.97" maxValue="97"/>
    </cacheField>
    <cacheField name="KLGD/1000" numFmtId="0">
      <sharedItems containsString="0" containsBlank="1" containsNumber="1" minValue="0.5" maxValue="479"/>
    </cacheField>
    <cacheField name="BĐ giá" numFmtId="0">
      <sharedItems containsString="0" containsBlank="1" containsNumber="1" minValue="-6.8000000000000005E-2" maxValue="6.7099999999999993E-2"/>
    </cacheField>
    <cacheField name="KL/KLTB21_x000a_phiên" numFmtId="0">
      <sharedItems containsString="0" containsBlank="1" containsNumber="1" minValue="0.10912698412698413" maxValue="5.863539445628997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6217.868373958336" createdVersion="8" refreshedVersion="8" minRefreshableVersion="3" recordCount="23" xr:uid="{7A3F156F-6E9A-4B58-B9E5-E9030AB57955}">
  <cacheSource type="worksheet">
    <worksheetSource ref="B18:F41" sheet="ĐTC"/>
  </cacheSource>
  <cacheFields count="5">
    <cacheField name="Mã" numFmtId="0">
      <sharedItems containsBlank="1" count="23">
        <m/>
        <s v="C47"/>
        <s v="C4G"/>
        <s v="CII"/>
        <s v="CTI"/>
        <s v="CTD"/>
        <s v="DPG"/>
        <s v="FCN"/>
        <s v="G36"/>
        <s v="HBC"/>
        <s v="HHV"/>
        <s v="HTN"/>
        <s v="HUB"/>
        <s v="HUT"/>
        <s v="LCG"/>
        <s v="MST"/>
        <s v="PDB"/>
        <s v="S99"/>
        <s v="SCI"/>
        <s v="VCG"/>
        <s v="VC9"/>
        <s v="NO1"/>
        <s v="SRF"/>
      </sharedItems>
    </cacheField>
    <cacheField name="Giá đóng cửa" numFmtId="0">
      <sharedItems containsString="0" containsBlank="1" containsNumber="1" minValue="4.5" maxValue="66.8"/>
    </cacheField>
    <cacheField name="KLGD/1000" numFmtId="0">
      <sharedItems containsString="0" containsBlank="1" containsNumber="1" minValue="0.3" maxValue="1700.6"/>
    </cacheField>
    <cacheField name="BĐ giá" numFmtId="0">
      <sharedItems containsString="0" containsBlank="1" containsNumber="1" minValue="-4.6600000000000003E-2" maxValue="0.01"/>
    </cacheField>
    <cacheField name="KL/KLTB21_x000a_phiên" numFmtId="0">
      <sharedItems containsString="0" containsBlank="1" containsNumber="1" minValue="7.3842022823897959E-3" maxValue="3.6508806262230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x v="0"/>
    <m/>
    <m/>
    <m/>
    <m/>
  </r>
  <r>
    <x v="1"/>
    <n v="22.6"/>
    <n v="6312.6"/>
    <n v="6.7000000000000002E-3"/>
    <n v="0.51973405007780449"/>
  </r>
  <r>
    <x v="2"/>
    <n v="39.799999999999997"/>
    <n v="1772.6"/>
    <n v="-3.8E-3"/>
    <n v="0.44804437566277988"/>
  </r>
  <r>
    <x v="3"/>
    <n v="45.2"/>
    <n v="189.1"/>
    <n v="-2.2000000000000001E-3"/>
    <n v="0.27152693926834837"/>
  </r>
  <r>
    <x v="4"/>
    <n v="32.200000000000003"/>
    <n v="6575"/>
    <n v="-1.23E-2"/>
    <n v="0.91267299932803536"/>
  </r>
  <r>
    <x v="5"/>
    <n v="70.3"/>
    <n v="3410.7"/>
    <n v="-2.8000000000000004E-3"/>
    <n v="0.45675143626210279"/>
  </r>
  <r>
    <x v="6"/>
    <n v="78"/>
    <n v="1203"/>
    <n v="3.4500000000000003E-2"/>
    <n v="1.1216593064749909"/>
  </r>
  <r>
    <x v="7"/>
    <n v="30.3"/>
    <n v="1009.2"/>
    <n v="2.7099999999999999E-2"/>
    <n v="0.55288715348679685"/>
  </r>
  <r>
    <x v="8"/>
    <n v="26.35"/>
    <n v="3618.7"/>
    <n v="-1.3100000000000001E-2"/>
    <n v="0.33628938373234524"/>
  </r>
  <r>
    <x v="9"/>
    <n v="22.2"/>
    <n v="12172.4"/>
    <n v="-8.8999999999999999E-3"/>
    <n v="0.70020562229506278"/>
  </r>
  <r>
    <x v="10"/>
    <n v="51.3"/>
    <n v="891.9"/>
    <n v="-5.7999999999999996E-3"/>
    <n v="0.33812908729030422"/>
  </r>
  <r>
    <x v="11"/>
    <n v="24.1"/>
    <n v="5080.8"/>
    <n v="-1.43E-2"/>
    <n v="0.41476746209342708"/>
  </r>
  <r>
    <x v="12"/>
    <n v="67.599999999999994"/>
    <n v="1031.4000000000001"/>
    <n v="-4.4000000000000003E-3"/>
    <n v="0.31107577149280946"/>
  </r>
  <r>
    <x v="13"/>
    <n v="75.400000000000006"/>
    <n v="1553"/>
    <n v="-7.9000000000000008E-3"/>
    <n v="0.40105787436744117"/>
  </r>
  <r>
    <x v="14"/>
    <n v="36.799999999999997"/>
    <n v="2274.6"/>
    <n v="3.5200000000000002E-2"/>
    <n v="1.0839100402232751"/>
  </r>
  <r>
    <x v="15"/>
    <n v="46.35"/>
    <n v="212.1"/>
    <n v="4.3E-3"/>
    <n v="0.38187130195674057"/>
  </r>
  <r>
    <x v="16"/>
    <n v="12.55"/>
    <n v="18960.7"/>
    <n v="-4.0000000000000001E-3"/>
    <n v="0.41338369493821869"/>
  </r>
  <r>
    <x v="17"/>
    <n v="15.5"/>
    <n v="897.8"/>
    <n v="-9.5999999999999992E-3"/>
    <n v="0.38561452214028979"/>
  </r>
  <r>
    <x v="18"/>
    <n v="25.25"/>
    <n v="9622.2999999999993"/>
    <n v="-1.5600000000000001E-2"/>
    <n v="0.62712493552946413"/>
  </r>
  <r>
    <x v="19"/>
    <n v="70.2"/>
    <n v="2253.5"/>
    <n v="2.4799999999999999E-2"/>
    <n v="0.54589518794773706"/>
  </r>
  <r>
    <x v="20"/>
    <n v="31.85"/>
    <n v="3721.3"/>
    <n v="-1.55E-2"/>
    <n v="0.28672985781990523"/>
  </r>
  <r>
    <x v="21"/>
    <n v="15.45"/>
    <n v="3607.2"/>
    <n v="-6.4000000000000003E-3"/>
    <n v="0.30067539663354981"/>
  </r>
  <r>
    <x v="22"/>
    <n v="59.1"/>
    <n v="1745"/>
    <n v="3.4000000000000002E-3"/>
    <n v="0.45847017376246491"/>
  </r>
  <r>
    <x v="23"/>
    <n v="138.80000000000001"/>
    <n v="1977.7"/>
    <n v="-2.9399999999999999E-2"/>
    <n v="0.40009832016160113"/>
  </r>
  <r>
    <x v="24"/>
    <n v="15.5"/>
    <n v="2710.2"/>
    <n v="0"/>
    <n v="0.29869489681208561"/>
  </r>
  <r>
    <x v="25"/>
    <n v="213"/>
    <n v="972"/>
    <n v="-3.8399999999999997E-2"/>
    <n v="0.2934706083366842"/>
  </r>
  <r>
    <x v="26"/>
    <n v="131.30000000000001"/>
    <n v="454.1"/>
    <n v="-2.3099999999999999E-2"/>
    <n v="0.48696236762894968"/>
  </r>
  <r>
    <x v="27"/>
    <n v="55.6"/>
    <n v="932.6"/>
    <n v="3.5999999999999999E-3"/>
    <n v="0.31573446450228648"/>
  </r>
  <r>
    <x v="28"/>
    <n v="25.95"/>
    <n v="5500.1"/>
    <n v="-1.7000000000000001E-2"/>
    <n v="0.41846453283607277"/>
  </r>
  <r>
    <x v="29"/>
    <n v="81.599999999999994"/>
    <n v="356.4"/>
    <n v="-1.5700000000000002E-2"/>
    <n v="0.43357664233576643"/>
  </r>
  <r>
    <x v="30"/>
    <n v="25.5"/>
    <n v="1499.6"/>
    <n v="-1.54E-2"/>
    <n v="0.2939143204369893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">
  <r>
    <x v="0"/>
    <m/>
    <m/>
    <m/>
    <m/>
  </r>
  <r>
    <x v="1"/>
    <n v="22.6"/>
    <n v="6312.6"/>
    <n v="6.7000000000000002E-3"/>
    <n v="0.51973405007780449"/>
  </r>
  <r>
    <x v="2"/>
    <n v="18.7"/>
    <n v="133.80000000000001"/>
    <n v="-8.0000000000000002E-3"/>
    <n v="0.20995271142557576"/>
  </r>
  <r>
    <x v="3"/>
    <n v="46.4"/>
    <n v="105.6"/>
    <n v="8.6999999999999994E-3"/>
    <n v="0.36270530194217199"/>
  </r>
  <r>
    <x v="4"/>
    <n v="39.799999999999997"/>
    <n v="1772.6"/>
    <n v="-3.8E-3"/>
    <n v="0.44804437566277988"/>
  </r>
  <r>
    <x v="5"/>
    <n v="150.80000000000001"/>
    <n v="109.6"/>
    <n v="1.4800000000000001E-2"/>
    <n v="0.69740267252848964"/>
  </r>
  <r>
    <x v="6"/>
    <n v="32.9"/>
    <n v="143.69999999999999"/>
    <n v="6.0999999999999995E-3"/>
    <n v="0.16130250214294461"/>
  </r>
  <r>
    <x v="7"/>
    <n v="58.7"/>
    <n v="221.2"/>
    <n v="2.0899999999999998E-2"/>
    <n v="0.60708582834331337"/>
  </r>
  <r>
    <x v="8"/>
    <n v="45.2"/>
    <n v="56.2"/>
    <n v="0"/>
    <n v="1.0249523335820276"/>
  </r>
  <r>
    <x v="9"/>
    <n v="16.25"/>
    <n v="1658.3"/>
    <n v="3.0999999999999999E-3"/>
    <n v="0.17302164466030559"/>
  </r>
  <r>
    <x v="10"/>
    <n v="26.05"/>
    <n v="82.8"/>
    <n v="-1.5100000000000001E-2"/>
    <n v="0.47292175086972327"/>
  </r>
  <r>
    <x v="11"/>
    <n v="66.8"/>
    <n v="291.3"/>
    <n v="-1.18E-2"/>
    <n v="0.56607573469009198"/>
  </r>
  <r>
    <x v="12"/>
    <n v="32.200000000000003"/>
    <n v="6575"/>
    <n v="-1.23E-2"/>
    <n v="0.91267299932803536"/>
  </r>
  <r>
    <x v="13"/>
    <n v="72.099999999999994"/>
    <n v="58.9"/>
    <n v="-2.3E-2"/>
    <n v="0.2131952352065985"/>
  </r>
  <r>
    <x v="14"/>
    <n v="26.5"/>
    <n v="994.3"/>
    <n v="-1.49E-2"/>
    <n v="0.36741001019528935"/>
  </r>
  <r>
    <x v="15"/>
    <n v="17"/>
    <n v="818.8"/>
    <n v="5.8999999999999999E-3"/>
    <n v="0.65064166236242993"/>
  </r>
  <r>
    <x v="16"/>
    <n v="33.450000000000003"/>
    <n v="1600.3"/>
    <n v="2.76E-2"/>
    <n v="0.6256539368122328"/>
  </r>
  <r>
    <x v="17"/>
    <n v="45.2"/>
    <n v="189.1"/>
    <n v="-2.2000000000000001E-3"/>
    <n v="0.27152693926834837"/>
  </r>
  <r>
    <x v="18"/>
    <n v="38.4"/>
    <n v="192.9"/>
    <n v="-3.9000000000000003E-3"/>
    <n v="0.27637003028230928"/>
  </r>
  <r>
    <x v="19"/>
    <n v="12.45"/>
    <n v="2186.9"/>
    <n v="-1.5800000000000002E-2"/>
    <n v="0.48547073057029327"/>
  </r>
  <r>
    <x v="20"/>
    <n v="24.15"/>
    <n v="3680"/>
    <n v="3.2099999999999997E-2"/>
    <n v="1.0700176970565261"/>
  </r>
  <r>
    <x v="21"/>
    <n v="22.4"/>
    <n v="398.4"/>
    <n v="0"/>
    <n v="0.64449902201567721"/>
  </r>
  <r>
    <x v="22"/>
    <n v="12.05"/>
    <n v="1439.1"/>
    <n v="-4.0999999999999995E-3"/>
    <n v="0.17453137024451879"/>
  </r>
  <r>
    <x v="23"/>
    <n v="6.99"/>
    <n v="291.3"/>
    <n v="-2.8999999999999998E-3"/>
    <n v="0.2470471226793314"/>
  </r>
  <r>
    <x v="24"/>
    <n v="19.399999999999999"/>
    <n v="1560.3"/>
    <n v="2.5999999999999999E-3"/>
    <n v="0.37150402060628357"/>
  </r>
  <r>
    <x v="25"/>
    <n v="12.75"/>
    <n v="582.4"/>
    <n v="0"/>
    <n v="0.21062875629611122"/>
  </r>
  <r>
    <x v="26"/>
    <n v="70.3"/>
    <n v="3410.7"/>
    <n v="-2.8000000000000004E-3"/>
    <n v="0.45675143626210279"/>
  </r>
  <r>
    <x v="27"/>
    <n v="112.4"/>
    <n v="47.8"/>
    <n v="-7.9000000000000008E-3"/>
    <n v="0.15114207412458039"/>
  </r>
  <r>
    <x v="28"/>
    <n v="25.4"/>
    <n v="584"/>
    <n v="-1.3600000000000001E-2"/>
    <n v="0.27391944874990143"/>
  </r>
  <r>
    <x v="29"/>
    <n v="78"/>
    <n v="1203"/>
    <n v="3.4500000000000003E-2"/>
    <n v="1.1216593064749909"/>
  </r>
  <r>
    <x v="30"/>
    <n v="81.2"/>
    <n v="652.79999999999995"/>
    <n v="0.01"/>
    <n v="0.48025682182985552"/>
  </r>
  <r>
    <x v="31"/>
    <n v="26.25"/>
    <n v="4033"/>
    <n v="9.5999999999999992E-3"/>
    <n v="0.34005215415677215"/>
  </r>
  <r>
    <x v="32"/>
    <n v="76.900000000000006"/>
    <n v="1001.5"/>
    <n v="2.12E-2"/>
    <n v="0.7735681458309196"/>
  </r>
  <r>
    <x v="33"/>
    <n v="30.3"/>
    <n v="1009.2"/>
    <n v="2.7099999999999999E-2"/>
    <n v="0.55288715348679685"/>
  </r>
  <r>
    <x v="34"/>
    <n v="14.4"/>
    <n v="702.7"/>
    <n v="-1.7100000000000001E-2"/>
    <n v="0.28037854386117639"/>
  </r>
  <r>
    <x v="35"/>
    <n v="27.2"/>
    <n v="969.6"/>
    <n v="-1.4499999999999999E-2"/>
    <n v="0.22438707274970729"/>
  </r>
  <r>
    <x v="36"/>
    <n v="26.35"/>
    <n v="3618.7"/>
    <n v="-1.3100000000000001E-2"/>
    <n v="0.33628938373234524"/>
  </r>
  <r>
    <x v="37"/>
    <n v="14.15"/>
    <n v="457.9"/>
    <n v="-1.3899999999999999E-2"/>
    <n v="0.36612619276407027"/>
  </r>
  <r>
    <x v="38"/>
    <n v="19"/>
    <n v="532.70000000000005"/>
    <n v="5.3E-3"/>
    <n v="0.27853329974284258"/>
  </r>
  <r>
    <x v="39"/>
    <n v="10.4"/>
    <n v="622.20000000000005"/>
    <n v="-4.7999999999999996E-3"/>
    <n v="0.21154740939809613"/>
  </r>
  <r>
    <x v="40"/>
    <n v="22.2"/>
    <n v="12172.4"/>
    <n v="-8.8999999999999999E-3"/>
    <n v="0.70020562229506278"/>
  </r>
  <r>
    <x v="41"/>
    <n v="11.35"/>
    <n v="1013.3"/>
    <n v="8.8999999999999999E-3"/>
    <n v="0.39274986213955881"/>
  </r>
  <r>
    <x v="42"/>
    <n v="12.65"/>
    <n v="62.2"/>
    <n v="0"/>
    <n v="0.37813639880623412"/>
  </r>
  <r>
    <x v="43"/>
    <n v="39.1"/>
    <n v="2.5"/>
    <n v="-1.26E-2"/>
    <n v="0.24941387738813789"/>
  </r>
  <r>
    <x v="44"/>
    <n v="28.05"/>
    <n v="555.6"/>
    <n v="-7.0999999999999995E-3"/>
    <n v="0.35325738264925693"/>
  </r>
  <r>
    <x v="45"/>
    <n v="49.8"/>
    <n v="25"/>
    <n v="0"/>
    <n v="6.4566115702479332E-2"/>
  </r>
  <r>
    <x v="46"/>
    <n v="19.5"/>
    <n v="1426"/>
    <n v="-1.52E-2"/>
    <n v="0.40891074009820011"/>
  </r>
  <r>
    <x v="47"/>
    <n v="37.549999999999997"/>
    <n v="82.9"/>
    <n v="-1.3100000000000001E-2"/>
    <n v="0.2926602265798004"/>
  </r>
  <r>
    <x v="48"/>
    <n v="51.3"/>
    <n v="891.9"/>
    <n v="-5.7999999999999996E-3"/>
    <n v="0.33812908729030422"/>
  </r>
  <r>
    <x v="49"/>
    <n v="24.1"/>
    <n v="5080.8"/>
    <n v="-1.43E-2"/>
    <n v="0.41476746209342708"/>
  </r>
  <r>
    <x v="50"/>
    <n v="16"/>
    <n v="1903.2"/>
    <n v="0"/>
    <n v="0.2307354035213402"/>
  </r>
  <r>
    <x v="51"/>
    <n v="67.599999999999994"/>
    <n v="1031.4000000000001"/>
    <n v="-4.4000000000000003E-3"/>
    <n v="0.31107577149280946"/>
  </r>
  <r>
    <x v="52"/>
    <n v="75.400000000000006"/>
    <n v="1553"/>
    <n v="-7.9000000000000008E-3"/>
    <n v="0.40105787436744117"/>
  </r>
  <r>
    <x v="53"/>
    <n v="13"/>
    <n v="874.3"/>
    <n v="3.9000000000000003E-3"/>
    <n v="0.34502886212550088"/>
  </r>
  <r>
    <x v="54"/>
    <n v="11.65"/>
    <n v="767.7"/>
    <n v="-4.3E-3"/>
    <n v="0.53137978307167744"/>
  </r>
  <r>
    <x v="55"/>
    <n v="25.05"/>
    <n v="473.2"/>
    <n v="-1.18E-2"/>
    <n v="0.21981790232943124"/>
  </r>
  <r>
    <x v="56"/>
    <n v="21.3"/>
    <n v="173.8"/>
    <n v="0"/>
    <n v="0.41059673764805688"/>
  </r>
  <r>
    <x v="57"/>
    <n v="10.8"/>
    <n v="579.20000000000005"/>
    <n v="-4.5999999999999999E-3"/>
    <n v="0.12299661032484846"/>
  </r>
  <r>
    <x v="58"/>
    <n v="21.55"/>
    <n v="140.19999999999999"/>
    <n v="-9.1999999999999998E-3"/>
    <n v="0.43096871550531657"/>
  </r>
  <r>
    <x v="59"/>
    <n v="21"/>
    <n v="851.9"/>
    <n v="-1.18E-2"/>
    <n v="0.18673641209585015"/>
  </r>
  <r>
    <x v="60"/>
    <n v="13.6"/>
    <n v="2834.5"/>
    <n v="-1.4499999999999999E-2"/>
    <n v="0.47150865530168412"/>
  </r>
  <r>
    <x v="61"/>
    <n v="62"/>
    <n v="114"/>
    <n v="6.5000000000000006E-3"/>
    <n v="0.38537777163140186"/>
  </r>
  <r>
    <x v="62"/>
    <n v="36.799999999999997"/>
    <n v="2274.6"/>
    <n v="3.5200000000000002E-2"/>
    <n v="1.0839100402232751"/>
  </r>
  <r>
    <x v="63"/>
    <n v="45.35"/>
    <n v="2623.8"/>
    <n v="3.4200000000000001E-2"/>
    <n v="0.85962686300439617"/>
  </r>
  <r>
    <x v="64"/>
    <n v="13.85"/>
    <n v="3579.2"/>
    <n v="3.5999999999999999E-3"/>
    <n v="0.29443752890907748"/>
  </r>
  <r>
    <x v="65"/>
    <n v="9.11"/>
    <n v="138.80000000000001"/>
    <n v="-5.5000000000000005E-3"/>
    <n v="1.2986306030449946"/>
  </r>
  <r>
    <x v="66"/>
    <n v="36"/>
    <n v="9"/>
    <n v="-6.8999999999999999E-3"/>
    <n v="0.14997727617027723"/>
  </r>
  <r>
    <x v="67"/>
    <n v="19.899999999999999"/>
    <n v="6453"/>
    <n v="6.9599999999999995E-2"/>
    <n v="1.8659107480183914"/>
  </r>
  <r>
    <x v="68"/>
    <n v="19.399999999999999"/>
    <n v="1977.4"/>
    <n v="2.3700000000000002E-2"/>
    <n v="0.71601886217935529"/>
  </r>
  <r>
    <x v="69"/>
    <n v="46.1"/>
    <n v="170.9"/>
    <n v="-1.1000000000000001E-3"/>
    <n v="0.4269734376596977"/>
  </r>
  <r>
    <x v="70"/>
    <n v="46.35"/>
    <n v="212.1"/>
    <n v="4.3E-3"/>
    <n v="0.38187130195674057"/>
  </r>
  <r>
    <x v="71"/>
    <n v="21.15"/>
    <n v="313.10000000000002"/>
    <n v="-4.6999999999999993E-3"/>
    <n v="0.6012324558340898"/>
  </r>
  <r>
    <x v="72"/>
    <n v="48.1"/>
    <n v="75.8"/>
    <n v="-6.1999999999999998E-3"/>
    <n v="0.60236959976881954"/>
  </r>
  <r>
    <x v="73"/>
    <n v="12.55"/>
    <n v="18960.7"/>
    <n v="-4.0000000000000001E-3"/>
    <n v="0.41338369493821869"/>
  </r>
  <r>
    <x v="74"/>
    <n v="49.3"/>
    <n v="32.200000000000003"/>
    <n v="1E-3"/>
    <n v="0.25175023988059275"/>
  </r>
  <r>
    <x v="75"/>
    <n v="46.95"/>
    <n v="3"/>
    <n v="-1.78E-2"/>
    <n v="0.16811003565970456"/>
  </r>
  <r>
    <x v="76"/>
    <n v="15.5"/>
    <n v="897.8"/>
    <n v="-9.5999999999999992E-3"/>
    <n v="0.38561452214028979"/>
  </r>
  <r>
    <x v="77"/>
    <n v="25.25"/>
    <n v="9622.2999999999993"/>
    <n v="-1.5600000000000001E-2"/>
    <n v="0.62712493552946413"/>
  </r>
  <r>
    <x v="78"/>
    <n v="70.2"/>
    <n v="2253.5"/>
    <n v="2.4799999999999999E-2"/>
    <n v="0.54589518794773706"/>
  </r>
  <r>
    <x v="79"/>
    <n v="20.45"/>
    <n v="90.9"/>
    <n v="-4.8999999999999998E-3"/>
    <n v="0.25769290242770992"/>
  </r>
  <r>
    <x v="80"/>
    <n v="31.85"/>
    <n v="3721.3"/>
    <n v="-1.55E-2"/>
    <n v="0.28672985781990523"/>
  </r>
  <r>
    <x v="81"/>
    <n v="13.85"/>
    <n v="1114.2"/>
    <n v="3.5999999999999999E-3"/>
    <n v="0.3019095665540108"/>
  </r>
  <r>
    <x v="82"/>
    <n v="48.2"/>
    <n v="19.8"/>
    <n v="3.0999999999999999E-3"/>
    <n v="0.2408837713683426"/>
  </r>
  <r>
    <x v="83"/>
    <n v="15.45"/>
    <n v="3607.2"/>
    <n v="-6.4000000000000003E-3"/>
    <n v="0.30067539663354981"/>
  </r>
  <r>
    <x v="84"/>
    <n v="59.1"/>
    <n v="1745"/>
    <n v="3.4000000000000002E-3"/>
    <n v="0.45847017376246491"/>
  </r>
  <r>
    <x v="85"/>
    <n v="17.600000000000001"/>
    <n v="1025.5999999999999"/>
    <n v="5.0000000000000001E-4"/>
    <n v="0.2902223922720828"/>
  </r>
  <r>
    <x v="86"/>
    <n v="57.2"/>
    <n v="81.099999999999994"/>
    <n v="3.4999999999999996E-3"/>
    <n v="0.34485957825154145"/>
  </r>
  <r>
    <x v="87"/>
    <n v="138.80000000000001"/>
    <n v="1977.7"/>
    <n v="-2.9399999999999999E-2"/>
    <n v="0.40009832016160113"/>
  </r>
  <r>
    <x v="88"/>
    <n v="15.5"/>
    <n v="2710.2"/>
    <n v="0"/>
    <n v="0.29869489681208561"/>
  </r>
  <r>
    <x v="89"/>
    <n v="213"/>
    <n v="972"/>
    <n v="-3.8399999999999997E-2"/>
    <n v="0.2934706083366842"/>
  </r>
  <r>
    <x v="90"/>
    <n v="14.7"/>
    <n v="10990.9"/>
    <n v="3.4000000000000002E-3"/>
    <n v="0.34892108547159512"/>
  </r>
  <r>
    <x v="91"/>
    <n v="131.30000000000001"/>
    <n v="454.1"/>
    <n v="-2.3099999999999999E-2"/>
    <n v="0.48696236762894968"/>
  </r>
  <r>
    <x v="92"/>
    <n v="17.350000000000001"/>
    <n v="4000.3"/>
    <n v="-8.6E-3"/>
    <n v="0.23643718039717396"/>
  </r>
  <r>
    <x v="93"/>
    <n v="55.6"/>
    <n v="932.6"/>
    <n v="3.5999999999999999E-3"/>
    <n v="0.31573446450228648"/>
  </r>
  <r>
    <x v="94"/>
    <n v="25.95"/>
    <n v="5500.1"/>
    <n v="-1.7000000000000001E-2"/>
    <n v="0.41846453283607277"/>
  </r>
  <r>
    <x v="95"/>
    <n v="60.4"/>
    <n v="828.6"/>
    <n v="-1.15E-2"/>
    <n v="0.79042258895354378"/>
  </r>
  <r>
    <x v="96"/>
    <n v="25.5"/>
    <n v="1499.6"/>
    <n v="-1.54E-2"/>
    <n v="0.29391432043698934"/>
  </r>
  <r>
    <x v="97"/>
    <n v="15.75"/>
    <n v="2957.7"/>
    <n v="1.29E-2"/>
    <n v="0.69110865173623137"/>
  </r>
  <r>
    <x v="98"/>
    <n v="51.8"/>
    <n v="175.7"/>
    <n v="-9.8999999999999991E-3"/>
    <n v="0.7242695892776472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x v="0"/>
    <m/>
    <m/>
    <m/>
    <m/>
  </r>
  <r>
    <x v="1"/>
    <n v="16.8"/>
    <n v="1433.4"/>
    <n v="-1.18E-2"/>
    <n v="0.76858450209410445"/>
  </r>
  <r>
    <x v="2"/>
    <n v="22.6"/>
    <n v="6312.6"/>
    <n v="6.7000000000000002E-3"/>
    <n v="0.51973405007780449"/>
  </r>
  <r>
    <x v="3"/>
    <n v="11.4"/>
    <n v="4"/>
    <n v="2.7000000000000003E-2"/>
    <n v="0.10055292683289131"/>
  </r>
  <r>
    <x v="4"/>
    <n v="39.799999999999997"/>
    <n v="1772.6"/>
    <n v="-3.8E-3"/>
    <n v="0.44804437566277988"/>
  </r>
  <r>
    <x v="5"/>
    <n v="13.3"/>
    <n v="4349.8999999999996"/>
    <n v="-7.4999999999999997E-3"/>
    <n v="1.647541886745677"/>
  </r>
  <r>
    <x v="6"/>
    <n v="32.200000000000003"/>
    <n v="6575"/>
    <n v="-1.23E-2"/>
    <n v="0.91267299932803536"/>
  </r>
  <r>
    <x v="7"/>
    <n v="19.399999999999999"/>
    <n v="1560.3"/>
    <n v="2.5999999999999999E-3"/>
    <n v="0.37150402060628357"/>
  </r>
  <r>
    <x v="8"/>
    <n v="26.35"/>
    <n v="3618.7"/>
    <n v="-1.3100000000000001E-2"/>
    <n v="0.33628938373234524"/>
  </r>
  <r>
    <x v="9"/>
    <n v="12.5"/>
    <n v="443.8"/>
    <n v="1.21E-2"/>
    <n v="0.52344939188600903"/>
  </r>
  <r>
    <x v="10"/>
    <n v="51.3"/>
    <n v="891.9"/>
    <n v="-5.7999999999999996E-3"/>
    <n v="0.33812908729030422"/>
  </r>
  <r>
    <x v="11"/>
    <n v="24.1"/>
    <n v="5080.8"/>
    <n v="-1.43E-2"/>
    <n v="0.41476746209342708"/>
  </r>
  <r>
    <x v="12"/>
    <n v="16"/>
    <n v="1903.2"/>
    <n v="0"/>
    <n v="0.2307354035213402"/>
  </r>
  <r>
    <x v="13"/>
    <n v="13"/>
    <n v="874.3"/>
    <n v="3.9000000000000003E-3"/>
    <n v="0.34502886212550088"/>
  </r>
  <r>
    <x v="14"/>
    <n v="13.3"/>
    <n v="110.9"/>
    <n v="1.5300000000000001E-2"/>
    <n v="0.14216374643833141"/>
  </r>
  <r>
    <x v="15"/>
    <n v="10.8"/>
    <n v="579.20000000000005"/>
    <n v="-4.5999999999999999E-3"/>
    <n v="0.12299661032484846"/>
  </r>
  <r>
    <x v="16"/>
    <n v="10.199999999999999"/>
    <n v="19.3"/>
    <n v="-2.86E-2"/>
    <n v="0.58244170096021941"/>
  </r>
  <r>
    <x v="17"/>
    <n v="13.2"/>
    <n v="3.4"/>
    <n v="2.3300000000000001E-2"/>
    <n v="0.26431095406360422"/>
  </r>
  <r>
    <x v="18"/>
    <n v="12.55"/>
    <n v="18960.7"/>
    <n v="-4.0000000000000001E-3"/>
    <n v="0.41338369493821869"/>
  </r>
  <r>
    <x v="19"/>
    <n v="15.5"/>
    <n v="897.8"/>
    <n v="-9.5999999999999992E-3"/>
    <n v="0.38561452214028979"/>
  </r>
  <r>
    <x v="20"/>
    <n v="70.2"/>
    <n v="2253.5"/>
    <n v="2.4799999999999999E-2"/>
    <n v="0.54589518794773706"/>
  </r>
  <r>
    <x v="21"/>
    <n v="31.85"/>
    <n v="3721.3"/>
    <n v="-1.55E-2"/>
    <n v="0.28672985781990523"/>
  </r>
  <r>
    <x v="22"/>
    <n v="15.45"/>
    <n v="3607.2"/>
    <n v="-6.4000000000000003E-3"/>
    <n v="0.30067539663354981"/>
  </r>
  <r>
    <x v="23"/>
    <n v="10.6"/>
    <n v="751"/>
    <n v="0"/>
    <n v="0.70942145353680219"/>
  </r>
  <r>
    <x v="24"/>
    <n v="13.45"/>
    <n v="363.7"/>
    <n v="-1.8200000000000001E-2"/>
    <n v="3.8030751037701367"/>
  </r>
  <r>
    <x v="25"/>
    <n v="59.1"/>
    <n v="1745"/>
    <n v="3.4000000000000002E-3"/>
    <n v="0.45847017376246491"/>
  </r>
  <r>
    <x v="26"/>
    <n v="15.5"/>
    <n v="2710.2"/>
    <n v="0"/>
    <n v="0.29869489681208561"/>
  </r>
  <r>
    <x v="27"/>
    <n v="25.95"/>
    <n v="5500.1"/>
    <n v="-1.7000000000000001E-2"/>
    <n v="0.4184645328360727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m/>
    <m/>
    <m/>
    <m/>
  </r>
  <r>
    <x v="1"/>
    <n v="213"/>
    <n v="972"/>
    <n v="-3.8399999999999997E-2"/>
    <n v="0.2934706083366842"/>
  </r>
  <r>
    <x v="2"/>
    <n v="138.80000000000001"/>
    <n v="1977.7"/>
    <n v="-2.9399999999999999E-2"/>
    <n v="0.40009832016160113"/>
  </r>
  <r>
    <x v="3"/>
    <n v="25.5"/>
    <n v="1499.6"/>
    <n v="-1.54E-2"/>
    <n v="0.29391432043698934"/>
  </r>
  <r>
    <x v="4"/>
    <n v="81.599999999999994"/>
    <n v="356.4"/>
    <n v="-1.5700000000000002E-2"/>
    <n v="0.4335766423357664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x v="0"/>
    <m/>
    <m/>
    <m/>
    <m/>
  </r>
  <r>
    <x v="1"/>
    <n v="8.3000000000000007"/>
    <n v="487"/>
    <n v="-1.1899999999999999E-2"/>
    <n v="0.31332982394572145"/>
  </r>
  <r>
    <x v="2"/>
    <n v="13.6"/>
    <n v="309.2"/>
    <n v="-2.1600000000000001E-2"/>
    <n v="0.73634188848356263"/>
  </r>
  <r>
    <x v="3"/>
    <n v="14.6"/>
    <n v="252"/>
    <n v="6.8999999999999999E-3"/>
    <n v="0.29695810769552156"/>
  </r>
  <r>
    <x v="4"/>
    <n v="4.95"/>
    <n v="99.6"/>
    <n v="0"/>
    <n v="0.13351450489589745"/>
  </r>
  <r>
    <x v="5"/>
    <n v="6.6"/>
    <n v="83.7"/>
    <n v="0"/>
    <n v="0.15260937668343541"/>
  </r>
  <r>
    <x v="6"/>
    <n v="32.9"/>
    <n v="143.69999999999999"/>
    <n v="6.0999999999999995E-3"/>
    <n v="0.16130250214294461"/>
  </r>
  <r>
    <x v="7"/>
    <n v="32.5"/>
    <n v="514.6"/>
    <n v="-4.41E-2"/>
    <n v="0.50595506772911925"/>
  </r>
  <r>
    <x v="8"/>
    <n v="26.5"/>
    <n v="994.3"/>
    <n v="-1.49E-2"/>
    <n v="0.36741001019528935"/>
  </r>
  <r>
    <x v="9"/>
    <n v="22.4"/>
    <n v="398.4"/>
    <n v="0"/>
    <n v="0.64449902201567721"/>
  </r>
  <r>
    <x v="10"/>
    <n v="5.3"/>
    <n v="31.1"/>
    <n v="0"/>
    <n v="0.11473897804833057"/>
  </r>
  <r>
    <x v="11"/>
    <n v="25.4"/>
    <n v="584"/>
    <n v="-1.3600000000000001E-2"/>
    <n v="0.27391944874990143"/>
  </r>
  <r>
    <x v="12"/>
    <n v="27.2"/>
    <n v="969.6"/>
    <n v="-1.4499999999999999E-2"/>
    <n v="0.22438707274970729"/>
  </r>
  <r>
    <x v="13"/>
    <n v="20.8"/>
    <n v="4305.8999999999996"/>
    <n v="0"/>
    <n v="0.52189219237054041"/>
  </r>
  <r>
    <x v="14"/>
    <n v="13.5"/>
    <n v="698.5"/>
    <n v="-7.4000000000000003E-3"/>
    <n v="0.10593525589013672"/>
  </r>
  <r>
    <x v="15"/>
    <n v="4.7"/>
    <n v="312.8"/>
    <n v="0"/>
    <n v="0.35940127641350783"/>
  </r>
  <r>
    <x v="16"/>
    <n v="17.3"/>
    <n v="5567.3"/>
    <n v="-1.1399999999999999E-2"/>
    <n v="0.38929952809423746"/>
  </r>
  <r>
    <x v="17"/>
    <n v="25.25"/>
    <n v="9622.2999999999993"/>
    <n v="-1.5600000000000001E-2"/>
    <n v="0.62712493552946413"/>
  </r>
  <r>
    <x v="18"/>
    <n v="23.3"/>
    <n v="3966.1"/>
    <n v="-1.6899999999999998E-2"/>
    <n v="0.56243537944673205"/>
  </r>
  <r>
    <x v="19"/>
    <n v="14.4"/>
    <n v="601.20000000000005"/>
    <n v="-1.03E-2"/>
    <n v="0.33214468674977149"/>
  </r>
  <r>
    <x v="20"/>
    <n v="10.3"/>
    <n v="187.2"/>
    <n v="0"/>
    <n v="0.20202694084982389"/>
  </r>
  <r>
    <x v="21"/>
    <n v="14.7"/>
    <n v="10990.9"/>
    <n v="3.4000000000000002E-3"/>
    <n v="0.34892108547159512"/>
  </r>
  <r>
    <x v="22"/>
    <n v="17.350000000000001"/>
    <n v="4000.3"/>
    <n v="-8.6E-3"/>
    <n v="0.23643718039717396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m/>
    <m/>
    <m/>
    <m/>
  </r>
  <r>
    <x v="1"/>
    <n v="19.899999999999999"/>
    <n v="6453"/>
    <n v="6.9599999999999995E-2"/>
    <n v="1.8659107480183914"/>
  </r>
  <r>
    <x v="2"/>
    <n v="39"/>
    <n v="4350.3"/>
    <n v="5.4100000000000002E-2"/>
    <n v="1.7651009929622143"/>
  </r>
  <r>
    <x v="3"/>
    <n v="13.6"/>
    <n v="643.20000000000005"/>
    <n v="5.4299999999999994E-2"/>
    <n v="1.3821179504209724"/>
  </r>
  <r>
    <x v="4"/>
    <n v="23.9"/>
    <n v="77.400000000000006"/>
    <n v="3.0200000000000001E-2"/>
    <n v="1.379232139964361"/>
  </r>
  <r>
    <x v="5"/>
    <n v="27.1"/>
    <n v="12103.5"/>
    <n v="5.2400000000000002E-2"/>
    <n v="1.2512005608569232"/>
  </r>
  <r>
    <x v="6"/>
    <n v="36.799999999999997"/>
    <n v="2274.6"/>
    <n v="3.5200000000000002E-2"/>
    <n v="1.0839100402232751"/>
  </r>
  <r>
    <x v="7"/>
    <n v="14.8"/>
    <n v="3036.4"/>
    <n v="4.2300000000000004E-2"/>
    <n v="1.8205325266399586"/>
  </r>
  <r>
    <x v="8"/>
    <n v="20.7"/>
    <n v="65.2"/>
    <n v="2.4799999999999999E-2"/>
    <n v="0.64910851660783786"/>
  </r>
  <r>
    <x v="9"/>
    <n v="21.45"/>
    <n v="2.5"/>
    <n v="9.3999999999999986E-3"/>
    <n v="0.33192516596258298"/>
  </r>
  <r>
    <x v="10"/>
    <n v="78"/>
    <n v="1203"/>
    <n v="3.4500000000000003E-2"/>
    <n v="1.1216593064749909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m/>
    <m/>
    <m/>
    <m/>
  </r>
  <r>
    <x v="1"/>
    <n v="72.099999999999994"/>
    <n v="58.9"/>
    <n v="-2.3E-2"/>
    <n v="0.2131952352065985"/>
  </r>
  <r>
    <x v="2"/>
    <n v="26.05"/>
    <n v="82.8"/>
    <n v="-1.5100000000000001E-2"/>
    <n v="0.47292175086972327"/>
  </r>
  <r>
    <x v="3"/>
    <n v="16.399999999999999"/>
    <n v="62.2"/>
    <n v="-1.4999999999999999E-2"/>
    <n v="0.18334561532792926"/>
  </r>
  <r>
    <x v="4"/>
    <n v="70.3"/>
    <n v="3410.7"/>
    <n v="-2.8000000000000004E-3"/>
    <n v="0.45675143626210279"/>
  </r>
  <r>
    <x v="5"/>
    <n v="17.399999999999999"/>
    <n v="2.1"/>
    <n v="0"/>
    <n v="0.44423076923076926"/>
  </r>
  <r>
    <x v="6"/>
    <n v="15.15"/>
    <n v="7.3"/>
    <n v="-3.3E-3"/>
    <n v="0.24549067563436258"/>
  </r>
  <r>
    <x v="7"/>
    <n v="3.7"/>
    <n v="37.5"/>
    <n v="0"/>
    <n v="0.74217344368477867"/>
  </r>
  <r>
    <x v="8"/>
    <n v="68"/>
    <n v="14.6"/>
    <n v="-1.5E-3"/>
    <n v="0.14132969595635148"/>
  </r>
  <r>
    <x v="9"/>
    <n v="49.6"/>
    <n v="0.3"/>
    <n v="-6.0000000000000001E-3"/>
    <n v="4.2771876842917042E-2"/>
  </r>
  <r>
    <x v="10"/>
    <n v="7.5"/>
    <n v="132"/>
    <n v="-2.6000000000000002E-2"/>
    <n v="0.78181346802924045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m/>
    <m/>
    <m/>
  </r>
  <r>
    <x v="1"/>
    <n v="18.8"/>
    <n v="5.7"/>
    <n v="-1.5700000000000002E-2"/>
  </r>
  <r>
    <x v="2"/>
    <n v="2.5299999999999998"/>
    <n v="0"/>
    <n v="0"/>
  </r>
  <r>
    <x v="3"/>
    <n v="22.3"/>
    <n v="22"/>
    <n v="-1.55E-2"/>
  </r>
  <r>
    <x v="4"/>
    <n v="8"/>
    <n v="1.6"/>
    <n v="0"/>
  </r>
  <r>
    <x v="5"/>
    <n v="13.75"/>
    <n v="26"/>
    <n v="1.4800000000000001E-2"/>
  </r>
  <r>
    <x v="6"/>
    <n v="58.7"/>
    <n v="221.2"/>
    <n v="2.0899999999999998E-2"/>
  </r>
  <r>
    <x v="7"/>
    <n v="12.75"/>
    <n v="582.4"/>
    <n v="0"/>
  </r>
  <r>
    <x v="8"/>
    <n v="3.54"/>
    <n v="34.5"/>
    <n v="2.8000000000000004E-3"/>
  </r>
  <r>
    <x v="9"/>
    <n v="17.45"/>
    <n v="37.9"/>
    <n v="-1.6899999999999998E-2"/>
  </r>
  <r>
    <x v="10"/>
    <n v="2.65"/>
    <n v="37.9"/>
    <n v="3.8E-3"/>
  </r>
  <r>
    <x v="11"/>
    <n v="8.6"/>
    <n v="6.6"/>
    <n v="-1.15E-2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m/>
    <m/>
    <m/>
    <m/>
  </r>
  <r>
    <x v="1"/>
    <n v="75.400000000000006"/>
    <n v="1553"/>
    <n v="-7.9000000000000008E-3"/>
    <n v="0.40105787436744117"/>
  </r>
  <r>
    <x v="2"/>
    <n v="112.4"/>
    <n v="47.8"/>
    <n v="-7.9000000000000008E-3"/>
    <n v="0.15114207412458039"/>
  </r>
  <r>
    <x v="3"/>
    <n v="38.4"/>
    <n v="192.9"/>
    <n v="-3.9000000000000003E-3"/>
    <n v="0.27637003028230928"/>
  </r>
  <r>
    <x v="4"/>
    <n v="36.049999999999997"/>
    <n v="132.1"/>
    <n v="-2.0400000000000001E-2"/>
    <n v="0.16201399077944051"/>
  </r>
  <r>
    <x v="5"/>
    <n v="16.899999999999999"/>
    <n v="222.1"/>
    <n v="-2.8999999999999998E-3"/>
    <n v="0.77158242140003475"/>
  </r>
  <r>
    <x v="6"/>
    <n v="9.2200000000000006"/>
    <n v="59.8"/>
    <n v="-3.2000000000000002E-3"/>
    <n v="0.59906197349847456"/>
  </r>
  <r>
    <x v="7"/>
    <n v="45.35"/>
    <n v="2623.8"/>
    <n v="3.4200000000000001E-2"/>
    <n v="0.85962686300439617"/>
  </r>
  <r>
    <x v="8"/>
    <n v="10.55"/>
    <n v="185.7"/>
    <n v="-4.6999999999999993E-3"/>
    <n v="0.18938965482073486"/>
  </r>
  <r>
    <x v="9"/>
    <n v="2.85"/>
    <n v="4.0999999999999996"/>
    <n v="0"/>
    <n v="4.1102756892230578E-2"/>
  </r>
  <r>
    <x v="10"/>
    <n v="34.6"/>
    <n v="92.9"/>
    <n v="-2.8999999999999998E-3"/>
    <n v="0.4844275894761792"/>
  </r>
  <r>
    <x v="11"/>
    <n v="14.8"/>
    <n v="539.9"/>
    <n v="-1.9900000000000001E-2"/>
    <n v="0.52016904245768458"/>
  </r>
  <r>
    <x v="12"/>
    <n v="14.35"/>
    <n v="51.8"/>
    <n v="-3.4999999999999996E-3"/>
    <n v="0.13898069441564936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m/>
    <m/>
    <m/>
    <m/>
  </r>
  <r>
    <x v="1"/>
    <n v="2.66"/>
    <n v="10"/>
    <n v="-1.4800000000000001E-2"/>
    <n v="0.42943587741557682"/>
  </r>
  <r>
    <x v="2"/>
    <n v="7.5"/>
    <n v="132"/>
    <n v="-2.6000000000000002E-2"/>
    <n v="0.78181346802924045"/>
  </r>
  <r>
    <x v="3"/>
    <n v="8.86"/>
    <n v="0.5"/>
    <n v="-2.3E-3"/>
    <n v="3.3783783783783786E-2"/>
  </r>
  <r>
    <x v="4"/>
    <n v="9.2200000000000006"/>
    <n v="134.4"/>
    <n v="-6.9599999999999995E-2"/>
    <n v="1.1040250914793519"/>
  </r>
  <r>
    <x v="5"/>
    <n v="42"/>
    <n v="1.9"/>
    <n v="0"/>
    <n v="0.42436548223350257"/>
  </r>
  <r>
    <x v="6"/>
    <n v="2.48"/>
    <n v="1"/>
    <n v="4.0000000000000001E-3"/>
    <n v="8.994276369582993E-2"/>
  </r>
  <r>
    <x v="7"/>
    <n v="31.75"/>
    <n v="46.5"/>
    <n v="0"/>
    <n v="0.47619047619047616"/>
  </r>
  <r>
    <x v="8"/>
    <n v="8.99"/>
    <n v="1.5"/>
    <n v="-1.1000000000000001E-3"/>
    <n v="5.2330947253576746E-2"/>
  </r>
  <r>
    <x v="9"/>
    <n v="4.21"/>
    <n v="2.6"/>
    <n v="0"/>
    <n v="0.16661811826390913"/>
  </r>
  <r>
    <x v="10"/>
    <n v="19.899999999999999"/>
    <n v="519.9"/>
    <n v="-7.4999999999999997E-3"/>
    <n v="0.59099387707649786"/>
  </r>
  <r>
    <x v="11"/>
    <n v="11.75"/>
    <n v="214.5"/>
    <n v="0"/>
    <n v="0.9319988442345335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m/>
    <m/>
    <m/>
    <m/>
  </r>
  <r>
    <x v="1"/>
    <n v="22.2"/>
    <n v="12172.4"/>
    <n v="-8.8999999999999999E-3"/>
    <n v="0.70020562229506278"/>
  </r>
  <r>
    <x v="2"/>
    <n v="11.35"/>
    <n v="1013.3"/>
    <n v="8.8999999999999999E-3"/>
    <n v="0.39274986213955881"/>
  </r>
  <r>
    <x v="3"/>
    <n v="11.65"/>
    <n v="767.7"/>
    <n v="-4.3E-3"/>
    <n v="0.53137978307167744"/>
  </r>
  <r>
    <x v="4"/>
    <n v="20.5"/>
    <n v="38.700000000000003"/>
    <n v="0"/>
    <n v="0.2618967055277"/>
  </r>
  <r>
    <x v="5"/>
    <n v="14.1"/>
    <n v="100.3"/>
    <n v="0"/>
    <n v="0.65204928932360162"/>
  </r>
  <r>
    <x v="6"/>
    <n v="10.050000000000001"/>
    <n v="93.1"/>
    <n v="0"/>
    <n v="0.35014958543465252"/>
  </r>
  <r>
    <x v="7"/>
    <n v="4.28"/>
    <n v="221"/>
    <n v="-4.6999999999999993E-3"/>
    <n v="1.6114278138671614"/>
  </r>
  <r>
    <x v="8"/>
    <n v="5.78"/>
    <n v="1859.4"/>
    <n v="-2.3599999999999999E-2"/>
    <n v="3.9691832992111471"/>
  </r>
  <r>
    <x v="9"/>
    <n v="6.08"/>
    <n v="0.8"/>
    <n v="-5.5899999999999998E-2"/>
    <n v="0.43031784841075799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x v="0"/>
    <m/>
    <m/>
    <m/>
    <m/>
  </r>
  <r>
    <x v="1"/>
    <n v="21"/>
    <n v="851.9"/>
    <n v="-1.18E-2"/>
    <n v="0.18673641209585015"/>
  </r>
  <r>
    <x v="2"/>
    <n v="81.2"/>
    <n v="652.79999999999995"/>
    <n v="0.01"/>
    <n v="0.48025682182985552"/>
  </r>
  <r>
    <x v="3"/>
    <n v="13"/>
    <n v="88.5"/>
    <n v="0"/>
    <n v="0.25240805320403953"/>
  </r>
  <r>
    <x v="4"/>
    <n v="26.25"/>
    <n v="4033"/>
    <n v="9.5999999999999992E-3"/>
    <n v="0.34005215415677215"/>
  </r>
  <r>
    <x v="5"/>
    <n v="21.3"/>
    <n v="173.8"/>
    <n v="0"/>
    <n v="0.41059673764805688"/>
  </r>
  <r>
    <x v="6"/>
    <n v="17.649999999999999"/>
    <n v="33.700000000000003"/>
    <n v="-8.3999999999999995E-3"/>
    <n v="0.21796266353079524"/>
  </r>
  <r>
    <x v="7"/>
    <n v="13.85"/>
    <n v="3579.2"/>
    <n v="3.5999999999999999E-3"/>
    <n v="0.29443752890907748"/>
  </r>
  <r>
    <x v="8"/>
    <n v="9.11"/>
    <n v="138.80000000000001"/>
    <n v="-5.5000000000000005E-3"/>
    <n v="1.2986306030449946"/>
  </r>
  <r>
    <x v="9"/>
    <n v="46.1"/>
    <n v="170.9"/>
    <n v="-1.1000000000000001E-3"/>
    <n v="0.4269734376596977"/>
  </r>
  <r>
    <x v="10"/>
    <n v="14"/>
    <n v="11.6"/>
    <n v="0"/>
    <n v="0.21956465628495225"/>
  </r>
  <r>
    <x v="11"/>
    <n v="11.4"/>
    <n v="34.5"/>
    <n v="-8.6999999999999994E-3"/>
    <n v="6.3346603570444929E-2"/>
  </r>
  <r>
    <x v="12"/>
    <n v="42.5"/>
    <n v="12.1"/>
    <n v="0"/>
    <n v="2.9743016759776539"/>
  </r>
  <r>
    <x v="13"/>
    <n v="14.4"/>
    <n v="302.8"/>
    <n v="-3.4999999999999996E-3"/>
    <n v="0.37616393646276253"/>
  </r>
  <r>
    <x v="14"/>
    <n v="2.7"/>
    <n v="529.1"/>
    <n v="-0.1"/>
    <n v="0.4644487359550562"/>
  </r>
  <r>
    <x v="15"/>
    <n v="26.55"/>
    <n v="35.299999999999997"/>
    <n v="-1.9E-3"/>
    <n v="0.21007925988043391"/>
  </r>
  <r>
    <x v="16"/>
    <n v="5.9"/>
    <n v="6"/>
    <n v="0"/>
    <n v="7.5592715611041111E-2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m/>
    <m/>
    <m/>
    <m/>
  </r>
  <r>
    <x v="1"/>
    <n v="46.4"/>
    <n v="105.6"/>
    <n v="8.6999999999999994E-3"/>
    <n v="0.36270530194217199"/>
  </r>
  <r>
    <x v="2"/>
    <n v="38"/>
    <n v="638.6"/>
    <n v="1.06E-2"/>
    <n v="0.58976231854855643"/>
  </r>
  <r>
    <x v="3"/>
    <n v="28.05"/>
    <n v="555.6"/>
    <n v="-7.0999999999999995E-3"/>
    <n v="0.35325738264925693"/>
  </r>
  <r>
    <x v="4"/>
    <n v="28.6"/>
    <n v="32.1"/>
    <n v="-6.8999999999999999E-3"/>
    <n v="0.62801244997776795"/>
  </r>
  <r>
    <x v="5"/>
    <n v="25.05"/>
    <n v="473.2"/>
    <n v="-1.18E-2"/>
    <n v="0.21981790232943124"/>
  </r>
  <r>
    <x v="6"/>
    <n v="62"/>
    <n v="114"/>
    <n v="6.5000000000000006E-3"/>
    <n v="0.38537777163140186"/>
  </r>
  <r>
    <x v="7"/>
    <n v="49.3"/>
    <n v="32.200000000000003"/>
    <n v="1E-3"/>
    <n v="0.25175023988059275"/>
  </r>
  <r>
    <x v="8"/>
    <n v="20.45"/>
    <n v="90.9"/>
    <n v="-4.8999999999999998E-3"/>
    <n v="0.25769290242770992"/>
  </r>
  <r>
    <x v="9"/>
    <n v="46.9"/>
    <n v="1.8"/>
    <n v="-1.47E-2"/>
    <n v="7.3674418604651168E-2"/>
  </r>
  <r>
    <x v="10"/>
    <n v="17.600000000000001"/>
    <n v="45.9"/>
    <n v="-2.8000000000000004E-3"/>
    <n v="1.097728013914556"/>
  </r>
  <r>
    <x v="11"/>
    <n v="41.5"/>
    <n v="142.30000000000001"/>
    <n v="-7.1999999999999998E-3"/>
    <n v="0.42508758113135808"/>
  </r>
  <r>
    <x v="12"/>
    <n v="14.5"/>
    <n v="1.7"/>
    <n v="2.8399999999999998E-2"/>
    <n v="0.51303155006858714"/>
  </r>
  <r>
    <x v="13"/>
    <n v="26"/>
    <n v="8.5"/>
    <n v="-5.45E-2"/>
    <n v="4.869791666666667"/>
  </r>
  <r>
    <x v="14"/>
    <n v="129.1"/>
    <n v="3"/>
    <n v="-8.0000000000000004E-4"/>
    <n v="0.28472821397756687"/>
  </r>
  <r>
    <x v="15"/>
    <n v="29.4"/>
    <n v="16.100000000000001"/>
    <n v="1.55E-2"/>
    <n v="0.41912199739675782"/>
  </r>
  <r>
    <x v="16"/>
    <n v="11.95"/>
    <n v="82.3"/>
    <n v="-6.6400000000000001E-2"/>
    <n v="4.4861248761149657"/>
  </r>
  <r>
    <x v="17"/>
    <n v="4.08"/>
    <n v="6.2"/>
    <n v="-9.7000000000000003E-3"/>
    <n v="9.3377712848472072E-2"/>
  </r>
  <r>
    <x v="18"/>
    <n v="21.8"/>
    <n v="1.2"/>
    <n v="0"/>
    <n v="0.25071225071225073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x v="0"/>
    <m/>
    <m/>
    <m/>
    <m/>
  </r>
  <r>
    <x v="1"/>
    <n v="56.3"/>
    <n v="237.9"/>
    <n v="1.44E-2"/>
    <n v="1.2849356771089069"/>
  </r>
  <r>
    <x v="2"/>
    <n v="22.65"/>
    <n v="76.3"/>
    <n v="-4.4000000000000003E-3"/>
    <n v="0.40847812332700639"/>
  </r>
  <r>
    <x v="3"/>
    <n v="33.450000000000003"/>
    <n v="1600.3"/>
    <n v="2.76E-2"/>
    <n v="0.6256539368122328"/>
  </r>
  <r>
    <x v="4"/>
    <n v="45.2"/>
    <n v="189.1"/>
    <n v="-2.2000000000000001E-3"/>
    <n v="0.27152693926834837"/>
  </r>
  <r>
    <x v="5"/>
    <n v="24.15"/>
    <n v="3680"/>
    <n v="3.2099999999999997E-2"/>
    <n v="1.0700176970565261"/>
  </r>
  <r>
    <x v="6"/>
    <n v="24"/>
    <n v="2.2999999999999998"/>
    <n v="1.2699999999999999E-2"/>
    <n v="0.16728489344679612"/>
  </r>
  <r>
    <x v="7"/>
    <n v="13.7"/>
    <n v="69.8"/>
    <n v="7.4000000000000003E-3"/>
    <n v="0.43814197671764438"/>
  </r>
  <r>
    <x v="8"/>
    <n v="5.3"/>
    <n v="52.1"/>
    <n v="-3.6400000000000002E-2"/>
    <n v="0.42264307898912273"/>
  </r>
  <r>
    <x v="9"/>
    <n v="65"/>
    <n v="0.1"/>
    <n v="0"/>
    <n v="2.3352333641159548E-2"/>
  </r>
  <r>
    <x v="10"/>
    <n v="19.5"/>
    <n v="0.5"/>
    <n v="-5.1000000000000004E-3"/>
    <n v="0.94017094017094005"/>
  </r>
  <r>
    <x v="11"/>
    <n v="10.7"/>
    <n v="0.5"/>
    <n v="0"/>
    <n v="0.26894865525672373"/>
  </r>
  <r>
    <x v="12"/>
    <n v="7.23"/>
    <n v="409.4"/>
    <n v="0"/>
    <n v="0.40986389140436225"/>
  </r>
  <r>
    <x v="13"/>
    <n v="5.5"/>
    <n v="50.5"/>
    <n v="-1.0800000000000001E-2"/>
    <n v="0.50230581426892129"/>
  </r>
  <r>
    <x v="14"/>
    <n v="150.80000000000001"/>
    <n v="109.6"/>
    <n v="1.4800000000000001E-2"/>
    <n v="0.69740267252848964"/>
  </r>
  <r>
    <x v="15"/>
    <n v="12.1"/>
    <n v="1.1000000000000001"/>
    <n v="-2.4199999999999999E-2"/>
    <n v="0.78827361563517917"/>
  </r>
  <r>
    <x v="16"/>
    <n v="5.58"/>
    <n v="158.69999999999999"/>
    <n v="-5.3E-3"/>
    <n v="1.2440406199893104"/>
  </r>
  <r>
    <x v="17"/>
    <n v="9.9"/>
    <n v="15.9"/>
    <n v="-0.01"/>
    <n v="0.43626839610875534"/>
  </r>
  <r>
    <x v="18"/>
    <n v="48.5"/>
    <n v="23.7"/>
    <n v="0"/>
    <n v="0.2689708537529017"/>
  </r>
  <r>
    <x v="19"/>
    <n v="1.6"/>
    <n v="13.3"/>
    <n v="0.1429"/>
    <n v="9.3273828498565511E-2"/>
  </r>
  <r>
    <x v="20"/>
    <n v="17"/>
    <n v="10.8"/>
    <n v="-1.1599999999999999E-2"/>
    <n v="0.65919614692083817"/>
  </r>
  <r>
    <x v="21"/>
    <n v="20.2"/>
    <n v="422.5"/>
    <n v="0"/>
    <n v="0.45206065734823503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m/>
    <m/>
    <m/>
    <m/>
  </r>
  <r>
    <x v="1"/>
    <n v="50.9"/>
    <n v="10.8"/>
    <n v="-5.8999999999999999E-3"/>
    <n v="0.32954230235783633"/>
  </r>
  <r>
    <x v="2"/>
    <n v="12.6"/>
    <n v="70"/>
    <n v="-7.9000000000000008E-3"/>
    <n v="3.1345410136372891"/>
  </r>
  <r>
    <x v="3"/>
    <n v="37.85"/>
    <n v="293.89999999999998"/>
    <n v="1.2999999999999999E-3"/>
    <n v="0.51647895199297067"/>
  </r>
  <r>
    <x v="4"/>
    <n v="92.5"/>
    <n v="2.5"/>
    <n v="0"/>
    <n v="0.3686327077747989"/>
  </r>
  <r>
    <x v="5"/>
    <n v="39.1"/>
    <n v="2.5"/>
    <n v="-1.26E-2"/>
    <n v="0.24941387738813789"/>
  </r>
  <r>
    <x v="6"/>
    <n v="3.25"/>
    <n v="21.4"/>
    <n v="0"/>
    <n v="0.22435072670955444"/>
  </r>
  <r>
    <x v="7"/>
    <n v="20"/>
    <n v="6.1"/>
    <n v="3.0899999999999997E-2"/>
    <n v="7.9323797139141741"/>
  </r>
  <r>
    <x v="8"/>
    <n v="8.19"/>
    <n v="24.4"/>
    <n v="3.7000000000000002E-3"/>
    <n v="0.14523023645906608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x v="0"/>
    <m/>
    <m/>
    <m/>
    <m/>
  </r>
  <r>
    <x v="1"/>
    <n v="11.4"/>
    <n v="43.4"/>
    <n v="-8.6999999999999994E-3"/>
    <n v="0.17700493122242408"/>
  </r>
  <r>
    <x v="2"/>
    <n v="46.4"/>
    <n v="105.6"/>
    <n v="8.6999999999999994E-3"/>
    <n v="0.36270530194217199"/>
  </r>
  <r>
    <x v="3"/>
    <n v="4.08"/>
    <n v="6.2"/>
    <n v="-9.7000000000000003E-3"/>
    <n v="9.3377712848472072E-2"/>
  </r>
  <r>
    <x v="4"/>
    <n v="6.5"/>
    <n v="1.8"/>
    <n v="-1.9599999999999999E-2"/>
    <n v="4.5418052528959738E-2"/>
  </r>
  <r>
    <x v="5"/>
    <n v="6.86"/>
    <n v="57.3"/>
    <n v="2.0799999999999999E-2"/>
    <n v="0.39691435768261968"/>
  </r>
  <r>
    <x v="6"/>
    <n v="29.4"/>
    <n v="16.100000000000001"/>
    <n v="1.55E-2"/>
    <n v="0.41912199739675782"/>
  </r>
  <r>
    <x v="7"/>
    <n v="12.45"/>
    <n v="2186.9"/>
    <n v="-1.5800000000000002E-2"/>
    <n v="0.48547073057029327"/>
  </r>
  <r>
    <x v="8"/>
    <n v="12.05"/>
    <n v="1439.1"/>
    <n v="-4.0999999999999995E-3"/>
    <n v="0.17453137024451879"/>
  </r>
  <r>
    <x v="9"/>
    <n v="4.87"/>
    <n v="40"/>
    <n v="-1.6200000000000003E-2"/>
    <n v="0.30757400999615531"/>
  </r>
  <r>
    <x v="10"/>
    <n v="3.16"/>
    <n v="7.3"/>
    <n v="-9.3999999999999986E-3"/>
    <n v="0.16196046793061719"/>
  </r>
  <r>
    <x v="11"/>
    <n v="14.15"/>
    <n v="457.9"/>
    <n v="-1.3899999999999999E-2"/>
    <n v="0.36612619276407027"/>
  </r>
  <r>
    <x v="12"/>
    <n v="19"/>
    <n v="532.70000000000005"/>
    <n v="5.3E-3"/>
    <n v="0.27853329974284258"/>
  </r>
  <r>
    <x v="13"/>
    <n v="4.2699999999999996"/>
    <n v="424.1"/>
    <n v="-6.9999999999999993E-3"/>
    <n v="0.78090056913290928"/>
  </r>
  <r>
    <x v="14"/>
    <n v="2.4500000000000002"/>
    <n v="413"/>
    <n v="0"/>
    <n v="0.18446258978492222"/>
  </r>
  <r>
    <x v="15"/>
    <n v="6.89"/>
    <n v="49.9"/>
    <n v="5.7999999999999996E-3"/>
    <n v="0.55218550374729636"/>
  </r>
  <r>
    <x v="16"/>
    <n v="8.1"/>
    <n v="743.8"/>
    <n v="-6.0999999999999995E-3"/>
    <n v="0.82582961846435443"/>
  </r>
  <r>
    <x v="17"/>
    <n v="11.35"/>
    <n v="3.6"/>
    <n v="-4.4000000000000003E-3"/>
    <n v="4.9428945890282724E-2"/>
  </r>
  <r>
    <x v="18"/>
    <n v="19.5"/>
    <n v="1426"/>
    <n v="-1.52E-2"/>
    <n v="0.40891074009820011"/>
  </r>
  <r>
    <x v="19"/>
    <n v="4.97"/>
    <n v="1644.7"/>
    <n v="-2E-3"/>
    <n v="0.47514894611676428"/>
  </r>
  <r>
    <x v="20"/>
    <n v="37.549999999999997"/>
    <n v="82.9"/>
    <n v="-1.3100000000000001E-2"/>
    <n v="0.2926602265798004"/>
  </r>
  <r>
    <x v="21"/>
    <n v="5.16"/>
    <n v="2.4"/>
    <n v="-5.7999999999999996E-3"/>
    <n v="3.1841756121095161E-2"/>
  </r>
  <r>
    <x v="22"/>
    <n v="28.6"/>
    <n v="32.1"/>
    <n v="-6.8999999999999999E-3"/>
    <n v="0.62801244997776795"/>
  </r>
  <r>
    <x v="23"/>
    <n v="17.25"/>
    <n v="66.599999999999994"/>
    <n v="0"/>
    <n v="2.3828264758497317"/>
  </r>
  <r>
    <x v="24"/>
    <n v="25.05"/>
    <n v="473.2"/>
    <n v="-1.18E-2"/>
    <n v="0.21981790232943124"/>
  </r>
  <r>
    <x v="25"/>
    <n v="14.75"/>
    <n v="134.5"/>
    <n v="-1.34E-2"/>
    <n v="0.83483805439566638"/>
  </r>
  <r>
    <x v="26"/>
    <n v="12.05"/>
    <n v="3382.1"/>
    <n v="-8.199999999999999E-3"/>
    <n v="0.29181350905526976"/>
  </r>
  <r>
    <x v="27"/>
    <n v="7.5"/>
    <n v="0.2"/>
    <n v="-5.9000000000000004E-2"/>
    <n v="0.27848101265822789"/>
  </r>
  <r>
    <x v="28"/>
    <n v="13.6"/>
    <n v="2834.5"/>
    <n v="-1.4499999999999999E-2"/>
    <n v="0.47150865530168412"/>
  </r>
  <r>
    <x v="29"/>
    <n v="1.99"/>
    <n v="7.1"/>
    <n v="-5.0000000000000001E-3"/>
    <n v="6.0721505209143219E-2"/>
  </r>
  <r>
    <x v="30"/>
    <n v="11.35"/>
    <n v="21.2"/>
    <n v="0"/>
    <n v="0.12205589867057469"/>
  </r>
  <r>
    <x v="31"/>
    <n v="5.15"/>
    <n v="309.89999999999998"/>
    <n v="0"/>
    <n v="0.23728530409814669"/>
  </r>
  <r>
    <x v="32"/>
    <n v="12.65"/>
    <n v="33.9"/>
    <n v="-2.3199999999999998E-2"/>
    <n v="0.31561574269995768"/>
  </r>
  <r>
    <x v="33"/>
    <n v="49.3"/>
    <n v="32.200000000000003"/>
    <n v="1E-3"/>
    <n v="0.25175023988059275"/>
  </r>
  <r>
    <x v="34"/>
    <n v="46.95"/>
    <n v="3"/>
    <n v="-1.78E-2"/>
    <n v="0.16811003565970456"/>
  </r>
  <r>
    <x v="35"/>
    <n v="20.45"/>
    <n v="90.9"/>
    <n v="-4.8999999999999998E-3"/>
    <n v="0.25769290242770992"/>
  </r>
  <r>
    <x v="36"/>
    <n v="13.85"/>
    <n v="1114.2"/>
    <n v="3.5999999999999999E-3"/>
    <n v="0.3019095665540108"/>
  </r>
  <r>
    <x v="37"/>
    <n v="3.59"/>
    <n v="3.5"/>
    <n v="2.5699999999999997E-2"/>
    <n v="8.142116950407105E-2"/>
  </r>
  <r>
    <x v="38"/>
    <n v="17.600000000000001"/>
    <n v="45.9"/>
    <n v="-2.8000000000000004E-3"/>
    <n v="1.097728013914556"/>
  </r>
  <r>
    <x v="39"/>
    <n v="8.4"/>
    <n v="35.9"/>
    <n v="-4.6999999999999993E-3"/>
    <n v="0.15096719932716568"/>
  </r>
  <r>
    <x v="40"/>
    <n v="3.3"/>
    <n v="35.9"/>
    <n v="-6.25E-2"/>
    <n v="2.6379425517702071"/>
  </r>
  <r>
    <x v="41"/>
    <n v="60.4"/>
    <n v="828.6"/>
    <n v="-1.15E-2"/>
    <n v="0.79042258895354378"/>
  </r>
  <r>
    <x v="42"/>
    <n v="13.9"/>
    <n v="1605"/>
    <n v="-7.0999999999999995E-3"/>
    <n v="0.34294871794871795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x v="0"/>
    <m/>
    <m/>
    <m/>
    <m/>
  </r>
  <r>
    <x v="1"/>
    <n v="3.45"/>
    <n v="1469.2"/>
    <n v="6.8099999999999994E-2"/>
    <n v="5.0078086266732775"/>
  </r>
  <r>
    <x v="2"/>
    <n v="18.7"/>
    <n v="133.80000000000001"/>
    <n v="-8.0000000000000002E-3"/>
    <n v="0.20995271142557576"/>
  </r>
  <r>
    <x v="3"/>
    <n v="6.18"/>
    <n v="301.89999999999998"/>
    <n v="6.5000000000000006E-3"/>
    <n v="0.85444861832964547"/>
  </r>
  <r>
    <x v="4"/>
    <n v="29.65"/>
    <n v="541.20000000000005"/>
    <n v="-5.0000000000000001E-3"/>
    <n v="0.38376336474837736"/>
  </r>
  <r>
    <x v="5"/>
    <n v="5.29"/>
    <n v="5.8"/>
    <n v="1.9E-3"/>
    <n v="0.14501647914535742"/>
  </r>
  <r>
    <x v="6"/>
    <n v="17"/>
    <n v="818.8"/>
    <n v="5.8999999999999999E-3"/>
    <n v="0.65064166236242993"/>
  </r>
  <r>
    <x v="7"/>
    <n v="34"/>
    <n v="6.4"/>
    <n v="-1.5900000000000001E-2"/>
    <n v="0.42874543239951279"/>
  </r>
  <r>
    <x v="8"/>
    <n v="14.4"/>
    <n v="702.7"/>
    <n v="-1.7100000000000001E-2"/>
    <n v="0.28037854386117639"/>
  </r>
  <r>
    <x v="9"/>
    <n v="9.6999999999999993"/>
    <n v="122.7"/>
    <n v="-4.9000000000000002E-2"/>
    <n v="0.14056885759813365"/>
  </r>
  <r>
    <x v="10"/>
    <n v="5.29"/>
    <n v="229.4"/>
    <n v="-7.4999999999999997E-3"/>
    <n v="1.1843056272586474"/>
  </r>
  <r>
    <x v="11"/>
    <n v="49.8"/>
    <n v="25"/>
    <n v="0"/>
    <n v="6.4566115702479332E-2"/>
  </r>
  <r>
    <x v="12"/>
    <n v="8.2200000000000006"/>
    <n v="13.7"/>
    <n v="-3.5999999999999999E-3"/>
    <n v="0.28737604881769641"/>
  </r>
  <r>
    <x v="13"/>
    <n v="28.5"/>
    <n v="35.4"/>
    <n v="0"/>
    <n v="0.8248252488879475"/>
  </r>
  <r>
    <x v="14"/>
    <n v="67.599999999999994"/>
    <n v="1031.4000000000001"/>
    <n v="-4.4000000000000003E-3"/>
    <n v="0.31107577149280946"/>
  </r>
  <r>
    <x v="15"/>
    <n v="48.55"/>
    <n v="194.8"/>
    <n v="-2.0999999999999999E-3"/>
    <n v="0.54112477587817875"/>
  </r>
  <r>
    <x v="16"/>
    <n v="21.55"/>
    <n v="140.19999999999999"/>
    <n v="-9.1999999999999998E-3"/>
    <n v="0.43096871550531657"/>
  </r>
  <r>
    <x v="17"/>
    <n v="46.35"/>
    <n v="212.1"/>
    <n v="4.3E-3"/>
    <n v="0.38187130195674057"/>
  </r>
  <r>
    <x v="18"/>
    <n v="21.15"/>
    <n v="313.10000000000002"/>
    <n v="-4.6999999999999993E-3"/>
    <n v="0.6012324558340898"/>
  </r>
  <r>
    <x v="19"/>
    <n v="57.2"/>
    <n v="81.099999999999994"/>
    <n v="3.4999999999999996E-3"/>
    <n v="0.34485957825154145"/>
  </r>
  <r>
    <x v="20"/>
    <n v="55.6"/>
    <n v="932.6"/>
    <n v="3.5999999999999999E-3"/>
    <n v="0.31573446450228648"/>
  </r>
  <r>
    <x v="21"/>
    <n v="26.6"/>
    <n v="4.4000000000000004"/>
    <n v="2.3099999999999999E-2"/>
    <n v="1.0098375705477951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m/>
    <m/>
    <m/>
    <m/>
  </r>
  <r>
    <x v="1"/>
    <n v="76.900000000000006"/>
    <n v="1001.5"/>
    <n v="2.12E-2"/>
    <n v="0.7735681458309196"/>
  </r>
  <r>
    <x v="2"/>
    <n v="48.8"/>
    <n v="172"/>
    <n v="0"/>
    <n v="0.26156437338397248"/>
  </r>
  <r>
    <x v="3"/>
    <n v="15.75"/>
    <n v="2957.7"/>
    <n v="1.29E-2"/>
    <n v="0.69110865173623137"/>
  </r>
  <r>
    <x v="4"/>
    <n v="37.700000000000003"/>
    <n v="24.5"/>
    <n v="0"/>
    <n v="0.21185849424817943"/>
  </r>
  <r>
    <x v="5"/>
    <n v="98.3"/>
    <n v="4.7"/>
    <n v="-1.7000000000000001E-2"/>
    <n v="3.4581939799331107"/>
  </r>
  <r>
    <x v="6"/>
    <n v="72.400000000000006"/>
    <n v="5.2"/>
    <n v="1.3999999999999999E-2"/>
    <n v="0.65110984632896984"/>
  </r>
  <r>
    <x v="7"/>
    <n v="11.75"/>
    <n v="93.4"/>
    <n v="-8.3999999999999995E-3"/>
    <n v="0.22067099102195112"/>
  </r>
  <r>
    <x v="8"/>
    <n v="19.399999999999999"/>
    <n v="1977.4"/>
    <n v="2.3700000000000002E-2"/>
    <n v="0.71601886217935529"/>
  </r>
  <r>
    <x v="9"/>
    <n v="17.399999999999999"/>
    <n v="288"/>
    <n v="2.9600000000000001E-2"/>
    <n v="0.51216968854327494"/>
  </r>
  <r>
    <x v="10"/>
    <n v="10.35"/>
    <n v="72.8"/>
    <n v="-4.7999999999999996E-3"/>
    <n v="0.85259515570934263"/>
  </r>
  <r>
    <x v="11"/>
    <n v="10.15"/>
    <n v="7.9"/>
    <n v="0"/>
    <n v="6.9370908044430912E-2"/>
  </r>
  <r>
    <x v="12"/>
    <n v="57"/>
    <n v="4.9000000000000004"/>
    <n v="-3.0600000000000002E-2"/>
    <n v="1.0160226201696512"/>
  </r>
  <r>
    <x v="13"/>
    <n v="24.9"/>
    <n v="0.1"/>
    <n v="4.0000000000000001E-3"/>
    <n v="5.9459459459459463E-2"/>
  </r>
  <r>
    <x v="14"/>
    <n v="24.7"/>
    <n v="1304.7"/>
    <n v="-2.3700000000000002E-2"/>
    <n v="0.82743292677653602"/>
  </r>
  <r>
    <x v="15"/>
    <n v="48.1"/>
    <n v="75.8"/>
    <n v="-6.1999999999999998E-3"/>
    <n v="0.60236959976881954"/>
  </r>
  <r>
    <x v="16"/>
    <n v="94.8"/>
    <n v="8.6"/>
    <n v="0"/>
    <n v="0.40890425761832722"/>
  </r>
  <r>
    <x v="17"/>
    <n v="51.8"/>
    <n v="175.7"/>
    <n v="-9.8999999999999991E-3"/>
    <n v="0.72426958927764729"/>
  </r>
  <r>
    <x v="18"/>
    <n v="30"/>
    <n v="5"/>
    <n v="1.7000000000000001E-3"/>
    <n v="0.36617842876165113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m/>
    <m/>
    <m/>
    <m/>
  </r>
  <r>
    <x v="1"/>
    <n v="32.4"/>
    <n v="1.7"/>
    <n v="-2.7000000000000003E-2"/>
    <n v="0.25669183253260125"/>
  </r>
  <r>
    <x v="2"/>
    <n v="97"/>
    <n v="7.3570000000000002"/>
    <n v="6.7099999999999993E-2"/>
    <n v="2.1469179853824829"/>
  </r>
  <r>
    <x v="3"/>
    <n v="12.2"/>
    <n v="2.1"/>
    <n v="-4.0999999999999995E-3"/>
    <n v="0.21864647420728822"/>
  </r>
  <r>
    <x v="4"/>
    <n v="6.4"/>
    <n v="32.6"/>
    <n v="0"/>
    <n v="1.3721063707671706"/>
  </r>
  <r>
    <x v="5"/>
    <n v="2.39"/>
    <n v="479"/>
    <n v="-2.4500000000000001E-2"/>
    <n v="0.56904642334505118"/>
  </r>
  <r>
    <x v="6"/>
    <n v="12.65"/>
    <n v="62.2"/>
    <n v="0"/>
    <n v="0.37813639880623412"/>
  </r>
  <r>
    <x v="7"/>
    <n v="13.85"/>
    <n v="157"/>
    <n v="-1.0700000000000001E-2"/>
    <n v="0.29200412559389954"/>
  </r>
  <r>
    <x v="8"/>
    <n v="20.7"/>
    <n v="65.2"/>
    <n v="2.4799999999999999E-2"/>
    <n v="0.64910851660783786"/>
  </r>
  <r>
    <x v="9"/>
    <n v="36"/>
    <n v="9"/>
    <n v="-6.8999999999999999E-3"/>
    <n v="0.14997727617027723"/>
  </r>
  <r>
    <x v="10"/>
    <n v="13.2"/>
    <n v="0.5"/>
    <n v="0"/>
    <n v="0.10912698412698413"/>
  </r>
  <r>
    <x v="11"/>
    <n v="10.3"/>
    <n v="3"/>
    <n v="-1.9E-2"/>
    <n v="0.4228058936579116"/>
  </r>
  <r>
    <x v="12"/>
    <n v="31.6"/>
    <n v="11.8"/>
    <n v="-2.7699999999999999E-2"/>
    <n v="0.69709989258861438"/>
  </r>
  <r>
    <x v="13"/>
    <n v="10.8"/>
    <n v="20"/>
    <n v="-2.2599999999999999E-2"/>
    <n v="0.90219397170391624"/>
  </r>
  <r>
    <x v="14"/>
    <n v="2"/>
    <n v="267.3"/>
    <n v="0"/>
    <n v="0.52834630105478786"/>
  </r>
  <r>
    <x v="15"/>
    <n v="4.66"/>
    <n v="12.5"/>
    <n v="-6.8000000000000005E-2"/>
    <n v="5.8635394456289971"/>
  </r>
  <r>
    <x v="16"/>
    <n v="49.5"/>
    <n v="54.1"/>
    <n v="-2E-3"/>
    <n v="1.7286855482933916"/>
  </r>
  <r>
    <x v="17"/>
    <n v="1.97"/>
    <n v="43.4"/>
    <n v="-2.4799999999999999E-2"/>
    <n v="0.15123867452322121"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x v="0"/>
    <m/>
    <m/>
    <m/>
    <m/>
  </r>
  <r>
    <x v="1"/>
    <n v="9.1999999999999993"/>
    <n v="84.8"/>
    <n v="-4.6600000000000003E-2"/>
    <n v="3.650880626223092"/>
  </r>
  <r>
    <x v="2"/>
    <n v="6.4"/>
    <n v="105"/>
    <n v="0"/>
    <n v="0.53175571464745286"/>
  </r>
  <r>
    <x v="3"/>
    <n v="16.25"/>
    <n v="1658.3"/>
    <n v="3.0999999999999999E-3"/>
    <n v="0.17302164466030559"/>
  </r>
  <r>
    <x v="4"/>
    <n v="19.25"/>
    <n v="60.4"/>
    <n v="-1.5300000000000001E-2"/>
    <n v="0.22133386634685853"/>
  </r>
  <r>
    <x v="5"/>
    <n v="66.8"/>
    <n v="291.3"/>
    <n v="-1.18E-2"/>
    <n v="0.56607573469009198"/>
  </r>
  <r>
    <x v="6"/>
    <n v="32.85"/>
    <n v="89.5"/>
    <n v="-4.5000000000000005E-3"/>
    <n v="0.19926124576228307"/>
  </r>
  <r>
    <x v="7"/>
    <n v="11.2"/>
    <n v="70.8"/>
    <n v="0"/>
    <n v="0.21639344262295082"/>
  </r>
  <r>
    <x v="8"/>
    <n v="9.6999999999999993"/>
    <n v="35.9"/>
    <n v="0"/>
    <n v="0.65844101709045433"/>
  </r>
  <r>
    <x v="9"/>
    <n v="4.7"/>
    <n v="93.7"/>
    <n v="-2.0799999999999999E-2"/>
    <n v="0.15444553498512786"/>
  </r>
  <r>
    <x v="10"/>
    <n v="10.4"/>
    <n v="622.20000000000005"/>
    <n v="-4.7999999999999996E-3"/>
    <n v="0.21154740939809613"/>
  </r>
  <r>
    <x v="11"/>
    <n v="6.89"/>
    <n v="49.9"/>
    <n v="5.7999999999999996E-3"/>
    <n v="0.55218550374729636"/>
  </r>
  <r>
    <x v="12"/>
    <n v="12.55"/>
    <n v="0.6"/>
    <n v="0"/>
    <n v="0.1489841986455982"/>
  </r>
  <r>
    <x v="13"/>
    <n v="14.8"/>
    <n v="539.9"/>
    <n v="-1.9900000000000001E-2"/>
    <n v="0.52016904245768458"/>
  </r>
  <r>
    <x v="14"/>
    <n v="8.1999999999999993"/>
    <n v="129.1"/>
    <n v="1.1999999999999999E-3"/>
    <n v="0.17408740644150372"/>
  </r>
  <r>
    <x v="15"/>
    <n v="10.1"/>
    <n v="1700.6"/>
    <n v="0.01"/>
    <n v="1.2992859921097961"/>
  </r>
  <r>
    <x v="16"/>
    <n v="19.899999999999999"/>
    <n v="13.7"/>
    <n v="-5.0000000000000001E-3"/>
    <n v="1.4400382226469182"/>
  </r>
  <r>
    <x v="17"/>
    <n v="8.5"/>
    <n v="1.2"/>
    <n v="-1.1599999999999999E-2"/>
    <n v="3.0669144981412638E-2"/>
  </r>
  <r>
    <x v="18"/>
    <n v="10.9"/>
    <n v="4.3"/>
    <n v="0"/>
    <n v="0.32165929955797345"/>
  </r>
  <r>
    <x v="19"/>
    <n v="17.600000000000001"/>
    <n v="1025.5999999999999"/>
    <n v="5.0000000000000001E-4"/>
    <n v="0.2902223922720828"/>
  </r>
  <r>
    <x v="20"/>
    <n v="4.5"/>
    <n v="39.5"/>
    <n v="-2.1700000000000001E-2"/>
    <n v="3.4955752212389379"/>
  </r>
  <r>
    <x v="21"/>
    <n v="5.01"/>
    <n v="0.7"/>
    <n v="-1.38E-2"/>
    <n v="5.5143372769199922E-2"/>
  </r>
  <r>
    <x v="22"/>
    <n v="7.5"/>
    <n v="0.3"/>
    <n v="0"/>
    <n v="7.3842022823897959E-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6BF465-5AB2-4D4E-8F62-CEB72D48098C}" name="PivotTable1" cacheId="2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C31" firstHeaderRow="0" firstDataRow="1" firstDataCol="1"/>
  <pivotFields count="5">
    <pivotField axis="axisRow" showAll="0" sortType="ascending">
      <items count="35">
        <item x="1"/>
        <item m="1" x="31"/>
        <item x="2"/>
        <item m="1" x="32"/>
        <item x="4"/>
        <item x="5"/>
        <item x="6"/>
        <item x="7"/>
        <item x="8"/>
        <item x="9"/>
        <item x="11"/>
        <item x="12"/>
        <item x="13"/>
        <item x="14"/>
        <item m="1" x="33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30"/>
        <item h="1" x="0"/>
        <item h="1" x="10"/>
        <item h="1" x="3"/>
        <item h="1"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2" showAll="0"/>
    <pivotField numFmtId="167" showAll="0"/>
    <pivotField dataField="1" numFmtId="164" showAll="0"/>
    <pivotField dataField="1" numFmtId="166" showAll="0"/>
  </pivotFields>
  <rowFields count="1">
    <field x="0"/>
  </rowFields>
  <rowItems count="28">
    <i>
      <x v="25"/>
    </i>
    <i>
      <x v="23"/>
    </i>
    <i>
      <x v="26"/>
    </i>
    <i>
      <x v="28"/>
    </i>
    <i>
      <x v="18"/>
    </i>
    <i>
      <x v="20"/>
    </i>
    <i>
      <x v="29"/>
    </i>
    <i>
      <x v="10"/>
    </i>
    <i>
      <x v="8"/>
    </i>
    <i>
      <x v="4"/>
    </i>
    <i>
      <x v="17"/>
    </i>
    <i>
      <x v="9"/>
    </i>
    <i>
      <x v="12"/>
    </i>
    <i>
      <x v="21"/>
    </i>
    <i>
      <x v="11"/>
    </i>
    <i>
      <x v="16"/>
    </i>
    <i>
      <x v="2"/>
    </i>
    <i>
      <x v="5"/>
    </i>
    <i>
      <x v="24"/>
    </i>
    <i>
      <x v="22"/>
    </i>
    <i>
      <x v="27"/>
    </i>
    <i>
      <x v="15"/>
    </i>
    <i>
      <x/>
    </i>
    <i>
      <x v="19"/>
    </i>
    <i>
      <x v="7"/>
    </i>
    <i>
      <x v="6"/>
    </i>
    <i>
      <x v="13"/>
    </i>
    <i t="grand">
      <x/>
    </i>
  </rowItems>
  <colFields count="1">
    <field x="-2"/>
  </colFields>
  <colItems count="2">
    <i>
      <x/>
    </i>
    <i i="1">
      <x v="1"/>
    </i>
  </colItems>
  <dataFields count="2">
    <dataField name="S BĐ giá" fld="3" baseField="0" baseItem="1" numFmtId="164"/>
    <dataField name="KL/KLTB21" fld="4" baseField="0" baseItem="1" numFmtId="166"/>
  </dataFields>
  <formats count="8">
    <format dxfId="33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3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32">
      <pivotArea type="all" dataOnly="0" outline="0" fieldPosition="0"/>
    </format>
    <format dxfId="331">
      <pivotArea outline="0" collapsedLevelsAreSubtotals="1" fieldPosition="0"/>
    </format>
    <format dxfId="330">
      <pivotArea field="0" type="button" dataOnly="0" labelOnly="1" outline="0" axis="axisRow" fieldPosition="0"/>
    </format>
    <format dxfId="329">
      <pivotArea dataOnly="0" labelOnly="1" fieldPosition="0">
        <references count="1">
          <reference field="0" count="0"/>
        </references>
      </pivotArea>
    </format>
    <format dxfId="328">
      <pivotArea dataOnly="0" labelOnly="1" grandRow="1" outline="0" fieldPosition="0"/>
    </format>
    <format dxfId="32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B9B46F-6992-4399-A6CA-09953FC39580}" name="PivotTable1" cacheId="2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C102" firstHeaderRow="0" firstDataRow="1" firstDataCol="1"/>
  <pivotFields count="5">
    <pivotField axis="axisRow" showAll="0" sortType="ascending">
      <items count="100">
        <item x="1"/>
        <item x="3"/>
        <item x="4"/>
        <item x="7"/>
        <item x="12"/>
        <item x="26"/>
        <item x="29"/>
        <item x="33"/>
        <item x="36"/>
        <item x="40"/>
        <item x="49"/>
        <item x="51"/>
        <item x="52"/>
        <item x="62"/>
        <item x="64"/>
        <item x="70"/>
        <item x="73"/>
        <item x="76"/>
        <item x="77"/>
        <item x="78"/>
        <item x="80"/>
        <item x="83"/>
        <item x="84"/>
        <item x="87"/>
        <item x="88"/>
        <item x="89"/>
        <item x="91"/>
        <item x="93"/>
        <item x="94"/>
        <item x="96"/>
        <item h="1" x="0"/>
        <item x="48"/>
        <item x="2"/>
        <item x="5"/>
        <item x="6"/>
        <item x="8"/>
        <item x="9"/>
        <item x="10"/>
        <item x="11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7"/>
        <item x="28"/>
        <item x="30"/>
        <item x="31"/>
        <item x="32"/>
        <item x="34"/>
        <item x="35"/>
        <item x="37"/>
        <item x="38"/>
        <item x="39"/>
        <item x="41"/>
        <item x="42"/>
        <item x="43"/>
        <item x="44"/>
        <item x="45"/>
        <item x="46"/>
        <item x="47"/>
        <item x="50"/>
        <item x="53"/>
        <item x="54"/>
        <item x="55"/>
        <item x="56"/>
        <item x="57"/>
        <item x="58"/>
        <item x="59"/>
        <item x="60"/>
        <item x="61"/>
        <item x="63"/>
        <item x="65"/>
        <item x="66"/>
        <item x="67"/>
        <item x="68"/>
        <item x="69"/>
        <item x="71"/>
        <item x="72"/>
        <item x="74"/>
        <item x="75"/>
        <item x="79"/>
        <item x="81"/>
        <item x="82"/>
        <item x="85"/>
        <item x="86"/>
        <item x="90"/>
        <item x="92"/>
        <item x="95"/>
        <item x="97"/>
        <item x="9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2" showAll="0"/>
    <pivotField numFmtId="167" showAll="0"/>
    <pivotField dataField="1" numFmtId="164" showAll="0"/>
    <pivotField dataField="1" numFmtId="166" showAll="0"/>
  </pivotFields>
  <rowFields count="1">
    <field x="0"/>
  </rowFields>
  <rowItems count="99">
    <i>
      <x v="25"/>
    </i>
    <i>
      <x v="23"/>
    </i>
    <i>
      <x v="26"/>
    </i>
    <i>
      <x v="39"/>
    </i>
    <i>
      <x v="88"/>
    </i>
    <i>
      <x v="57"/>
    </i>
    <i>
      <x v="28"/>
    </i>
    <i>
      <x v="45"/>
    </i>
    <i>
      <x v="18"/>
    </i>
    <i>
      <x v="20"/>
    </i>
    <i>
      <x v="29"/>
    </i>
    <i>
      <x v="67"/>
    </i>
    <i>
      <x v="37"/>
    </i>
    <i>
      <x v="40"/>
    </i>
    <i>
      <x v="58"/>
    </i>
    <i>
      <x v="77"/>
    </i>
    <i>
      <x v="10"/>
    </i>
    <i>
      <x v="59"/>
    </i>
    <i>
      <x v="53"/>
    </i>
    <i>
      <x v="8"/>
    </i>
    <i>
      <x v="68"/>
    </i>
    <i>
      <x v="64"/>
    </i>
    <i>
      <x v="4"/>
    </i>
    <i>
      <x v="72"/>
    </i>
    <i>
      <x v="38"/>
    </i>
    <i>
      <x v="76"/>
    </i>
    <i>
      <x v="96"/>
    </i>
    <i>
      <x v="98"/>
    </i>
    <i>
      <x v="17"/>
    </i>
    <i>
      <x v="75"/>
    </i>
    <i>
      <x v="9"/>
    </i>
    <i>
      <x v="95"/>
    </i>
    <i>
      <x v="32"/>
    </i>
    <i>
      <x v="12"/>
    </i>
    <i>
      <x v="52"/>
    </i>
    <i>
      <x v="65"/>
    </i>
    <i>
      <x v="81"/>
    </i>
    <i>
      <x v="21"/>
    </i>
    <i>
      <x v="86"/>
    </i>
    <i>
      <x v="31"/>
    </i>
    <i>
      <x v="80"/>
    </i>
    <i>
      <x v="89"/>
    </i>
    <i>
      <x v="61"/>
    </i>
    <i>
      <x v="85"/>
    </i>
    <i>
      <x v="74"/>
    </i>
    <i>
      <x v="11"/>
    </i>
    <i>
      <x v="71"/>
    </i>
    <i>
      <x v="48"/>
    </i>
    <i>
      <x v="16"/>
    </i>
    <i>
      <x v="44"/>
    </i>
    <i>
      <x v="2"/>
    </i>
    <i>
      <x v="49"/>
    </i>
    <i>
      <x v="5"/>
    </i>
    <i>
      <x v="43"/>
    </i>
    <i>
      <x v="84"/>
    </i>
    <i>
      <x v="24"/>
    </i>
    <i>
      <x v="63"/>
    </i>
    <i>
      <x v="35"/>
    </i>
    <i>
      <x v="47"/>
    </i>
    <i>
      <x v="69"/>
    </i>
    <i>
      <x v="51"/>
    </i>
    <i>
      <x v="73"/>
    </i>
    <i>
      <x v="66"/>
    </i>
    <i>
      <x v="92"/>
    </i>
    <i>
      <x v="87"/>
    </i>
    <i>
      <x v="50"/>
    </i>
    <i>
      <x v="36"/>
    </i>
    <i>
      <x v="91"/>
    </i>
    <i>
      <x v="94"/>
    </i>
    <i>
      <x v="22"/>
    </i>
    <i>
      <x v="93"/>
    </i>
    <i>
      <x v="27"/>
    </i>
    <i>
      <x v="90"/>
    </i>
    <i>
      <x v="14"/>
    </i>
    <i>
      <x v="70"/>
    </i>
    <i>
      <x v="15"/>
    </i>
    <i>
      <x v="60"/>
    </i>
    <i>
      <x v="41"/>
    </i>
    <i>
      <x v="34"/>
    </i>
    <i>
      <x v="78"/>
    </i>
    <i>
      <x/>
    </i>
    <i>
      <x v="1"/>
    </i>
    <i>
      <x v="62"/>
    </i>
    <i>
      <x v="55"/>
    </i>
    <i>
      <x v="54"/>
    </i>
    <i>
      <x v="97"/>
    </i>
    <i>
      <x v="33"/>
    </i>
    <i>
      <x v="3"/>
    </i>
    <i>
      <x v="56"/>
    </i>
    <i>
      <x v="83"/>
    </i>
    <i>
      <x v="19"/>
    </i>
    <i>
      <x v="7"/>
    </i>
    <i>
      <x v="42"/>
    </i>
    <i>
      <x v="46"/>
    </i>
    <i>
      <x v="79"/>
    </i>
    <i>
      <x v="6"/>
    </i>
    <i>
      <x v="13"/>
    </i>
    <i>
      <x v="82"/>
    </i>
    <i t="grand">
      <x/>
    </i>
  </rowItems>
  <colFields count="1">
    <field x="-2"/>
  </colFields>
  <colItems count="2">
    <i>
      <x/>
    </i>
    <i i="1">
      <x v="1"/>
    </i>
  </colItems>
  <dataFields count="2">
    <dataField name="S BĐ giá" fld="3" baseField="0" baseItem="1" numFmtId="164"/>
    <dataField name="KL/KLTB21" fld="4" baseField="0" baseItem="1" numFmtId="166"/>
  </dataFields>
  <formats count="8">
    <format dxfId="29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9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3">
      <pivotArea type="all" dataOnly="0" outline="0" fieldPosition="0"/>
    </format>
    <format dxfId="292">
      <pivotArea outline="0" collapsedLevelsAreSubtotals="1" fieldPosition="0"/>
    </format>
    <format dxfId="291">
      <pivotArea field="0" type="button" dataOnly="0" labelOnly="1" outline="0" axis="axisRow" fieldPosition="0"/>
    </format>
    <format dxfId="290">
      <pivotArea dataOnly="0" labelOnly="1" fieldPosition="0">
        <references count="1">
          <reference field="0" count="0"/>
        </references>
      </pivotArea>
    </format>
    <format dxfId="289">
      <pivotArea dataOnly="0" labelOnly="1" grandRow="1" outline="0" fieldPosition="0"/>
    </format>
    <format dxfId="28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D131E0-B55C-4EEF-AC92-564F9E67746D}" name="PivotTable2" cacheId="3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S18:U46" firstHeaderRow="0" firstDataRow="1" firstDataCol="1"/>
  <pivotFields count="5">
    <pivotField axis="axisRow" showAll="0" sortType="ascending">
      <items count="2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h="1"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28">
    <i>
      <x v="15"/>
    </i>
    <i>
      <x v="23"/>
    </i>
    <i>
      <x v="26"/>
    </i>
    <i>
      <x v="20"/>
    </i>
    <i>
      <x v="10"/>
    </i>
    <i>
      <x v="7"/>
    </i>
    <i>
      <x v="5"/>
    </i>
    <i>
      <x/>
    </i>
    <i>
      <x v="18"/>
    </i>
    <i>
      <x v="4"/>
    </i>
    <i>
      <x v="21"/>
    </i>
    <i>
      <x v="9"/>
    </i>
    <i>
      <x v="14"/>
    </i>
    <i>
      <x v="17"/>
    </i>
    <i>
      <x v="3"/>
    </i>
    <i>
      <x v="11"/>
    </i>
    <i>
      <x v="22"/>
    </i>
    <i>
      <x v="25"/>
    </i>
    <i>
      <x v="6"/>
    </i>
    <i>
      <x v="24"/>
    </i>
    <i>
      <x v="12"/>
    </i>
    <i>
      <x v="1"/>
    </i>
    <i>
      <x v="8"/>
    </i>
    <i>
      <x v="13"/>
    </i>
    <i>
      <x v="16"/>
    </i>
    <i>
      <x v="19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/>
    <dataField name="Sum of KL/KLTB21_x000a_phiên" fld="4" baseField="0" baseItem="0" numFmtId="2"/>
  </dataFields>
  <formats count="13">
    <format dxfId="275">
      <pivotArea collapsedLevelsAreSubtotals="1" fieldPosition="0">
        <references count="1">
          <reference field="0" count="1">
            <x v="8"/>
          </reference>
        </references>
      </pivotArea>
    </format>
    <format dxfId="274">
      <pivotArea field="0" type="button" dataOnly="0" labelOnly="1" outline="0" axis="axisRow" fieldPosition="0"/>
    </format>
    <format dxfId="273">
      <pivotArea dataOnly="0" labelOnly="1" fieldPosition="0">
        <references count="1">
          <reference field="0" count="1">
            <x v="8"/>
          </reference>
        </references>
      </pivotArea>
    </format>
    <format dxfId="27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71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270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26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68">
      <pivotArea type="all" dataOnly="0" outline="0" fieldPosition="0"/>
    </format>
    <format dxfId="267">
      <pivotArea outline="0" collapsedLevelsAreSubtotals="1" fieldPosition="0"/>
    </format>
    <format dxfId="266">
      <pivotArea field="0" type="button" dataOnly="0" labelOnly="1" outline="0" axis="axisRow" fieldPosition="0"/>
    </format>
    <format dxfId="265">
      <pivotArea dataOnly="0" labelOnly="1" fieldPosition="0">
        <references count="1">
          <reference field="0" count="0"/>
        </references>
      </pivotArea>
    </format>
    <format dxfId="264">
      <pivotArea dataOnly="0" labelOnly="1" grandRow="1" outline="0" fieldPosition="0"/>
    </format>
    <format dxfId="26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5F2141-C5EF-4FAA-A032-B75D37698871}" name="PivotTable2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S18:U23" firstHeaderRow="0" firstDataRow="1" firstDataCol="1"/>
  <pivotFields count="5">
    <pivotField axis="axisRow" showAll="0" sortType="ascending">
      <items count="6">
        <item h="1" x="0"/>
        <item x="1"/>
        <item x="2"/>
        <item x="3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5">
    <i>
      <x v="1"/>
    </i>
    <i>
      <x v="2"/>
    </i>
    <i>
      <x v="4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/>
    <dataField name="Sum of KL/KLTB21_x000a_phiên" fld="4" baseField="0" baseItem="0" numFmtId="2"/>
  </dataFields>
  <formats count="11">
    <format dxfId="250">
      <pivotArea field="0" type="button" dataOnly="0" labelOnly="1" outline="0" axis="axisRow" fieldPosition="0"/>
    </format>
    <format dxfId="24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48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247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24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45">
      <pivotArea type="all" dataOnly="0" outline="0" fieldPosition="0"/>
    </format>
    <format dxfId="244">
      <pivotArea outline="0" collapsedLevelsAreSubtotals="1" fieldPosition="0"/>
    </format>
    <format dxfId="243">
      <pivotArea field="0" type="button" dataOnly="0" labelOnly="1" outline="0" axis="axisRow" fieldPosition="0"/>
    </format>
    <format dxfId="242">
      <pivotArea dataOnly="0" labelOnly="1" fieldPosition="0">
        <references count="1">
          <reference field="0" count="0"/>
        </references>
      </pivotArea>
    </format>
    <format dxfId="241">
      <pivotArea dataOnly="0" labelOnly="1" grandRow="1" outline="0" fieldPosition="0"/>
    </format>
    <format dxfId="24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7B2EA1-BBAF-489E-BF2D-B3586FCAC0D8}" name="PivotTable1" cacheId="3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S18:U41" firstHeaderRow="0" firstDataRow="1" firstDataCol="1"/>
  <pivotFields count="5">
    <pivotField axis="axisRow" showAll="0" sortType="ascending">
      <items count="24">
        <item x="3"/>
        <item x="4"/>
        <item x="5"/>
        <item x="6"/>
        <item x="7"/>
        <item x="8"/>
        <item x="11"/>
        <item x="12"/>
        <item x="13"/>
        <item x="14"/>
        <item x="16"/>
        <item x="17"/>
        <item x="18"/>
        <item x="19"/>
        <item x="20"/>
        <item x="21"/>
        <item x="22"/>
        <item h="1" x="0"/>
        <item x="1"/>
        <item x="15"/>
        <item x="9"/>
        <item x="2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23">
    <i>
      <x v="4"/>
    </i>
    <i>
      <x v="21"/>
    </i>
    <i>
      <x v="12"/>
    </i>
    <i>
      <x v="11"/>
    </i>
    <i>
      <x v="5"/>
    </i>
    <i>
      <x v="7"/>
    </i>
    <i>
      <x v="6"/>
    </i>
    <i>
      <x v="18"/>
    </i>
    <i>
      <x v="10"/>
    </i>
    <i>
      <x v="13"/>
    </i>
    <i>
      <x v="16"/>
    </i>
    <i>
      <x v="9"/>
    </i>
    <i>
      <x v="1"/>
    </i>
    <i>
      <x v="14"/>
    </i>
    <i>
      <x v="19"/>
    </i>
    <i>
      <x v="2"/>
    </i>
    <i>
      <x v="20"/>
    </i>
    <i>
      <x v="22"/>
    </i>
    <i>
      <x v="8"/>
    </i>
    <i>
      <x v="15"/>
    </i>
    <i>
      <x v="3"/>
    </i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7">
    <format dxfId="22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26">
      <pivotArea outline="0" collapsedLevelsAreSubtotals="1" fieldPosition="0"/>
    </format>
    <format dxfId="225">
      <pivotArea dataOnly="0" labelOnly="1" fieldPosition="0">
        <references count="1">
          <reference field="0" count="0"/>
        </references>
      </pivotArea>
    </format>
    <format dxfId="224">
      <pivotArea dataOnly="0" labelOnly="1" grandRow="1" outline="0" fieldPosition="0"/>
    </format>
    <format dxfId="223">
      <pivotArea outline="0" collapsedLevelsAreSubtotals="1" fieldPosition="0"/>
    </format>
    <format dxfId="222">
      <pivotArea dataOnly="0" labelOnly="1" fieldPosition="0">
        <references count="1">
          <reference field="0" count="0"/>
        </references>
      </pivotArea>
    </format>
    <format dxfId="221">
      <pivotArea dataOnly="0" labelOnly="1" grandRow="1" outline="0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65C265-1878-49F7-A8B1-6DC507900B1A}" name="PivotTable2" cacheId="4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29" firstHeaderRow="0" firstDataRow="1" firstDataCol="1"/>
  <pivotFields count="5">
    <pivotField axis="axisRow" showAll="0" sortType="ascending">
      <items count="12">
        <item x="5"/>
        <item x="7"/>
        <item x="6"/>
        <item x="3"/>
        <item x="1"/>
        <item x="2"/>
        <item h="1" x="0"/>
        <item x="9"/>
        <item x="10"/>
        <item x="4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11">
    <i>
      <x v="7"/>
    </i>
    <i>
      <x v="10"/>
    </i>
    <i>
      <x v="9"/>
    </i>
    <i>
      <x v="8"/>
    </i>
    <i>
      <x v="2"/>
    </i>
    <i>
      <x v="1"/>
    </i>
    <i>
      <x/>
    </i>
    <i>
      <x v="5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6">
    <format dxfId="20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07">
      <pivotArea outline="0" collapsedLevelsAreSubtotals="1" fieldPosition="0"/>
    </format>
    <format dxfId="206">
      <pivotArea dataOnly="0" labelOnly="1" fieldPosition="0">
        <references count="1">
          <reference field="0" count="0"/>
        </references>
      </pivotArea>
    </format>
    <format dxfId="205">
      <pivotArea outline="0" collapsedLevelsAreSubtotals="1" fieldPosition="0"/>
    </format>
    <format dxfId="204">
      <pivotArea dataOnly="0" labelOnly="1" fieldPosition="0">
        <references count="1">
          <reference field="0" count="0"/>
        </references>
      </pivotArea>
    </format>
    <format dxfId="203">
      <pivotArea dataOnly="0" labelOnly="1" grandRow="1" outline="0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C669D4-DDB3-441C-A894-379780C63A95}" name="PivotTable3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29" firstHeaderRow="0" firstDataRow="1" firstDataCol="1"/>
  <pivotFields count="5">
    <pivotField axis="axisRow" showAll="0" sortType="ascending">
      <items count="12">
        <item x="2"/>
        <item x="1"/>
        <item x="3"/>
        <item x="4"/>
        <item h="1" x="0"/>
        <item x="5"/>
        <item x="6"/>
        <item x="7"/>
        <item x="8"/>
        <item x="9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11">
    <i>
      <x v="10"/>
    </i>
    <i>
      <x v="1"/>
    </i>
    <i>
      <x/>
    </i>
    <i>
      <x v="2"/>
    </i>
    <i>
      <x v="9"/>
    </i>
    <i>
      <x v="6"/>
    </i>
    <i>
      <x v="3"/>
    </i>
    <i>
      <x v="8"/>
    </i>
    <i>
      <x v="5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6">
    <format dxfId="19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89">
      <pivotArea field="0" dataOnly="0" grandRow="1" axis="axisRow" fieldPosition="0">
        <references count="1">
          <reference field="0" count="0"/>
        </references>
      </pivotArea>
    </format>
    <format dxfId="188">
      <pivotArea dataOnly="0" fieldPosition="0">
        <references count="1">
          <reference field="0" count="0"/>
        </references>
      </pivotArea>
    </format>
    <format dxfId="187">
      <pivotArea outline="0" collapsedLevelsAreSubtotals="1" fieldPosition="0"/>
    </format>
    <format dxfId="186">
      <pivotArea dataOnly="0" labelOnly="1" fieldPosition="0">
        <references count="1">
          <reference field="0" count="0"/>
        </references>
      </pivotArea>
    </format>
    <format dxfId="185">
      <pivotArea dataOnly="0" labelOnly="1" grandRow="1" outline="0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FF04ED-EEFF-4E21-92B6-2E9A417ED3B7}" name="PivotTable1" cacheId="5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S18:U30" firstHeaderRow="0" firstDataRow="1" firstDataCol="1"/>
  <pivotFields count="4">
    <pivotField axis="axisRow" showAll="0" sortType="descending">
      <items count="21">
        <item x="1"/>
        <item m="1" x="18"/>
        <item x="2"/>
        <item m="1" x="19"/>
        <item x="3"/>
        <item x="4"/>
        <item x="5"/>
        <item x="6"/>
        <item x="7"/>
        <item x="8"/>
        <item x="9"/>
        <item x="10"/>
        <item m="1" x="12"/>
        <item m="1" x="13"/>
        <item m="1" x="14"/>
        <item m="1" x="15"/>
        <item m="1" x="16"/>
        <item x="11"/>
        <item m="1" x="17"/>
        <item h="1"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dataField="1" showAll="0"/>
  </pivotFields>
  <rowFields count="1">
    <field x="0"/>
  </rowFields>
  <rowItems count="12">
    <i>
      <x v="7"/>
    </i>
    <i>
      <x v="6"/>
    </i>
    <i>
      <x v="11"/>
    </i>
    <i>
      <x v="9"/>
    </i>
    <i>
      <x v="8"/>
    </i>
    <i>
      <x v="5"/>
    </i>
    <i>
      <x v="2"/>
    </i>
    <i>
      <x v="17"/>
    </i>
    <i>
      <x v="4"/>
    </i>
    <i>
      <x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/>
    <dataField name="Sum of KLGD/1000" fld="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69BB22-84D5-4D62-A621-C410637FC3EB}" name="PivotTable8" cacheId="5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31" firstHeaderRow="0" firstDataRow="1" firstDataCol="1"/>
  <pivotFields count="5">
    <pivotField axis="axisRow" showAll="0" sortType="ascending">
      <items count="14">
        <item x="3"/>
        <item x="2"/>
        <item x="1"/>
        <item x="4"/>
        <item x="7"/>
        <item h="1" x="0"/>
        <item x="5"/>
        <item x="6"/>
        <item x="9"/>
        <item x="10"/>
        <item x="8"/>
        <item x="11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13">
    <i>
      <x v="3"/>
    </i>
    <i>
      <x v="11"/>
    </i>
    <i>
      <x v="2"/>
    </i>
    <i>
      <x v="1"/>
    </i>
    <i>
      <x v="10"/>
    </i>
    <i>
      <x/>
    </i>
    <i>
      <x v="12"/>
    </i>
    <i>
      <x v="7"/>
    </i>
    <i>
      <x v="6"/>
    </i>
    <i>
      <x v="9"/>
    </i>
    <i>
      <x v="8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/>
    <dataField name="Sum of KL/KLTB21_x000a_phiên" fld="4" baseField="0" baseItem="0"/>
  </dataFields>
  <formats count="8">
    <format dxfId="160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159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58">
      <pivotArea outline="0" collapsedLevelsAreSubtotals="1" fieldPosition="0"/>
    </format>
    <format dxfId="157">
      <pivotArea dataOnly="0" labelOnly="1" fieldPosition="0">
        <references count="1">
          <reference field="0" count="0"/>
        </references>
      </pivotArea>
    </format>
    <format dxfId="156">
      <pivotArea dataOnly="0" labelOnly="1" grandRow="1" outline="0" fieldPosition="0"/>
    </format>
    <format dxfId="155">
      <pivotArea outline="0" collapsedLevelsAreSubtotals="1" fieldPosition="0"/>
    </format>
    <format dxfId="154">
      <pivotArea dataOnly="0" labelOnly="1" fieldPosition="0">
        <references count="1">
          <reference field="0" count="0"/>
        </references>
      </pivotArea>
    </format>
    <format dxfId="153">
      <pivotArea dataOnly="0" labelOnly="1" grandRow="1" outline="0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8534CD-FA48-4F9D-B585-751C00B27F92}" name="PivotTable1" cacheId="5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30" firstHeaderRow="0" firstDataRow="1" firstDataCol="1"/>
  <pivotFields count="5">
    <pivotField axis="axisRow" showAll="0" sortType="ascending">
      <items count="15">
        <item x="2"/>
        <item x="4"/>
        <item x="7"/>
        <item x="8"/>
        <item x="9"/>
        <item x="10"/>
        <item h="1" x="0"/>
        <item x="1"/>
        <item x="3"/>
        <item m="1" x="12"/>
        <item x="5"/>
        <item x="6"/>
        <item m="1" x="13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12">
    <i>
      <x v="1"/>
    </i>
    <i>
      <x/>
    </i>
    <i>
      <x v="7"/>
    </i>
    <i>
      <x v="5"/>
    </i>
    <i>
      <x v="8"/>
    </i>
    <i>
      <x v="3"/>
    </i>
    <i>
      <x v="4"/>
    </i>
    <i>
      <x v="10"/>
    </i>
    <i>
      <x v="13"/>
    </i>
    <i>
      <x v="2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1">
    <format dxfId="14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15F1A7-3680-4D4F-9CF0-1AFE7C6E5A3D}" name="PivotTable10" cacheId="6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27" firstHeaderRow="0" firstDataRow="1" firstDataCol="1"/>
  <pivotFields count="5">
    <pivotField axis="axisRow" showAll="0" sortType="ascending">
      <items count="15">
        <item x="1"/>
        <item x="2"/>
        <item x="3"/>
        <item x="5"/>
        <item x="6"/>
        <item x="7"/>
        <item h="1" x="0"/>
        <item m="1" x="11"/>
        <item m="1" x="12"/>
        <item m="1" x="10"/>
        <item m="1" x="13"/>
        <item x="8"/>
        <item x="9"/>
        <item h="1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9">
    <i>
      <x v="12"/>
    </i>
    <i>
      <x v="11"/>
    </i>
    <i>
      <x/>
    </i>
    <i>
      <x v="5"/>
    </i>
    <i>
      <x v="2"/>
    </i>
    <i>
      <x v="3"/>
    </i>
    <i>
      <x v="4"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1">
    <format dxfId="12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29731E-4C75-4FCA-BED2-835D434D5F71}" name="PivotTable5" cacheId="6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T18:V35" firstHeaderRow="0" firstDataRow="1" firstDataCol="1"/>
  <pivotFields count="5">
    <pivotField axis="axisRow" showAll="0" sortType="ascending">
      <items count="19">
        <item x="3"/>
        <item x="5"/>
        <item x="7"/>
        <item x="8"/>
        <item x="9"/>
        <item x="10"/>
        <item h="1" x="0"/>
        <item x="2"/>
        <item x="11"/>
        <item x="4"/>
        <item x="6"/>
        <item x="12"/>
        <item x="13"/>
        <item x="1"/>
        <item x="14"/>
        <item x="15"/>
        <item m="1" x="17"/>
        <item x="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17">
    <i>
      <x v="14"/>
    </i>
    <i>
      <x v="13"/>
    </i>
    <i>
      <x v="8"/>
    </i>
    <i>
      <x v="10"/>
    </i>
    <i>
      <x v="3"/>
    </i>
    <i>
      <x v="12"/>
    </i>
    <i>
      <x v="15"/>
    </i>
    <i>
      <x v="4"/>
    </i>
    <i>
      <x v="11"/>
    </i>
    <i>
      <x v="1"/>
    </i>
    <i>
      <x v="5"/>
    </i>
    <i>
      <x v="17"/>
    </i>
    <i>
      <x/>
    </i>
    <i>
      <x v="2"/>
    </i>
    <i>
      <x v="9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1">
    <format dxfId="11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295728-4312-4DC0-BCA7-1C10677FECC0}" name="PivotTable1" cacheId="7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37" firstHeaderRow="0" firstDataRow="1" firstDataCol="1"/>
  <pivotFields count="5">
    <pivotField axis="axisRow" showAll="0" sortType="ascending">
      <items count="20">
        <item h="1" x="0"/>
        <item x="14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1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19">
    <i>
      <x v="16"/>
    </i>
    <i>
      <x v="14"/>
    </i>
    <i>
      <x v="10"/>
    </i>
    <i>
      <x v="6"/>
    </i>
    <i>
      <x v="17"/>
    </i>
    <i>
      <x v="12"/>
    </i>
    <i>
      <x v="4"/>
    </i>
    <i>
      <x v="5"/>
    </i>
    <i>
      <x v="9"/>
    </i>
    <i>
      <x v="11"/>
    </i>
    <i>
      <x v="1"/>
    </i>
    <i>
      <x v="18"/>
    </i>
    <i>
      <x v="8"/>
    </i>
    <i>
      <x v="7"/>
    </i>
    <i>
      <x v="2"/>
    </i>
    <i>
      <x v="3"/>
    </i>
    <i>
      <x v="15"/>
    </i>
    <i>
      <x v="1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1">
    <format dxfId="10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A2F084-C9F1-45EB-89AC-545B369D5AA3}" name="PivotTable2" cacheId="7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40" firstHeaderRow="0" firstDataRow="1" firstDataCol="1"/>
  <pivotFields count="5">
    <pivotField axis="axisRow" showAll="0" sortType="ascending">
      <items count="24">
        <item x="12"/>
        <item x="1"/>
        <item x="14"/>
        <item x="15"/>
        <item x="2"/>
        <item x="3"/>
        <item x="4"/>
        <item x="5"/>
        <item x="16"/>
        <item x="17"/>
        <item x="11"/>
        <item h="1" x="0"/>
        <item x="18"/>
        <item x="6"/>
        <item x="7"/>
        <item x="8"/>
        <item x="9"/>
        <item m="1" x="22"/>
        <item x="10"/>
        <item x="13"/>
        <item x="19"/>
        <item x="20"/>
        <item x="2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22">
    <i>
      <x v="15"/>
    </i>
    <i>
      <x v="3"/>
    </i>
    <i>
      <x v="21"/>
    </i>
    <i>
      <x v="19"/>
    </i>
    <i>
      <x v="9"/>
    </i>
    <i>
      <x v="8"/>
    </i>
    <i>
      <x v="18"/>
    </i>
    <i>
      <x v="4"/>
    </i>
    <i>
      <x v="6"/>
    </i>
    <i>
      <x v="10"/>
    </i>
    <i>
      <x v="16"/>
    </i>
    <i>
      <x/>
    </i>
    <i>
      <x v="12"/>
    </i>
    <i>
      <x v="22"/>
    </i>
    <i>
      <x v="14"/>
    </i>
    <i>
      <x v="13"/>
    </i>
    <i>
      <x v="1"/>
    </i>
    <i>
      <x v="2"/>
    </i>
    <i>
      <x v="5"/>
    </i>
    <i>
      <x v="7"/>
    </i>
    <i>
      <x v="2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/>
    <dataField name="Sum of KL/KLTB21" fld="4" baseField="0" baseItem="8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7207E8-4EF4-41F9-87D0-9A44DADFDB0E}" name="PivotTable2" cacheId="7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27" firstHeaderRow="0" firstDataRow="1" firstDataCol="1"/>
  <pivotFields count="5">
    <pivotField axis="axisRow" showAll="0" sortType="ascending">
      <items count="15">
        <item x="1"/>
        <item x="2"/>
        <item x="3"/>
        <item x="4"/>
        <item x="5"/>
        <item x="6"/>
        <item x="8"/>
        <item h="1" x="0"/>
        <item m="1" x="12"/>
        <item x="7"/>
        <item m="1" x="13"/>
        <item m="1" x="10"/>
        <item m="1" x="9"/>
        <item m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9">
    <i>
      <x v="4"/>
    </i>
    <i>
      <x v="1"/>
    </i>
    <i>
      <x/>
    </i>
    <i>
      <x v="3"/>
    </i>
    <i>
      <x v="5"/>
    </i>
    <i>
      <x v="2"/>
    </i>
    <i>
      <x v="6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64"/>
    <dataField name="Sum of KL/KLTB21_x000a_phiên" fld="4" baseField="0" baseItem="0"/>
  </dataFields>
  <formats count="1">
    <format dxfId="7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9CFA6-CF2D-452F-A5CE-F8CA46566C3E}" name="PivotTable6" cacheId="8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61" firstHeaderRow="0" firstDataRow="1" firstDataCol="1"/>
  <pivotFields count="5">
    <pivotField axis="axisRow" showAll="0" sortType="ascending">
      <items count="44">
        <item x="1"/>
        <item x="2"/>
        <item x="3"/>
        <item x="4"/>
        <item x="5"/>
        <item x="7"/>
        <item x="8"/>
        <item x="11"/>
        <item x="12"/>
        <item x="13"/>
        <item x="15"/>
        <item x="16"/>
        <item x="17"/>
        <item x="18"/>
        <item x="20"/>
        <item x="19"/>
        <item x="24"/>
        <item x="25"/>
        <item x="26"/>
        <item x="28"/>
        <item x="32"/>
        <item x="33"/>
        <item x="35"/>
        <item x="36"/>
        <item x="38"/>
        <item x="41"/>
        <item x="40"/>
        <item h="1" x="0"/>
        <item x="9"/>
        <item x="10"/>
        <item x="14"/>
        <item x="30"/>
        <item x="31"/>
        <item x="34"/>
        <item x="6"/>
        <item x="21"/>
        <item x="22"/>
        <item x="23"/>
        <item x="27"/>
        <item x="29"/>
        <item x="37"/>
        <item x="39"/>
        <item x="4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43">
    <i>
      <x v="26"/>
    </i>
    <i>
      <x v="38"/>
    </i>
    <i>
      <x v="20"/>
    </i>
    <i>
      <x v="3"/>
    </i>
    <i>
      <x v="33"/>
    </i>
    <i>
      <x v="28"/>
    </i>
    <i>
      <x v="5"/>
    </i>
    <i>
      <x v="13"/>
    </i>
    <i>
      <x v="19"/>
    </i>
    <i>
      <x v="7"/>
    </i>
    <i>
      <x v="17"/>
    </i>
    <i>
      <x v="14"/>
    </i>
    <i>
      <x v="16"/>
    </i>
    <i>
      <x v="25"/>
    </i>
    <i>
      <x v="2"/>
    </i>
    <i>
      <x v="29"/>
    </i>
    <i>
      <x/>
    </i>
    <i>
      <x v="18"/>
    </i>
    <i>
      <x v="42"/>
    </i>
    <i>
      <x v="9"/>
    </i>
    <i>
      <x v="36"/>
    </i>
    <i>
      <x v="11"/>
    </i>
    <i>
      <x v="35"/>
    </i>
    <i>
      <x v="39"/>
    </i>
    <i>
      <x v="22"/>
    </i>
    <i>
      <x v="41"/>
    </i>
    <i>
      <x v="12"/>
    </i>
    <i>
      <x v="6"/>
    </i>
    <i>
      <x v="24"/>
    </i>
    <i>
      <x v="15"/>
    </i>
    <i>
      <x v="31"/>
    </i>
    <i>
      <x v="32"/>
    </i>
    <i>
      <x v="30"/>
    </i>
    <i>
      <x v="37"/>
    </i>
    <i>
      <x v="21"/>
    </i>
    <i>
      <x v="23"/>
    </i>
    <i>
      <x v="8"/>
    </i>
    <i>
      <x v="10"/>
    </i>
    <i>
      <x v="1"/>
    </i>
    <i>
      <x v="34"/>
    </i>
    <i>
      <x v="4"/>
    </i>
    <i>
      <x v="4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5">
    <format dxfId="6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2">
      <pivotArea collapsedLevelsAreSubtotals="1" fieldPosition="0">
        <references count="2">
          <reference field="4294967294" count="1" selected="0">
            <x v="0"/>
          </reference>
          <reference field="0" count="7">
            <x v="6"/>
            <x v="7"/>
            <x v="12"/>
            <x v="15"/>
            <x v="17"/>
            <x v="19"/>
            <x v="23"/>
          </reference>
        </references>
      </pivotArea>
    </format>
    <format dxfId="61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60">
      <pivotArea collapsedLevelsAreSubtotals="1" fieldPosition="0">
        <references count="2">
          <reference field="4294967294" count="1" selected="0">
            <x v="1"/>
          </reference>
          <reference field="0" count="8">
            <x v="2"/>
            <x v="6"/>
            <x v="7"/>
            <x v="12"/>
            <x v="15"/>
            <x v="17"/>
            <x v="19"/>
            <x v="23"/>
          </reference>
        </references>
      </pivotArea>
    </format>
    <format dxfId="59">
      <pivotArea field="0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D72713-E481-42F9-AAFF-9E2AA3163E9F}" name="PivotTable9" cacheId="8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40" firstHeaderRow="0" firstDataRow="1" firstDataCol="1"/>
  <pivotFields count="5">
    <pivotField axis="axisRow" showAll="0" sortType="ascending">
      <items count="23">
        <item x="2"/>
        <item x="3"/>
        <item x="4"/>
        <item x="5"/>
        <item x="6"/>
        <item x="8"/>
        <item x="10"/>
        <item x="11"/>
        <item x="12"/>
        <item x="14"/>
        <item x="16"/>
        <item x="18"/>
        <item x="19"/>
        <item x="20"/>
        <item h="1" x="0"/>
        <item x="1"/>
        <item x="7"/>
        <item x="9"/>
        <item x="13"/>
        <item x="15"/>
        <item x="17"/>
        <item x="2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22">
    <i>
      <x v="17"/>
    </i>
    <i>
      <x v="5"/>
    </i>
    <i>
      <x v="16"/>
    </i>
    <i>
      <x v="10"/>
    </i>
    <i>
      <x/>
    </i>
    <i>
      <x v="6"/>
    </i>
    <i>
      <x v="2"/>
    </i>
    <i>
      <x v="11"/>
    </i>
    <i>
      <x v="9"/>
    </i>
    <i>
      <x v="8"/>
    </i>
    <i>
      <x v="19"/>
    </i>
    <i>
      <x v="18"/>
    </i>
    <i>
      <x v="7"/>
    </i>
    <i>
      <x v="3"/>
    </i>
    <i>
      <x v="12"/>
    </i>
    <i>
      <x v="13"/>
    </i>
    <i>
      <x v="20"/>
    </i>
    <i>
      <x v="4"/>
    </i>
    <i>
      <x v="1"/>
    </i>
    <i>
      <x v="21"/>
    </i>
    <i>
      <x v="1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1">
    <format dxfId="4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B8034B-1572-4492-BA76-362ABA303DB2}" name="PivotTable4" cacheId="9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37" firstHeaderRow="0" firstDataRow="1" firstDataCol="1"/>
  <pivotFields count="5">
    <pivotField axis="axisRow" showAll="0" sortType="ascending">
      <items count="20">
        <item x="1"/>
        <item x="2"/>
        <item x="9"/>
        <item x="8"/>
        <item x="11"/>
        <item x="7"/>
        <item x="3"/>
        <item x="10"/>
        <item x="17"/>
        <item h="1" x="0"/>
        <item x="6"/>
        <item x="16"/>
        <item x="5"/>
        <item x="18"/>
        <item x="4"/>
        <item x="12"/>
        <item x="13"/>
        <item x="14"/>
        <item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19">
    <i>
      <x v="15"/>
    </i>
    <i>
      <x v="17"/>
    </i>
    <i>
      <x v="12"/>
    </i>
    <i>
      <x v="8"/>
    </i>
    <i>
      <x v="5"/>
    </i>
    <i>
      <x v="18"/>
    </i>
    <i>
      <x v="7"/>
    </i>
    <i>
      <x v="11"/>
    </i>
    <i>
      <x v="4"/>
    </i>
    <i>
      <x v="14"/>
    </i>
    <i>
      <x v="1"/>
    </i>
    <i>
      <x v="13"/>
    </i>
    <i>
      <x v="16"/>
    </i>
    <i>
      <x v="6"/>
    </i>
    <i>
      <x v="10"/>
    </i>
    <i>
      <x/>
    </i>
    <i>
      <x v="3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7">
    <format dxfId="3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2">
      <pivotArea outline="0" collapsedLevelsAreSubtotals="1" fieldPosition="0"/>
    </format>
    <format dxfId="31">
      <pivotArea dataOnly="0" labelOnly="1" fieldPosition="0">
        <references count="1">
          <reference field="0" count="0"/>
        </references>
      </pivotArea>
    </format>
    <format dxfId="30">
      <pivotArea dataOnly="0" labelOnly="1" grandRow="1" outline="0" fieldPosition="0"/>
    </format>
    <format dxfId="29">
      <pivotArea outline="0" collapsedLevelsAreSubtotals="1" fieldPosition="0"/>
    </format>
    <format dxfId="28">
      <pivotArea dataOnly="0" labelOnly="1" fieldPosition="0">
        <references count="1">
          <reference field="0" count="0"/>
        </references>
      </pivotArea>
    </format>
    <format dxfId="27">
      <pivotArea dataOnly="0" labelOnly="1" grandRow="1" outline="0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C4ABD1-6087-421C-AAEE-A603C2964871}" name="PivotTable3" cacheId="9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36" firstHeaderRow="0" firstDataRow="1" firstDataCol="1"/>
  <pivotFields count="5">
    <pivotField axis="axisRow" showAll="0" sortType="ascending">
      <items count="20">
        <item x="6"/>
        <item h="1" x="0"/>
        <item x="1"/>
        <item x="2"/>
        <item x="3"/>
        <item x="4"/>
        <item x="5"/>
        <item x="7"/>
        <item x="8"/>
        <item x="9"/>
        <item m="1" x="18"/>
        <item x="10"/>
        <item x="11"/>
        <item x="12"/>
        <item x="13"/>
        <item x="14"/>
        <item x="15"/>
        <item x="16"/>
        <item x="1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18">
    <i>
      <x v="16"/>
    </i>
    <i>
      <x v="13"/>
    </i>
    <i>
      <x v="2"/>
    </i>
    <i>
      <x v="18"/>
    </i>
    <i>
      <x v="6"/>
    </i>
    <i>
      <x v="14"/>
    </i>
    <i>
      <x v="12"/>
    </i>
    <i>
      <x v="7"/>
    </i>
    <i>
      <x v="9"/>
    </i>
    <i>
      <x v="4"/>
    </i>
    <i>
      <x v="17"/>
    </i>
    <i>
      <x v="15"/>
    </i>
    <i>
      <x v="5"/>
    </i>
    <i>
      <x/>
    </i>
    <i>
      <x v="11"/>
    </i>
    <i>
      <x v="8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1">
    <format dxfId="1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930B79-51E4-4A1A-92D7-2BBFC1ACA917}" name="PivotTable1" cacheId="9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41" firstHeaderRow="0" firstDataRow="1" firstDataCol="1"/>
  <pivotFields count="5">
    <pivotField axis="axisRow" showAll="0" sortType="ascending">
      <items count="24">
        <item x="2"/>
        <item x="3"/>
        <item x="5"/>
        <item x="4"/>
        <item x="6"/>
        <item x="7"/>
        <item x="8"/>
        <item x="9"/>
        <item x="10"/>
        <item x="13"/>
        <item x="14"/>
        <item x="19"/>
        <item h="1" x="0"/>
        <item x="15"/>
        <item x="1"/>
        <item x="12"/>
        <item x="11"/>
        <item x="16"/>
        <item x="17"/>
        <item x="18"/>
        <item x="20"/>
        <item x="21"/>
        <item x="2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23">
    <i>
      <x v="14"/>
    </i>
    <i>
      <x v="20"/>
    </i>
    <i>
      <x v="7"/>
    </i>
    <i>
      <x v="9"/>
    </i>
    <i>
      <x v="3"/>
    </i>
    <i>
      <x v="21"/>
    </i>
    <i>
      <x v="2"/>
    </i>
    <i>
      <x v="18"/>
    </i>
    <i>
      <x v="17"/>
    </i>
    <i>
      <x v="8"/>
    </i>
    <i>
      <x v="4"/>
    </i>
    <i>
      <x v="5"/>
    </i>
    <i>
      <x v="6"/>
    </i>
    <i>
      <x v="15"/>
    </i>
    <i>
      <x v="19"/>
    </i>
    <i>
      <x/>
    </i>
    <i>
      <x v="22"/>
    </i>
    <i>
      <x v="11"/>
    </i>
    <i>
      <x v="10"/>
    </i>
    <i>
      <x v="1"/>
    </i>
    <i>
      <x v="16"/>
    </i>
    <i>
      <x v="1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64"/>
    <dataField name="Sum of KL/KLTB21_x000a_phiên" fld="4" baseField="0" baseItem="0" numFmtId="2"/>
  </dataFields>
  <formats count="2">
    <format dxfId="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D991F1-0516-496F-9996-5C93ADC1BAAC}" name="Table1" displayName="Table1" ref="A10:I45" headerRowCount="0" totalsRowShown="0" headerRowDxfId="396" dataDxfId="394" headerRowBorderDxfId="395" tableBorderDxfId="393">
  <tableColumns count="9">
    <tableColumn id="1" xr3:uid="{2B26B0B1-2224-4668-94A7-CF551E775D84}" name="TÊN CHỈ TIÊU" headerRowDxfId="392" dataDxfId="391"/>
    <tableColumn id="2" xr3:uid="{4A32C32A-6613-4B1D-B414-FC93553E83CA}" name="0" headerRowDxfId="390" dataDxfId="389"/>
    <tableColumn id="3" xr3:uid="{E2A9791C-173C-49F5-A63A-64C30A16E410}" name="2022-06-30" headerRowDxfId="388" dataDxfId="387"/>
    <tableColumn id="4" xr3:uid="{59125F14-554F-4644-93F2-1A7985ED2111}" name="2022-09-30" headerRowDxfId="386" dataDxfId="385"/>
    <tableColumn id="5" xr3:uid="{5E87E5E7-6B4C-4CE4-8F69-FD6E8CDF12F7}" name="2022-12-31" headerRowDxfId="384" dataDxfId="383"/>
    <tableColumn id="6" xr3:uid="{49588834-0CA8-42F4-9BCA-581D953D05F4}" name="2023-03-31" headerRowDxfId="382" dataDxfId="381"/>
    <tableColumn id="7" xr3:uid="{C1FD81CC-6F29-49C3-BDBE-AEB762FBBD06}" name="2023-06-30" headerRowDxfId="380" dataDxfId="379"/>
    <tableColumn id="8" xr3:uid="{4D2D4493-8A4B-404F-A5FB-92D33AB98695}" name="2023-09-30" headerRowDxfId="378" dataDxfId="377"/>
    <tableColumn id="9" xr3:uid="{B1C78639-F063-4E20-B67B-AD86937B942E}" name="2023-12-31" headerRowDxfId="376" dataDxfId="375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1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1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1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1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1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7CC88-CB89-411D-8D49-635C7DD921CE}">
  <sheetPr codeName="Sheet6"/>
  <dimension ref="A1:I1608"/>
  <sheetViews>
    <sheetView topLeftCell="A1492" workbookViewId="0">
      <selection activeCell="A1432" sqref="A1432:A1608"/>
    </sheetView>
  </sheetViews>
  <sheetFormatPr defaultRowHeight="15" x14ac:dyDescent="0.2"/>
  <cols>
    <col min="1" max="1" width="7.21875" customWidth="1"/>
    <col min="2" max="2" width="8.109375" customWidth="1"/>
    <col min="3" max="3" width="30.5546875" customWidth="1"/>
    <col min="4" max="4" width="18.44140625" customWidth="1"/>
    <col min="5" max="5" width="11.21875" customWidth="1"/>
    <col min="6" max="6" width="15.77734375" customWidth="1"/>
    <col min="7" max="7" width="30" customWidth="1"/>
    <col min="8" max="8" width="19.33203125" customWidth="1"/>
  </cols>
  <sheetData>
    <row r="1" spans="1:9" x14ac:dyDescent="0.2">
      <c r="B1" t="s">
        <v>16</v>
      </c>
      <c r="C1" t="s">
        <v>126</v>
      </c>
      <c r="D1" t="s">
        <v>127</v>
      </c>
      <c r="E1" t="s">
        <v>128</v>
      </c>
      <c r="F1" t="s">
        <v>129</v>
      </c>
      <c r="G1" t="s">
        <v>130</v>
      </c>
      <c r="H1" t="s">
        <v>131</v>
      </c>
      <c r="I1" t="s">
        <v>132</v>
      </c>
    </row>
    <row r="2" spans="1:9" x14ac:dyDescent="0.2">
      <c r="A2">
        <v>0</v>
      </c>
      <c r="B2" t="s">
        <v>133</v>
      </c>
      <c r="C2" t="s">
        <v>134</v>
      </c>
      <c r="D2" t="s">
        <v>135</v>
      </c>
      <c r="E2" t="s">
        <v>136</v>
      </c>
      <c r="F2">
        <v>6800000</v>
      </c>
      <c r="G2" t="s">
        <v>137</v>
      </c>
      <c r="H2" t="s">
        <v>138</v>
      </c>
      <c r="I2" t="s">
        <v>139</v>
      </c>
    </row>
    <row r="3" spans="1:9" x14ac:dyDescent="0.2">
      <c r="A3">
        <v>1</v>
      </c>
      <c r="B3" t="s">
        <v>140</v>
      </c>
      <c r="C3" t="s">
        <v>141</v>
      </c>
      <c r="D3" t="s">
        <v>142</v>
      </c>
      <c r="E3" t="s">
        <v>143</v>
      </c>
      <c r="F3">
        <v>382274496</v>
      </c>
      <c r="G3" t="s">
        <v>144</v>
      </c>
      <c r="H3" t="s">
        <v>144</v>
      </c>
      <c r="I3" t="s">
        <v>145</v>
      </c>
    </row>
    <row r="4" spans="1:9" x14ac:dyDescent="0.2">
      <c r="A4">
        <v>2</v>
      </c>
      <c r="B4" t="s">
        <v>146</v>
      </c>
      <c r="C4" t="s">
        <v>147</v>
      </c>
      <c r="D4" t="s">
        <v>148</v>
      </c>
      <c r="E4" t="s">
        <v>136</v>
      </c>
      <c r="F4">
        <v>117900000</v>
      </c>
      <c r="G4" t="s">
        <v>149</v>
      </c>
      <c r="H4" t="s">
        <v>150</v>
      </c>
      <c r="I4" t="s">
        <v>145</v>
      </c>
    </row>
    <row r="5" spans="1:9" x14ac:dyDescent="0.2">
      <c r="A5">
        <v>3</v>
      </c>
      <c r="B5" t="s">
        <v>151</v>
      </c>
      <c r="C5" t="s">
        <v>152</v>
      </c>
      <c r="D5" t="s">
        <v>153</v>
      </c>
      <c r="E5" t="s">
        <v>143</v>
      </c>
      <c r="F5">
        <v>12346411</v>
      </c>
      <c r="G5" t="s">
        <v>154</v>
      </c>
      <c r="H5" t="s">
        <v>155</v>
      </c>
      <c r="I5" t="s">
        <v>139</v>
      </c>
    </row>
    <row r="6" spans="1:9" x14ac:dyDescent="0.2">
      <c r="A6">
        <v>4</v>
      </c>
      <c r="B6" t="s">
        <v>156</v>
      </c>
      <c r="C6" t="s">
        <v>157</v>
      </c>
      <c r="D6" t="s">
        <v>158</v>
      </c>
      <c r="E6" t="s">
        <v>136</v>
      </c>
      <c r="F6">
        <v>229999521</v>
      </c>
      <c r="G6" t="s">
        <v>159</v>
      </c>
      <c r="H6" t="s">
        <v>159</v>
      </c>
      <c r="I6" t="s">
        <v>160</v>
      </c>
    </row>
    <row r="7" spans="1:9" x14ac:dyDescent="0.2">
      <c r="A7">
        <v>5</v>
      </c>
      <c r="B7" t="s">
        <v>161</v>
      </c>
      <c r="C7" t="s">
        <v>162</v>
      </c>
      <c r="D7" t="s">
        <v>163</v>
      </c>
      <c r="E7" t="s">
        <v>143</v>
      </c>
      <c r="F7">
        <v>70819103</v>
      </c>
      <c r="G7" t="s">
        <v>137</v>
      </c>
      <c r="H7" t="s">
        <v>138</v>
      </c>
      <c r="I7" t="s">
        <v>139</v>
      </c>
    </row>
    <row r="8" spans="1:9" x14ac:dyDescent="0.2">
      <c r="A8">
        <v>6</v>
      </c>
      <c r="B8" t="s">
        <v>164</v>
      </c>
      <c r="C8" t="s">
        <v>165</v>
      </c>
      <c r="D8" t="s">
        <v>166</v>
      </c>
      <c r="E8" t="s">
        <v>167</v>
      </c>
      <c r="F8">
        <v>68987661</v>
      </c>
      <c r="G8" t="s">
        <v>166</v>
      </c>
      <c r="H8" t="s">
        <v>166</v>
      </c>
      <c r="I8" t="s">
        <v>160</v>
      </c>
    </row>
    <row r="9" spans="1:9" x14ac:dyDescent="0.2">
      <c r="A9">
        <v>7</v>
      </c>
      <c r="B9" t="s">
        <v>168</v>
      </c>
      <c r="C9" t="s">
        <v>169</v>
      </c>
      <c r="D9" t="s">
        <v>170</v>
      </c>
      <c r="E9" t="s">
        <v>136</v>
      </c>
      <c r="F9">
        <v>1035036762</v>
      </c>
      <c r="G9" t="s">
        <v>170</v>
      </c>
      <c r="H9" t="s">
        <v>170</v>
      </c>
      <c r="I9" t="s">
        <v>170</v>
      </c>
    </row>
    <row r="10" spans="1:9" x14ac:dyDescent="0.2">
      <c r="A10">
        <v>8</v>
      </c>
      <c r="B10" t="s">
        <v>171</v>
      </c>
      <c r="C10" t="s">
        <v>172</v>
      </c>
      <c r="D10" t="s">
        <v>173</v>
      </c>
      <c r="E10" t="s">
        <v>136</v>
      </c>
      <c r="F10">
        <v>20393000</v>
      </c>
      <c r="G10" t="s">
        <v>173</v>
      </c>
      <c r="H10" t="s">
        <v>174</v>
      </c>
      <c r="I10" t="s">
        <v>174</v>
      </c>
    </row>
    <row r="11" spans="1:9" x14ac:dyDescent="0.2">
      <c r="A11">
        <v>9</v>
      </c>
      <c r="B11" t="s">
        <v>175</v>
      </c>
      <c r="C11" t="s">
        <v>176</v>
      </c>
      <c r="D11" t="s">
        <v>177</v>
      </c>
      <c r="E11" t="s">
        <v>136</v>
      </c>
      <c r="F11">
        <v>72391750</v>
      </c>
      <c r="G11" t="s">
        <v>177</v>
      </c>
      <c r="H11" t="s">
        <v>178</v>
      </c>
      <c r="I11" t="s">
        <v>160</v>
      </c>
    </row>
    <row r="12" spans="1:9" x14ac:dyDescent="0.2">
      <c r="A12">
        <v>10</v>
      </c>
      <c r="B12" t="s">
        <v>179</v>
      </c>
      <c r="C12" t="s">
        <v>180</v>
      </c>
      <c r="D12" t="s">
        <v>181</v>
      </c>
      <c r="E12" t="s">
        <v>143</v>
      </c>
      <c r="F12">
        <v>20000000</v>
      </c>
      <c r="G12" t="s">
        <v>182</v>
      </c>
      <c r="H12" t="s">
        <v>183</v>
      </c>
      <c r="I12" t="s">
        <v>184</v>
      </c>
    </row>
    <row r="13" spans="1:9" x14ac:dyDescent="0.2">
      <c r="A13">
        <v>11</v>
      </c>
      <c r="B13" t="s">
        <v>185</v>
      </c>
      <c r="C13" t="s">
        <v>186</v>
      </c>
      <c r="D13" t="s">
        <v>293</v>
      </c>
      <c r="E13" t="s">
        <v>143</v>
      </c>
      <c r="F13">
        <v>80000000</v>
      </c>
      <c r="G13" t="s">
        <v>144</v>
      </c>
      <c r="H13" t="s">
        <v>144</v>
      </c>
      <c r="I13" t="s">
        <v>145</v>
      </c>
    </row>
    <row r="14" spans="1:9" x14ac:dyDescent="0.2">
      <c r="A14">
        <v>12</v>
      </c>
      <c r="B14" t="s">
        <v>187</v>
      </c>
      <c r="C14" t="s">
        <v>188</v>
      </c>
      <c r="D14" t="s">
        <v>153</v>
      </c>
      <c r="E14" t="s">
        <v>143</v>
      </c>
      <c r="F14">
        <v>14387207</v>
      </c>
      <c r="G14" t="s">
        <v>154</v>
      </c>
      <c r="H14" t="s">
        <v>155</v>
      </c>
      <c r="I14" t="s">
        <v>139</v>
      </c>
    </row>
    <row r="15" spans="1:9" x14ac:dyDescent="0.2">
      <c r="A15">
        <v>13</v>
      </c>
      <c r="B15" t="s">
        <v>189</v>
      </c>
      <c r="C15" t="s">
        <v>190</v>
      </c>
      <c r="D15" t="s">
        <v>158</v>
      </c>
      <c r="E15" t="s">
        <v>136</v>
      </c>
      <c r="F15">
        <v>101150000</v>
      </c>
      <c r="G15" t="s">
        <v>159</v>
      </c>
      <c r="H15" t="s">
        <v>159</v>
      </c>
      <c r="I15" t="s">
        <v>160</v>
      </c>
    </row>
    <row r="16" spans="1:9" x14ac:dyDescent="0.2">
      <c r="A16">
        <v>14</v>
      </c>
      <c r="B16" t="s">
        <v>118</v>
      </c>
      <c r="C16" t="s">
        <v>191</v>
      </c>
      <c r="D16" t="s">
        <v>170</v>
      </c>
      <c r="E16" t="s">
        <v>143</v>
      </c>
      <c r="F16">
        <v>5136656599</v>
      </c>
      <c r="G16" t="s">
        <v>170</v>
      </c>
      <c r="H16" t="s">
        <v>170</v>
      </c>
      <c r="I16" t="s">
        <v>170</v>
      </c>
    </row>
    <row r="17" spans="1:9" x14ac:dyDescent="0.2">
      <c r="A17">
        <v>15</v>
      </c>
      <c r="B17" t="s">
        <v>192</v>
      </c>
      <c r="C17" t="s">
        <v>193</v>
      </c>
      <c r="D17" t="s">
        <v>194</v>
      </c>
      <c r="E17" t="s">
        <v>143</v>
      </c>
      <c r="F17">
        <v>104999993</v>
      </c>
      <c r="G17" t="s">
        <v>195</v>
      </c>
      <c r="H17" t="s">
        <v>195</v>
      </c>
      <c r="I17" t="s">
        <v>184</v>
      </c>
    </row>
    <row r="18" spans="1:9" x14ac:dyDescent="0.2">
      <c r="A18">
        <v>16</v>
      </c>
      <c r="B18" t="s">
        <v>196</v>
      </c>
      <c r="C18" t="s">
        <v>197</v>
      </c>
      <c r="D18" t="s">
        <v>194</v>
      </c>
      <c r="E18" t="s">
        <v>136</v>
      </c>
      <c r="F18">
        <v>3050781</v>
      </c>
      <c r="G18" t="s">
        <v>195</v>
      </c>
      <c r="H18" t="s">
        <v>195</v>
      </c>
      <c r="I18" t="s">
        <v>184</v>
      </c>
    </row>
    <row r="19" spans="1:9" x14ac:dyDescent="0.2">
      <c r="A19">
        <v>17</v>
      </c>
      <c r="B19" t="s">
        <v>198</v>
      </c>
      <c r="C19" t="s">
        <v>199</v>
      </c>
      <c r="D19" t="s">
        <v>200</v>
      </c>
      <c r="E19" t="s">
        <v>143</v>
      </c>
      <c r="F19">
        <v>150787946</v>
      </c>
      <c r="G19" t="s">
        <v>201</v>
      </c>
      <c r="H19" t="s">
        <v>150</v>
      </c>
      <c r="I19" t="s">
        <v>145</v>
      </c>
    </row>
    <row r="20" spans="1:9" x14ac:dyDescent="0.2">
      <c r="A20">
        <v>18</v>
      </c>
      <c r="B20" t="s">
        <v>202</v>
      </c>
      <c r="C20" t="s">
        <v>203</v>
      </c>
      <c r="D20" t="s">
        <v>153</v>
      </c>
      <c r="E20" t="s">
        <v>143</v>
      </c>
      <c r="F20">
        <v>50159019</v>
      </c>
      <c r="G20" t="s">
        <v>154</v>
      </c>
      <c r="H20" t="s">
        <v>155</v>
      </c>
      <c r="I20" t="s">
        <v>139</v>
      </c>
    </row>
    <row r="21" spans="1:9" x14ac:dyDescent="0.2">
      <c r="A21">
        <v>19</v>
      </c>
      <c r="B21" t="s">
        <v>204</v>
      </c>
      <c r="C21" t="s">
        <v>205</v>
      </c>
      <c r="D21" t="s">
        <v>149</v>
      </c>
      <c r="E21" t="s">
        <v>136</v>
      </c>
      <c r="F21">
        <v>51000000</v>
      </c>
      <c r="G21" t="s">
        <v>149</v>
      </c>
      <c r="H21" t="s">
        <v>150</v>
      </c>
      <c r="I21" t="s">
        <v>145</v>
      </c>
    </row>
    <row r="22" spans="1:9" x14ac:dyDescent="0.2">
      <c r="A22">
        <v>20</v>
      </c>
      <c r="B22" t="s">
        <v>206</v>
      </c>
      <c r="C22" t="s">
        <v>207</v>
      </c>
      <c r="D22" t="s">
        <v>208</v>
      </c>
      <c r="E22" t="s">
        <v>136</v>
      </c>
      <c r="F22">
        <v>5400000</v>
      </c>
      <c r="G22" t="s">
        <v>195</v>
      </c>
      <c r="H22" t="s">
        <v>195</v>
      </c>
      <c r="I22" t="s">
        <v>184</v>
      </c>
    </row>
    <row r="23" spans="1:9" x14ac:dyDescent="0.2">
      <c r="A23">
        <v>21</v>
      </c>
      <c r="B23" t="s">
        <v>209</v>
      </c>
      <c r="C23" t="s">
        <v>210</v>
      </c>
      <c r="D23" t="s">
        <v>211</v>
      </c>
      <c r="E23" t="s">
        <v>136</v>
      </c>
      <c r="F23">
        <v>2177173236</v>
      </c>
      <c r="G23" t="s">
        <v>212</v>
      </c>
      <c r="H23" t="s">
        <v>183</v>
      </c>
      <c r="I23" t="s">
        <v>184</v>
      </c>
    </row>
    <row r="24" spans="1:9" x14ac:dyDescent="0.2">
      <c r="A24">
        <v>22</v>
      </c>
      <c r="B24" t="s">
        <v>213</v>
      </c>
      <c r="C24" t="s">
        <v>214</v>
      </c>
      <c r="D24" t="s">
        <v>215</v>
      </c>
      <c r="E24" t="s">
        <v>167</v>
      </c>
      <c r="F24">
        <v>3977936</v>
      </c>
      <c r="G24" t="s">
        <v>216</v>
      </c>
      <c r="H24" t="s">
        <v>216</v>
      </c>
      <c r="I24" t="s">
        <v>217</v>
      </c>
    </row>
    <row r="25" spans="1:9" x14ac:dyDescent="0.2">
      <c r="A25">
        <v>23</v>
      </c>
      <c r="B25" t="s">
        <v>218</v>
      </c>
      <c r="C25" t="s">
        <v>219</v>
      </c>
      <c r="D25" t="s">
        <v>220</v>
      </c>
      <c r="E25" t="s">
        <v>143</v>
      </c>
      <c r="F25">
        <v>21380521</v>
      </c>
      <c r="G25" t="s">
        <v>216</v>
      </c>
      <c r="H25" t="s">
        <v>216</v>
      </c>
      <c r="I25" t="s">
        <v>217</v>
      </c>
    </row>
    <row r="26" spans="1:9" x14ac:dyDescent="0.2">
      <c r="A26">
        <v>24</v>
      </c>
      <c r="B26" t="s">
        <v>221</v>
      </c>
      <c r="C26" t="s">
        <v>222</v>
      </c>
      <c r="D26" t="s">
        <v>194</v>
      </c>
      <c r="E26" t="s">
        <v>143</v>
      </c>
      <c r="F26">
        <v>23039850</v>
      </c>
      <c r="G26" t="s">
        <v>195</v>
      </c>
      <c r="H26" t="s">
        <v>195</v>
      </c>
      <c r="I26" t="s">
        <v>184</v>
      </c>
    </row>
    <row r="27" spans="1:9" x14ac:dyDescent="0.2">
      <c r="A27">
        <v>25</v>
      </c>
      <c r="B27" t="s">
        <v>223</v>
      </c>
      <c r="C27" t="s">
        <v>224</v>
      </c>
      <c r="D27" t="s">
        <v>163</v>
      </c>
      <c r="E27" t="s">
        <v>143</v>
      </c>
      <c r="F27">
        <v>76394727</v>
      </c>
      <c r="G27" t="s">
        <v>137</v>
      </c>
      <c r="H27" t="s">
        <v>138</v>
      </c>
      <c r="I27" t="s">
        <v>139</v>
      </c>
    </row>
    <row r="28" spans="1:9" x14ac:dyDescent="0.2">
      <c r="A28">
        <v>26</v>
      </c>
      <c r="B28" t="s">
        <v>225</v>
      </c>
      <c r="C28" t="s">
        <v>226</v>
      </c>
      <c r="D28" t="s">
        <v>227</v>
      </c>
      <c r="E28" t="s">
        <v>136</v>
      </c>
      <c r="F28">
        <v>35000000</v>
      </c>
      <c r="G28" t="s">
        <v>228</v>
      </c>
      <c r="H28" t="s">
        <v>229</v>
      </c>
      <c r="I28" t="s">
        <v>217</v>
      </c>
    </row>
    <row r="29" spans="1:9" x14ac:dyDescent="0.2">
      <c r="A29">
        <v>27</v>
      </c>
      <c r="B29" t="s">
        <v>230</v>
      </c>
      <c r="C29" t="s">
        <v>231</v>
      </c>
      <c r="D29" t="s">
        <v>163</v>
      </c>
      <c r="E29" t="s">
        <v>136</v>
      </c>
      <c r="F29">
        <v>4863386</v>
      </c>
      <c r="G29" t="s">
        <v>137</v>
      </c>
      <c r="H29" t="s">
        <v>138</v>
      </c>
      <c r="I29" t="s">
        <v>139</v>
      </c>
    </row>
    <row r="30" spans="1:9" x14ac:dyDescent="0.2">
      <c r="A30">
        <v>28</v>
      </c>
      <c r="B30" t="s">
        <v>232</v>
      </c>
      <c r="C30" t="s">
        <v>233</v>
      </c>
      <c r="D30" t="s">
        <v>153</v>
      </c>
      <c r="E30" t="s">
        <v>136</v>
      </c>
      <c r="F30">
        <v>28109743</v>
      </c>
      <c r="G30" t="s">
        <v>154</v>
      </c>
      <c r="H30" t="s">
        <v>155</v>
      </c>
      <c r="I30" t="s">
        <v>139</v>
      </c>
    </row>
    <row r="31" spans="1:9" x14ac:dyDescent="0.2">
      <c r="A31">
        <v>29</v>
      </c>
      <c r="B31" t="s">
        <v>121</v>
      </c>
      <c r="C31" t="s">
        <v>234</v>
      </c>
      <c r="D31" t="s">
        <v>166</v>
      </c>
      <c r="E31" t="s">
        <v>143</v>
      </c>
      <c r="F31">
        <v>162528081</v>
      </c>
      <c r="G31" t="s">
        <v>166</v>
      </c>
      <c r="H31" t="s">
        <v>166</v>
      </c>
      <c r="I31" t="s">
        <v>160</v>
      </c>
    </row>
    <row r="32" spans="1:9" x14ac:dyDescent="0.2">
      <c r="A32">
        <v>30</v>
      </c>
      <c r="B32" t="s">
        <v>235</v>
      </c>
      <c r="C32" t="s">
        <v>236</v>
      </c>
      <c r="D32" t="s">
        <v>237</v>
      </c>
      <c r="E32" t="s">
        <v>136</v>
      </c>
      <c r="F32">
        <v>18200000</v>
      </c>
      <c r="G32" t="s">
        <v>154</v>
      </c>
      <c r="H32" t="s">
        <v>155</v>
      </c>
      <c r="I32" t="s">
        <v>139</v>
      </c>
    </row>
    <row r="33" spans="1:9" x14ac:dyDescent="0.2">
      <c r="A33">
        <v>31</v>
      </c>
      <c r="B33" t="s">
        <v>238</v>
      </c>
      <c r="C33" t="s">
        <v>239</v>
      </c>
      <c r="D33" t="s">
        <v>240</v>
      </c>
      <c r="E33" t="s">
        <v>136</v>
      </c>
      <c r="F33">
        <v>26615268</v>
      </c>
      <c r="G33" t="s">
        <v>240</v>
      </c>
      <c r="H33" t="s">
        <v>241</v>
      </c>
      <c r="I33" t="s">
        <v>242</v>
      </c>
    </row>
    <row r="34" spans="1:9" x14ac:dyDescent="0.2">
      <c r="A34">
        <v>32</v>
      </c>
      <c r="B34" t="s">
        <v>243</v>
      </c>
      <c r="C34" t="s">
        <v>244</v>
      </c>
      <c r="D34" t="s">
        <v>158</v>
      </c>
      <c r="E34" t="s">
        <v>143</v>
      </c>
      <c r="F34">
        <v>228311823</v>
      </c>
      <c r="G34" t="s">
        <v>159</v>
      </c>
      <c r="H34" t="s">
        <v>159</v>
      </c>
      <c r="I34" t="s">
        <v>160</v>
      </c>
    </row>
    <row r="35" spans="1:9" x14ac:dyDescent="0.2">
      <c r="A35">
        <v>33</v>
      </c>
      <c r="B35" t="s">
        <v>245</v>
      </c>
      <c r="C35" t="s">
        <v>246</v>
      </c>
      <c r="D35" t="s">
        <v>227</v>
      </c>
      <c r="E35" t="s">
        <v>136</v>
      </c>
      <c r="F35">
        <v>10800000</v>
      </c>
      <c r="G35" t="s">
        <v>228</v>
      </c>
      <c r="H35" t="s">
        <v>229</v>
      </c>
      <c r="I35" t="s">
        <v>217</v>
      </c>
    </row>
    <row r="36" spans="1:9" x14ac:dyDescent="0.2">
      <c r="A36">
        <v>34</v>
      </c>
      <c r="B36" t="s">
        <v>247</v>
      </c>
      <c r="C36" t="s">
        <v>248</v>
      </c>
      <c r="D36" t="s">
        <v>177</v>
      </c>
      <c r="E36" t="s">
        <v>136</v>
      </c>
      <c r="F36">
        <v>100000000</v>
      </c>
      <c r="G36" t="s">
        <v>177</v>
      </c>
      <c r="H36" t="s">
        <v>178</v>
      </c>
      <c r="I36" t="s">
        <v>160</v>
      </c>
    </row>
    <row r="37" spans="1:9" x14ac:dyDescent="0.2">
      <c r="A37">
        <v>35</v>
      </c>
      <c r="B37" t="s">
        <v>3199</v>
      </c>
      <c r="C37" t="s">
        <v>3200</v>
      </c>
      <c r="D37" t="s">
        <v>237</v>
      </c>
      <c r="E37" t="s">
        <v>136</v>
      </c>
      <c r="F37">
        <v>170601298</v>
      </c>
      <c r="G37" t="s">
        <v>154</v>
      </c>
      <c r="H37" t="s">
        <v>155</v>
      </c>
      <c r="I37" t="s">
        <v>139</v>
      </c>
    </row>
    <row r="38" spans="1:9" x14ac:dyDescent="0.2">
      <c r="A38">
        <v>36</v>
      </c>
      <c r="B38" t="s">
        <v>249</v>
      </c>
      <c r="C38" t="s">
        <v>250</v>
      </c>
      <c r="D38" t="s">
        <v>215</v>
      </c>
      <c r="E38" t="s">
        <v>167</v>
      </c>
      <c r="F38">
        <v>6172523</v>
      </c>
      <c r="G38" t="s">
        <v>216</v>
      </c>
      <c r="H38" t="s">
        <v>216</v>
      </c>
      <c r="I38" t="s">
        <v>217</v>
      </c>
    </row>
    <row r="39" spans="1:9" x14ac:dyDescent="0.2">
      <c r="A39">
        <v>37</v>
      </c>
      <c r="B39" t="s">
        <v>251</v>
      </c>
      <c r="C39" t="s">
        <v>252</v>
      </c>
      <c r="D39" t="s">
        <v>208</v>
      </c>
      <c r="E39" t="s">
        <v>136</v>
      </c>
      <c r="F39">
        <v>5657936</v>
      </c>
      <c r="G39" t="s">
        <v>195</v>
      </c>
      <c r="H39" t="s">
        <v>195</v>
      </c>
      <c r="I39" t="s">
        <v>184</v>
      </c>
    </row>
    <row r="40" spans="1:9" x14ac:dyDescent="0.2">
      <c r="A40">
        <v>38</v>
      </c>
      <c r="B40" t="s">
        <v>253</v>
      </c>
      <c r="C40" t="s">
        <v>254</v>
      </c>
      <c r="D40" t="s">
        <v>149</v>
      </c>
      <c r="E40" t="s">
        <v>167</v>
      </c>
      <c r="F40">
        <v>2850000</v>
      </c>
      <c r="G40" t="s">
        <v>149</v>
      </c>
      <c r="H40" t="s">
        <v>150</v>
      </c>
      <c r="I40" t="s">
        <v>145</v>
      </c>
    </row>
    <row r="41" spans="1:9" x14ac:dyDescent="0.2">
      <c r="A41">
        <v>39</v>
      </c>
      <c r="B41" t="s">
        <v>255</v>
      </c>
      <c r="C41" t="s">
        <v>256</v>
      </c>
      <c r="D41" t="s">
        <v>166</v>
      </c>
      <c r="E41" t="s">
        <v>136</v>
      </c>
      <c r="F41">
        <v>163504874</v>
      </c>
      <c r="G41" t="s">
        <v>166</v>
      </c>
      <c r="H41" t="s">
        <v>166</v>
      </c>
      <c r="I41" t="s">
        <v>160</v>
      </c>
    </row>
    <row r="42" spans="1:9" x14ac:dyDescent="0.2">
      <c r="A42">
        <v>40</v>
      </c>
      <c r="B42" t="s">
        <v>257</v>
      </c>
      <c r="C42" t="s">
        <v>258</v>
      </c>
      <c r="D42" t="s">
        <v>259</v>
      </c>
      <c r="E42" t="s">
        <v>167</v>
      </c>
      <c r="F42">
        <v>65200000</v>
      </c>
      <c r="G42" t="s">
        <v>260</v>
      </c>
      <c r="H42" t="s">
        <v>183</v>
      </c>
      <c r="I42" t="s">
        <v>184</v>
      </c>
    </row>
    <row r="43" spans="1:9" x14ac:dyDescent="0.2">
      <c r="A43">
        <v>41</v>
      </c>
      <c r="B43" t="s">
        <v>261</v>
      </c>
      <c r="C43" t="s">
        <v>262</v>
      </c>
      <c r="D43" t="s">
        <v>240</v>
      </c>
      <c r="E43" t="s">
        <v>136</v>
      </c>
      <c r="F43">
        <v>13000000</v>
      </c>
      <c r="G43" t="s">
        <v>240</v>
      </c>
      <c r="H43" t="s">
        <v>241</v>
      </c>
      <c r="I43" t="s">
        <v>242</v>
      </c>
    </row>
    <row r="44" spans="1:9" x14ac:dyDescent="0.2">
      <c r="A44">
        <v>42</v>
      </c>
      <c r="B44" t="s">
        <v>263</v>
      </c>
      <c r="C44" t="s">
        <v>264</v>
      </c>
      <c r="D44" t="s">
        <v>265</v>
      </c>
      <c r="E44" t="s">
        <v>136</v>
      </c>
      <c r="F44">
        <v>60000000</v>
      </c>
      <c r="G44" t="s">
        <v>182</v>
      </c>
      <c r="H44" t="s">
        <v>183</v>
      </c>
      <c r="I44" t="s">
        <v>184</v>
      </c>
    </row>
    <row r="45" spans="1:9" x14ac:dyDescent="0.2">
      <c r="A45">
        <v>43</v>
      </c>
      <c r="B45" t="s">
        <v>266</v>
      </c>
      <c r="C45" t="s">
        <v>267</v>
      </c>
      <c r="D45" t="s">
        <v>268</v>
      </c>
      <c r="E45" t="s">
        <v>167</v>
      </c>
      <c r="F45">
        <v>131105650</v>
      </c>
      <c r="G45" t="s">
        <v>269</v>
      </c>
      <c r="H45" t="s">
        <v>241</v>
      </c>
      <c r="I45" t="s">
        <v>242</v>
      </c>
    </row>
    <row r="46" spans="1:9" x14ac:dyDescent="0.2">
      <c r="A46">
        <v>44</v>
      </c>
      <c r="B46" t="s">
        <v>270</v>
      </c>
      <c r="C46" t="s">
        <v>271</v>
      </c>
      <c r="D46" t="s">
        <v>237</v>
      </c>
      <c r="E46" t="s">
        <v>136</v>
      </c>
      <c r="F46">
        <v>20503708</v>
      </c>
      <c r="G46" t="s">
        <v>154</v>
      </c>
      <c r="H46" t="s">
        <v>155</v>
      </c>
      <c r="I46" t="s">
        <v>139</v>
      </c>
    </row>
    <row r="47" spans="1:9" x14ac:dyDescent="0.2">
      <c r="A47">
        <v>45</v>
      </c>
      <c r="B47" t="s">
        <v>272</v>
      </c>
      <c r="C47" t="s">
        <v>273</v>
      </c>
      <c r="D47" t="s">
        <v>153</v>
      </c>
      <c r="E47" t="s">
        <v>143</v>
      </c>
      <c r="F47">
        <v>266667500</v>
      </c>
      <c r="G47" t="s">
        <v>154</v>
      </c>
      <c r="H47" t="s">
        <v>155</v>
      </c>
      <c r="I47" t="s">
        <v>139</v>
      </c>
    </row>
    <row r="48" spans="1:9" x14ac:dyDescent="0.2">
      <c r="A48">
        <v>46</v>
      </c>
      <c r="B48" t="s">
        <v>274</v>
      </c>
      <c r="C48" t="s">
        <v>275</v>
      </c>
      <c r="D48" t="s">
        <v>276</v>
      </c>
      <c r="E48" t="s">
        <v>136</v>
      </c>
      <c r="F48">
        <v>20121395</v>
      </c>
      <c r="G48" t="s">
        <v>240</v>
      </c>
      <c r="H48" t="s">
        <v>241</v>
      </c>
      <c r="I48" t="s">
        <v>242</v>
      </c>
    </row>
    <row r="49" spans="1:9" x14ac:dyDescent="0.2">
      <c r="A49">
        <v>47</v>
      </c>
      <c r="B49" t="s">
        <v>277</v>
      </c>
      <c r="C49" t="s">
        <v>278</v>
      </c>
      <c r="D49" t="s">
        <v>237</v>
      </c>
      <c r="E49" t="s">
        <v>136</v>
      </c>
      <c r="F49">
        <v>29770578</v>
      </c>
      <c r="G49" t="s">
        <v>154</v>
      </c>
      <c r="H49" t="s">
        <v>155</v>
      </c>
      <c r="I49" t="s">
        <v>139</v>
      </c>
    </row>
    <row r="50" spans="1:9" x14ac:dyDescent="0.2">
      <c r="A50">
        <v>48</v>
      </c>
      <c r="B50" t="s">
        <v>279</v>
      </c>
      <c r="C50" t="s">
        <v>280</v>
      </c>
      <c r="D50" t="s">
        <v>158</v>
      </c>
      <c r="E50" t="s">
        <v>143</v>
      </c>
      <c r="F50">
        <v>223621942</v>
      </c>
      <c r="G50" t="s">
        <v>159</v>
      </c>
      <c r="H50" t="s">
        <v>159</v>
      </c>
      <c r="I50" t="s">
        <v>160</v>
      </c>
    </row>
    <row r="51" spans="1:9" x14ac:dyDescent="0.2">
      <c r="A51">
        <v>49</v>
      </c>
      <c r="B51" t="s">
        <v>281</v>
      </c>
      <c r="C51" t="s">
        <v>282</v>
      </c>
      <c r="D51" t="s">
        <v>283</v>
      </c>
      <c r="E51" t="s">
        <v>143</v>
      </c>
      <c r="F51">
        <v>243884268</v>
      </c>
      <c r="G51" t="s">
        <v>284</v>
      </c>
      <c r="H51" t="s">
        <v>183</v>
      </c>
      <c r="I51" t="s">
        <v>184</v>
      </c>
    </row>
    <row r="52" spans="1:9" x14ac:dyDescent="0.2">
      <c r="A52">
        <v>50</v>
      </c>
      <c r="B52" t="s">
        <v>285</v>
      </c>
      <c r="C52" t="s">
        <v>286</v>
      </c>
      <c r="D52" t="s">
        <v>166</v>
      </c>
      <c r="E52" t="s">
        <v>167</v>
      </c>
      <c r="F52">
        <v>84083976</v>
      </c>
      <c r="G52" t="s">
        <v>166</v>
      </c>
      <c r="H52" t="s">
        <v>166</v>
      </c>
      <c r="I52" t="s">
        <v>160</v>
      </c>
    </row>
    <row r="53" spans="1:9" x14ac:dyDescent="0.2">
      <c r="A53">
        <v>51</v>
      </c>
      <c r="B53" t="s">
        <v>287</v>
      </c>
      <c r="C53" t="s">
        <v>288</v>
      </c>
      <c r="D53" t="s">
        <v>289</v>
      </c>
      <c r="E53" t="s">
        <v>136</v>
      </c>
      <c r="F53">
        <v>1200000</v>
      </c>
      <c r="G53" t="s">
        <v>290</v>
      </c>
      <c r="H53" t="s">
        <v>183</v>
      </c>
      <c r="I53" t="s">
        <v>184</v>
      </c>
    </row>
    <row r="54" spans="1:9" x14ac:dyDescent="0.2">
      <c r="A54">
        <v>52</v>
      </c>
      <c r="B54" t="s">
        <v>291</v>
      </c>
      <c r="C54" t="s">
        <v>292</v>
      </c>
      <c r="D54" t="s">
        <v>293</v>
      </c>
      <c r="E54" t="s">
        <v>136</v>
      </c>
      <c r="F54">
        <v>4724632</v>
      </c>
      <c r="G54" t="s">
        <v>144</v>
      </c>
      <c r="H54" t="s">
        <v>144</v>
      </c>
      <c r="I54" t="s">
        <v>145</v>
      </c>
    </row>
    <row r="55" spans="1:9" x14ac:dyDescent="0.2">
      <c r="A55">
        <v>53</v>
      </c>
      <c r="B55" t="s">
        <v>294</v>
      </c>
      <c r="C55" t="s">
        <v>295</v>
      </c>
      <c r="D55" t="s">
        <v>158</v>
      </c>
      <c r="E55" t="s">
        <v>167</v>
      </c>
      <c r="F55">
        <v>83000000</v>
      </c>
      <c r="G55" t="s">
        <v>159</v>
      </c>
      <c r="H55" t="s">
        <v>159</v>
      </c>
      <c r="I55" t="s">
        <v>160</v>
      </c>
    </row>
    <row r="56" spans="1:9" x14ac:dyDescent="0.2">
      <c r="A56">
        <v>54</v>
      </c>
      <c r="B56" t="s">
        <v>296</v>
      </c>
      <c r="C56" t="s">
        <v>297</v>
      </c>
      <c r="D56" t="s">
        <v>153</v>
      </c>
      <c r="E56" t="s">
        <v>136</v>
      </c>
      <c r="F56">
        <v>8800000</v>
      </c>
      <c r="G56" t="s">
        <v>154</v>
      </c>
      <c r="H56" t="s">
        <v>155</v>
      </c>
      <c r="I56" t="s">
        <v>139</v>
      </c>
    </row>
    <row r="57" spans="1:9" x14ac:dyDescent="0.2">
      <c r="A57">
        <v>55</v>
      </c>
      <c r="B57" t="s">
        <v>298</v>
      </c>
      <c r="C57" t="s">
        <v>299</v>
      </c>
      <c r="D57" t="s">
        <v>265</v>
      </c>
      <c r="E57" t="s">
        <v>167</v>
      </c>
      <c r="F57">
        <v>3111283</v>
      </c>
      <c r="G57" t="s">
        <v>182</v>
      </c>
      <c r="H57" t="s">
        <v>183</v>
      </c>
      <c r="I57" t="s">
        <v>184</v>
      </c>
    </row>
    <row r="58" spans="1:9" x14ac:dyDescent="0.2">
      <c r="A58">
        <v>56</v>
      </c>
      <c r="B58" t="s">
        <v>300</v>
      </c>
      <c r="C58" t="s">
        <v>301</v>
      </c>
      <c r="D58" t="s">
        <v>158</v>
      </c>
      <c r="E58" t="s">
        <v>136</v>
      </c>
      <c r="F58">
        <v>96922509</v>
      </c>
      <c r="G58" t="s">
        <v>159</v>
      </c>
      <c r="H58" t="s">
        <v>159</v>
      </c>
      <c r="I58" t="s">
        <v>160</v>
      </c>
    </row>
    <row r="59" spans="1:9" x14ac:dyDescent="0.2">
      <c r="A59">
        <v>57</v>
      </c>
      <c r="B59" t="s">
        <v>302</v>
      </c>
      <c r="C59" t="s">
        <v>303</v>
      </c>
      <c r="D59" t="s">
        <v>137</v>
      </c>
      <c r="E59" t="s">
        <v>136</v>
      </c>
      <c r="F59">
        <v>10000000</v>
      </c>
      <c r="G59" t="s">
        <v>137</v>
      </c>
      <c r="H59" t="s">
        <v>138</v>
      </c>
      <c r="I59" t="s">
        <v>139</v>
      </c>
    </row>
    <row r="60" spans="1:9" x14ac:dyDescent="0.2">
      <c r="A60">
        <v>58</v>
      </c>
      <c r="B60" t="s">
        <v>304</v>
      </c>
      <c r="C60" t="s">
        <v>305</v>
      </c>
      <c r="D60" t="s">
        <v>211</v>
      </c>
      <c r="E60" t="s">
        <v>143</v>
      </c>
      <c r="F60">
        <v>90784669</v>
      </c>
      <c r="G60" t="s">
        <v>212</v>
      </c>
      <c r="H60" t="s">
        <v>183</v>
      </c>
      <c r="I60" t="s">
        <v>184</v>
      </c>
    </row>
    <row r="61" spans="1:9" x14ac:dyDescent="0.2">
      <c r="A61">
        <v>59</v>
      </c>
      <c r="B61" t="s">
        <v>306</v>
      </c>
      <c r="C61" t="s">
        <v>307</v>
      </c>
      <c r="D61" t="s">
        <v>153</v>
      </c>
      <c r="E61" t="s">
        <v>143</v>
      </c>
      <c r="F61">
        <v>370178250</v>
      </c>
      <c r="G61" t="s">
        <v>154</v>
      </c>
      <c r="H61" t="s">
        <v>155</v>
      </c>
      <c r="I61" t="s">
        <v>139</v>
      </c>
    </row>
    <row r="62" spans="1:9" x14ac:dyDescent="0.2">
      <c r="A62">
        <v>60</v>
      </c>
      <c r="B62" t="s">
        <v>308</v>
      </c>
      <c r="C62" t="s">
        <v>309</v>
      </c>
      <c r="D62" t="s">
        <v>310</v>
      </c>
      <c r="E62" t="s">
        <v>143</v>
      </c>
      <c r="F62">
        <v>37339929</v>
      </c>
      <c r="G62" t="s">
        <v>311</v>
      </c>
      <c r="H62" t="s">
        <v>312</v>
      </c>
      <c r="I62" t="s">
        <v>313</v>
      </c>
    </row>
    <row r="63" spans="1:9" x14ac:dyDescent="0.2">
      <c r="A63">
        <v>61</v>
      </c>
      <c r="B63" t="s">
        <v>314</v>
      </c>
      <c r="C63" t="s">
        <v>315</v>
      </c>
      <c r="D63" t="s">
        <v>316</v>
      </c>
      <c r="E63" t="s">
        <v>143</v>
      </c>
      <c r="F63">
        <v>45000000</v>
      </c>
      <c r="G63" t="s">
        <v>229</v>
      </c>
      <c r="H63" t="s">
        <v>229</v>
      </c>
      <c r="I63" t="s">
        <v>217</v>
      </c>
    </row>
    <row r="64" spans="1:9" x14ac:dyDescent="0.2">
      <c r="A64">
        <v>62</v>
      </c>
      <c r="B64" t="s">
        <v>317</v>
      </c>
      <c r="C64" t="s">
        <v>318</v>
      </c>
      <c r="D64" t="s">
        <v>153</v>
      </c>
      <c r="E64" t="s">
        <v>136</v>
      </c>
      <c r="F64">
        <v>11999998</v>
      </c>
      <c r="G64" t="s">
        <v>154</v>
      </c>
      <c r="H64" t="s">
        <v>155</v>
      </c>
      <c r="I64" t="s">
        <v>139</v>
      </c>
    </row>
    <row r="65" spans="1:9" x14ac:dyDescent="0.2">
      <c r="A65">
        <v>63</v>
      </c>
      <c r="B65" t="s">
        <v>319</v>
      </c>
      <c r="C65" t="s">
        <v>320</v>
      </c>
      <c r="D65" t="s">
        <v>208</v>
      </c>
      <c r="E65" t="s">
        <v>136</v>
      </c>
      <c r="F65">
        <v>13884000</v>
      </c>
      <c r="G65" t="s">
        <v>195</v>
      </c>
      <c r="H65" t="s">
        <v>195</v>
      </c>
      <c r="I65" t="s">
        <v>184</v>
      </c>
    </row>
    <row r="66" spans="1:9" x14ac:dyDescent="0.2">
      <c r="A66">
        <v>64</v>
      </c>
      <c r="B66" t="s">
        <v>321</v>
      </c>
      <c r="C66" t="s">
        <v>322</v>
      </c>
      <c r="D66" t="s">
        <v>149</v>
      </c>
      <c r="E66" t="s">
        <v>136</v>
      </c>
      <c r="F66">
        <v>15220000</v>
      </c>
      <c r="G66" t="s">
        <v>149</v>
      </c>
      <c r="H66" t="s">
        <v>150</v>
      </c>
      <c r="I66" t="s">
        <v>145</v>
      </c>
    </row>
    <row r="67" spans="1:9" x14ac:dyDescent="0.2">
      <c r="A67">
        <v>65</v>
      </c>
      <c r="B67" t="s">
        <v>323</v>
      </c>
      <c r="C67" t="s">
        <v>324</v>
      </c>
      <c r="D67" t="s">
        <v>325</v>
      </c>
      <c r="E67" t="s">
        <v>167</v>
      </c>
      <c r="F67">
        <v>3500000</v>
      </c>
      <c r="G67" t="s">
        <v>326</v>
      </c>
      <c r="H67" t="s">
        <v>327</v>
      </c>
      <c r="I67" t="s">
        <v>217</v>
      </c>
    </row>
    <row r="68" spans="1:9" x14ac:dyDescent="0.2">
      <c r="A68">
        <v>66</v>
      </c>
      <c r="B68" t="s">
        <v>328</v>
      </c>
      <c r="C68" t="s">
        <v>329</v>
      </c>
      <c r="D68" t="s">
        <v>330</v>
      </c>
      <c r="E68" t="s">
        <v>136</v>
      </c>
      <c r="F68">
        <v>75052052</v>
      </c>
      <c r="G68" t="s">
        <v>330</v>
      </c>
      <c r="H68" t="s">
        <v>312</v>
      </c>
      <c r="I68" t="s">
        <v>313</v>
      </c>
    </row>
    <row r="69" spans="1:9" x14ac:dyDescent="0.2">
      <c r="A69">
        <v>67</v>
      </c>
      <c r="B69" t="s">
        <v>331</v>
      </c>
      <c r="C69" t="s">
        <v>332</v>
      </c>
      <c r="D69" t="s">
        <v>153</v>
      </c>
      <c r="E69" t="s">
        <v>136</v>
      </c>
      <c r="F69">
        <v>43338000</v>
      </c>
      <c r="G69" t="s">
        <v>154</v>
      </c>
      <c r="H69" t="s">
        <v>155</v>
      </c>
      <c r="I69" t="s">
        <v>139</v>
      </c>
    </row>
    <row r="70" spans="1:9" x14ac:dyDescent="0.2">
      <c r="A70">
        <v>68</v>
      </c>
      <c r="B70" t="s">
        <v>2977</v>
      </c>
      <c r="C70" t="s">
        <v>2978</v>
      </c>
      <c r="D70" t="s">
        <v>293</v>
      </c>
      <c r="E70" t="s">
        <v>136</v>
      </c>
      <c r="F70">
        <v>17679982</v>
      </c>
      <c r="G70" t="s">
        <v>144</v>
      </c>
      <c r="H70" t="s">
        <v>144</v>
      </c>
      <c r="I70" t="s">
        <v>145</v>
      </c>
    </row>
    <row r="71" spans="1:9" x14ac:dyDescent="0.2">
      <c r="A71">
        <v>69</v>
      </c>
      <c r="B71" t="s">
        <v>333</v>
      </c>
      <c r="C71" t="s">
        <v>334</v>
      </c>
      <c r="D71" t="s">
        <v>170</v>
      </c>
      <c r="E71" t="s">
        <v>167</v>
      </c>
      <c r="F71">
        <v>958021843</v>
      </c>
      <c r="G71" t="s">
        <v>170</v>
      </c>
      <c r="H71" t="s">
        <v>170</v>
      </c>
      <c r="I71" t="s">
        <v>170</v>
      </c>
    </row>
    <row r="72" spans="1:9" x14ac:dyDescent="0.2">
      <c r="A72">
        <v>70</v>
      </c>
      <c r="B72" t="s">
        <v>335</v>
      </c>
      <c r="C72" t="s">
        <v>336</v>
      </c>
      <c r="D72" t="s">
        <v>153</v>
      </c>
      <c r="E72" t="s">
        <v>143</v>
      </c>
      <c r="F72">
        <v>304021642</v>
      </c>
      <c r="G72" t="s">
        <v>154</v>
      </c>
      <c r="H72" t="s">
        <v>155</v>
      </c>
      <c r="I72" t="s">
        <v>139</v>
      </c>
    </row>
    <row r="73" spans="1:9" x14ac:dyDescent="0.2">
      <c r="A73">
        <v>71</v>
      </c>
      <c r="B73" t="s">
        <v>337</v>
      </c>
      <c r="C73" t="s">
        <v>338</v>
      </c>
      <c r="D73" t="s">
        <v>283</v>
      </c>
      <c r="E73" t="s">
        <v>136</v>
      </c>
      <c r="F73">
        <v>2000000</v>
      </c>
      <c r="G73" t="s">
        <v>284</v>
      </c>
      <c r="H73" t="s">
        <v>183</v>
      </c>
      <c r="I73" t="s">
        <v>184</v>
      </c>
    </row>
    <row r="74" spans="1:9" x14ac:dyDescent="0.2">
      <c r="A74">
        <v>72</v>
      </c>
      <c r="B74" t="s">
        <v>339</v>
      </c>
      <c r="C74" t="s">
        <v>340</v>
      </c>
      <c r="D74" t="s">
        <v>208</v>
      </c>
      <c r="E74" t="s">
        <v>167</v>
      </c>
      <c r="F74">
        <v>8200000</v>
      </c>
      <c r="G74" t="s">
        <v>195</v>
      </c>
      <c r="H74" t="s">
        <v>195</v>
      </c>
      <c r="I74" t="s">
        <v>184</v>
      </c>
    </row>
    <row r="75" spans="1:9" x14ac:dyDescent="0.2">
      <c r="A75">
        <v>73</v>
      </c>
      <c r="B75" t="s">
        <v>341</v>
      </c>
      <c r="C75" t="s">
        <v>342</v>
      </c>
      <c r="D75" t="s">
        <v>237</v>
      </c>
      <c r="E75" t="s">
        <v>143</v>
      </c>
      <c r="F75">
        <v>18752687</v>
      </c>
      <c r="G75" t="s">
        <v>154</v>
      </c>
      <c r="H75" t="s">
        <v>155</v>
      </c>
      <c r="I75" t="s">
        <v>139</v>
      </c>
    </row>
    <row r="76" spans="1:9" x14ac:dyDescent="0.2">
      <c r="A76">
        <v>74</v>
      </c>
      <c r="B76" t="s">
        <v>343</v>
      </c>
      <c r="C76" t="s">
        <v>344</v>
      </c>
      <c r="D76" t="s">
        <v>283</v>
      </c>
      <c r="E76" t="s">
        <v>136</v>
      </c>
      <c r="F76">
        <v>2047932</v>
      </c>
      <c r="G76" t="s">
        <v>284</v>
      </c>
      <c r="H76" t="s">
        <v>183</v>
      </c>
      <c r="I76" t="s">
        <v>184</v>
      </c>
    </row>
    <row r="77" spans="1:9" x14ac:dyDescent="0.2">
      <c r="A77">
        <v>75</v>
      </c>
      <c r="B77" t="s">
        <v>345</v>
      </c>
      <c r="C77" t="s">
        <v>346</v>
      </c>
      <c r="D77" t="s">
        <v>347</v>
      </c>
      <c r="E77" t="s">
        <v>136</v>
      </c>
      <c r="F77">
        <v>2000000</v>
      </c>
      <c r="G77" t="s">
        <v>348</v>
      </c>
      <c r="H77" t="s">
        <v>155</v>
      </c>
      <c r="I77" t="s">
        <v>139</v>
      </c>
    </row>
    <row r="78" spans="1:9" x14ac:dyDescent="0.2">
      <c r="A78">
        <v>76</v>
      </c>
      <c r="B78" t="s">
        <v>349</v>
      </c>
      <c r="C78" t="s">
        <v>350</v>
      </c>
      <c r="D78" t="s">
        <v>283</v>
      </c>
      <c r="E78" t="s">
        <v>167</v>
      </c>
      <c r="F78">
        <v>6000000</v>
      </c>
      <c r="G78" t="s">
        <v>284</v>
      </c>
      <c r="H78" t="s">
        <v>183</v>
      </c>
      <c r="I78" t="s">
        <v>184</v>
      </c>
    </row>
    <row r="79" spans="1:9" x14ac:dyDescent="0.2">
      <c r="A79">
        <v>77</v>
      </c>
      <c r="B79" t="s">
        <v>351</v>
      </c>
      <c r="C79" t="s">
        <v>352</v>
      </c>
      <c r="D79" t="s">
        <v>137</v>
      </c>
      <c r="E79" t="s">
        <v>136</v>
      </c>
      <c r="F79">
        <v>9800000</v>
      </c>
      <c r="G79" t="s">
        <v>137</v>
      </c>
      <c r="H79" t="s">
        <v>138</v>
      </c>
      <c r="I79" t="s">
        <v>139</v>
      </c>
    </row>
    <row r="80" spans="1:9" x14ac:dyDescent="0.2">
      <c r="A80">
        <v>78</v>
      </c>
      <c r="B80" t="s">
        <v>353</v>
      </c>
      <c r="C80" t="s">
        <v>354</v>
      </c>
      <c r="D80" t="s">
        <v>355</v>
      </c>
      <c r="E80" t="s">
        <v>136</v>
      </c>
      <c r="F80">
        <v>50000000</v>
      </c>
      <c r="G80" t="s">
        <v>356</v>
      </c>
      <c r="H80" t="s">
        <v>150</v>
      </c>
      <c r="I80" t="s">
        <v>145</v>
      </c>
    </row>
    <row r="81" spans="1:9" x14ac:dyDescent="0.2">
      <c r="A81">
        <v>79</v>
      </c>
      <c r="B81" t="s">
        <v>357</v>
      </c>
      <c r="C81" t="s">
        <v>358</v>
      </c>
      <c r="D81" t="s">
        <v>148</v>
      </c>
      <c r="E81" t="s">
        <v>136</v>
      </c>
      <c r="F81">
        <v>5700000</v>
      </c>
      <c r="G81" t="s">
        <v>149</v>
      </c>
      <c r="H81" t="s">
        <v>150</v>
      </c>
      <c r="I81" t="s">
        <v>145</v>
      </c>
    </row>
    <row r="82" spans="1:9" x14ac:dyDescent="0.2">
      <c r="A82">
        <v>80</v>
      </c>
      <c r="B82" t="s">
        <v>359</v>
      </c>
      <c r="C82" t="s">
        <v>360</v>
      </c>
      <c r="D82" t="s">
        <v>194</v>
      </c>
      <c r="E82" t="s">
        <v>167</v>
      </c>
      <c r="F82">
        <v>123209812</v>
      </c>
      <c r="G82" t="s">
        <v>195</v>
      </c>
      <c r="H82" t="s">
        <v>195</v>
      </c>
      <c r="I82" t="s">
        <v>184</v>
      </c>
    </row>
    <row r="83" spans="1:9" x14ac:dyDescent="0.2">
      <c r="A83">
        <v>81</v>
      </c>
      <c r="B83" t="s">
        <v>361</v>
      </c>
      <c r="C83" t="s">
        <v>362</v>
      </c>
      <c r="D83" t="s">
        <v>208</v>
      </c>
      <c r="E83" t="s">
        <v>143</v>
      </c>
      <c r="F83">
        <v>35000000</v>
      </c>
      <c r="G83" t="s">
        <v>195</v>
      </c>
      <c r="H83" t="s">
        <v>195</v>
      </c>
      <c r="I83" t="s">
        <v>184</v>
      </c>
    </row>
    <row r="84" spans="1:9" x14ac:dyDescent="0.2">
      <c r="A84">
        <v>82</v>
      </c>
      <c r="B84" t="s">
        <v>363</v>
      </c>
      <c r="C84" t="s">
        <v>364</v>
      </c>
      <c r="D84" t="s">
        <v>237</v>
      </c>
      <c r="E84" t="s">
        <v>167</v>
      </c>
      <c r="F84">
        <v>37964770</v>
      </c>
      <c r="G84" t="s">
        <v>154</v>
      </c>
      <c r="H84" t="s">
        <v>155</v>
      </c>
      <c r="I84" t="s">
        <v>139</v>
      </c>
    </row>
    <row r="85" spans="1:9" x14ac:dyDescent="0.2">
      <c r="A85">
        <v>83</v>
      </c>
      <c r="B85" t="s">
        <v>365</v>
      </c>
      <c r="C85" t="s">
        <v>366</v>
      </c>
      <c r="D85" t="s">
        <v>367</v>
      </c>
      <c r="E85" t="s">
        <v>143</v>
      </c>
      <c r="F85">
        <v>880210644</v>
      </c>
      <c r="G85" t="s">
        <v>159</v>
      </c>
      <c r="H85" t="s">
        <v>159</v>
      </c>
      <c r="I85" t="s">
        <v>160</v>
      </c>
    </row>
    <row r="86" spans="1:9" x14ac:dyDescent="0.2">
      <c r="A86">
        <v>84</v>
      </c>
      <c r="B86" t="s">
        <v>368</v>
      </c>
      <c r="C86" t="s">
        <v>369</v>
      </c>
      <c r="D86" t="s">
        <v>166</v>
      </c>
      <c r="E86" t="s">
        <v>143</v>
      </c>
      <c r="F86">
        <v>1035000000</v>
      </c>
      <c r="G86" t="s">
        <v>166</v>
      </c>
      <c r="H86" t="s">
        <v>166</v>
      </c>
      <c r="I86" t="s">
        <v>160</v>
      </c>
    </row>
    <row r="87" spans="1:9" x14ac:dyDescent="0.2">
      <c r="A87">
        <v>85</v>
      </c>
      <c r="B87" t="s">
        <v>370</v>
      </c>
      <c r="C87" t="s">
        <v>371</v>
      </c>
      <c r="D87" t="s">
        <v>240</v>
      </c>
      <c r="E87" t="s">
        <v>136</v>
      </c>
      <c r="F87">
        <v>6000000</v>
      </c>
      <c r="G87" t="s">
        <v>240</v>
      </c>
      <c r="H87" t="s">
        <v>241</v>
      </c>
      <c r="I87" t="s">
        <v>242</v>
      </c>
    </row>
    <row r="88" spans="1:9" x14ac:dyDescent="0.2">
      <c r="A88">
        <v>86</v>
      </c>
      <c r="B88" t="s">
        <v>372</v>
      </c>
      <c r="C88" t="s">
        <v>373</v>
      </c>
      <c r="D88" t="s">
        <v>208</v>
      </c>
      <c r="E88" t="s">
        <v>136</v>
      </c>
      <c r="F88">
        <v>473799913</v>
      </c>
      <c r="G88" t="s">
        <v>195</v>
      </c>
      <c r="H88" t="s">
        <v>195</v>
      </c>
      <c r="I88" t="s">
        <v>184</v>
      </c>
    </row>
    <row r="89" spans="1:9" x14ac:dyDescent="0.2">
      <c r="A89">
        <v>87</v>
      </c>
      <c r="B89" t="s">
        <v>374</v>
      </c>
      <c r="C89" t="s">
        <v>375</v>
      </c>
      <c r="D89" t="s">
        <v>376</v>
      </c>
      <c r="E89" t="s">
        <v>136</v>
      </c>
      <c r="F89">
        <v>1800000</v>
      </c>
      <c r="G89" t="s">
        <v>326</v>
      </c>
      <c r="H89" t="s">
        <v>327</v>
      </c>
      <c r="I89" t="s">
        <v>217</v>
      </c>
    </row>
    <row r="90" spans="1:9" x14ac:dyDescent="0.2">
      <c r="A90">
        <v>88</v>
      </c>
      <c r="B90" t="s">
        <v>377</v>
      </c>
      <c r="C90" t="s">
        <v>378</v>
      </c>
      <c r="D90" t="s">
        <v>163</v>
      </c>
      <c r="E90" t="s">
        <v>136</v>
      </c>
      <c r="F90">
        <v>24799920</v>
      </c>
      <c r="G90" t="s">
        <v>137</v>
      </c>
      <c r="H90" t="s">
        <v>138</v>
      </c>
      <c r="I90" t="s">
        <v>139</v>
      </c>
    </row>
    <row r="91" spans="1:9" x14ac:dyDescent="0.2">
      <c r="A91">
        <v>89</v>
      </c>
      <c r="B91" t="s">
        <v>379</v>
      </c>
      <c r="C91" t="s">
        <v>380</v>
      </c>
      <c r="D91" t="s">
        <v>194</v>
      </c>
      <c r="E91" t="s">
        <v>136</v>
      </c>
      <c r="F91">
        <v>38600000</v>
      </c>
      <c r="G91" t="s">
        <v>195</v>
      </c>
      <c r="H91" t="s">
        <v>195</v>
      </c>
      <c r="I91" t="s">
        <v>184</v>
      </c>
    </row>
    <row r="92" spans="1:9" x14ac:dyDescent="0.2">
      <c r="A92">
        <v>90</v>
      </c>
      <c r="B92" t="s">
        <v>381</v>
      </c>
      <c r="C92" t="s">
        <v>382</v>
      </c>
      <c r="D92" t="s">
        <v>383</v>
      </c>
      <c r="E92" t="s">
        <v>136</v>
      </c>
      <c r="F92">
        <v>12410800</v>
      </c>
      <c r="G92" t="s">
        <v>311</v>
      </c>
      <c r="H92" t="s">
        <v>312</v>
      </c>
      <c r="I92" t="s">
        <v>313</v>
      </c>
    </row>
    <row r="93" spans="1:9" x14ac:dyDescent="0.2">
      <c r="A93">
        <v>91</v>
      </c>
      <c r="B93" t="s">
        <v>384</v>
      </c>
      <c r="C93" t="s">
        <v>385</v>
      </c>
      <c r="D93" t="s">
        <v>215</v>
      </c>
      <c r="E93" t="s">
        <v>167</v>
      </c>
      <c r="F93">
        <v>3000000</v>
      </c>
      <c r="G93" t="s">
        <v>216</v>
      </c>
      <c r="H93" t="s">
        <v>216</v>
      </c>
      <c r="I93" t="s">
        <v>217</v>
      </c>
    </row>
    <row r="94" spans="1:9" x14ac:dyDescent="0.2">
      <c r="A94">
        <v>92</v>
      </c>
      <c r="B94" t="s">
        <v>386</v>
      </c>
      <c r="C94" t="s">
        <v>387</v>
      </c>
      <c r="D94" t="s">
        <v>388</v>
      </c>
      <c r="E94" t="s">
        <v>136</v>
      </c>
      <c r="F94">
        <v>6000000</v>
      </c>
      <c r="G94" t="s">
        <v>389</v>
      </c>
      <c r="H94" t="s">
        <v>138</v>
      </c>
      <c r="I94" t="s">
        <v>139</v>
      </c>
    </row>
    <row r="95" spans="1:9" x14ac:dyDescent="0.2">
      <c r="A95">
        <v>93</v>
      </c>
      <c r="B95" t="s">
        <v>390</v>
      </c>
      <c r="C95" t="s">
        <v>391</v>
      </c>
      <c r="D95" t="s">
        <v>293</v>
      </c>
      <c r="E95" t="s">
        <v>143</v>
      </c>
      <c r="F95">
        <v>57167993</v>
      </c>
      <c r="G95" t="s">
        <v>144</v>
      </c>
      <c r="H95" t="s">
        <v>144</v>
      </c>
      <c r="I95" t="s">
        <v>145</v>
      </c>
    </row>
    <row r="96" spans="1:9" x14ac:dyDescent="0.2">
      <c r="A96">
        <v>94</v>
      </c>
      <c r="B96" t="s">
        <v>2979</v>
      </c>
      <c r="C96" t="s">
        <v>2980</v>
      </c>
      <c r="D96" t="s">
        <v>330</v>
      </c>
      <c r="E96" t="s">
        <v>136</v>
      </c>
      <c r="F96">
        <v>730000000</v>
      </c>
      <c r="G96" t="s">
        <v>330</v>
      </c>
      <c r="H96" t="s">
        <v>312</v>
      </c>
      <c r="I96" t="s">
        <v>313</v>
      </c>
    </row>
    <row r="97" spans="1:9" x14ac:dyDescent="0.2">
      <c r="A97">
        <v>95</v>
      </c>
      <c r="B97" t="s">
        <v>392</v>
      </c>
      <c r="C97" t="s">
        <v>393</v>
      </c>
      <c r="D97" t="s">
        <v>383</v>
      </c>
      <c r="E97" t="s">
        <v>136</v>
      </c>
      <c r="F97">
        <v>18149446</v>
      </c>
      <c r="G97" t="s">
        <v>311</v>
      </c>
      <c r="H97" t="s">
        <v>312</v>
      </c>
      <c r="I97" t="s">
        <v>313</v>
      </c>
    </row>
    <row r="98" spans="1:9" x14ac:dyDescent="0.2">
      <c r="A98">
        <v>96</v>
      </c>
      <c r="B98" t="s">
        <v>394</v>
      </c>
      <c r="C98" t="s">
        <v>395</v>
      </c>
      <c r="D98" t="s">
        <v>330</v>
      </c>
      <c r="E98" t="s">
        <v>136</v>
      </c>
      <c r="F98">
        <v>66000000</v>
      </c>
      <c r="G98" t="s">
        <v>330</v>
      </c>
      <c r="H98" t="s">
        <v>312</v>
      </c>
      <c r="I98" t="s">
        <v>313</v>
      </c>
    </row>
    <row r="99" spans="1:9" x14ac:dyDescent="0.2">
      <c r="A99">
        <v>97</v>
      </c>
      <c r="B99" t="s">
        <v>396</v>
      </c>
      <c r="C99" t="s">
        <v>397</v>
      </c>
      <c r="D99" t="s">
        <v>194</v>
      </c>
      <c r="E99" t="s">
        <v>136</v>
      </c>
      <c r="F99">
        <v>4500000</v>
      </c>
      <c r="G99" t="s">
        <v>195</v>
      </c>
      <c r="H99" t="s">
        <v>195</v>
      </c>
      <c r="I99" t="s">
        <v>184</v>
      </c>
    </row>
    <row r="100" spans="1:9" x14ac:dyDescent="0.2">
      <c r="A100">
        <v>98</v>
      </c>
      <c r="B100" t="s">
        <v>398</v>
      </c>
      <c r="C100" t="s">
        <v>399</v>
      </c>
      <c r="D100" t="s">
        <v>400</v>
      </c>
      <c r="E100" t="s">
        <v>136</v>
      </c>
      <c r="F100">
        <v>8935643</v>
      </c>
      <c r="G100" t="s">
        <v>348</v>
      </c>
      <c r="H100" t="s">
        <v>155</v>
      </c>
      <c r="I100" t="s">
        <v>139</v>
      </c>
    </row>
    <row r="101" spans="1:9" x14ac:dyDescent="0.2">
      <c r="A101">
        <v>99</v>
      </c>
      <c r="B101" t="s">
        <v>3201</v>
      </c>
      <c r="C101" t="s">
        <v>3202</v>
      </c>
      <c r="D101" t="s">
        <v>347</v>
      </c>
      <c r="E101" t="s">
        <v>136</v>
      </c>
      <c r="F101">
        <v>6000000</v>
      </c>
      <c r="G101" t="s">
        <v>348</v>
      </c>
      <c r="H101" t="s">
        <v>155</v>
      </c>
      <c r="I101" t="s">
        <v>139</v>
      </c>
    </row>
    <row r="102" spans="1:9" x14ac:dyDescent="0.2">
      <c r="A102">
        <v>100</v>
      </c>
      <c r="B102" t="s">
        <v>401</v>
      </c>
      <c r="C102" t="s">
        <v>402</v>
      </c>
      <c r="D102" t="s">
        <v>177</v>
      </c>
      <c r="E102" t="s">
        <v>136</v>
      </c>
      <c r="F102">
        <v>100000000</v>
      </c>
      <c r="G102" t="s">
        <v>177</v>
      </c>
      <c r="H102" t="s">
        <v>178</v>
      </c>
      <c r="I102" t="s">
        <v>160</v>
      </c>
    </row>
    <row r="103" spans="1:9" x14ac:dyDescent="0.2">
      <c r="A103">
        <v>101</v>
      </c>
      <c r="B103" t="s">
        <v>403</v>
      </c>
      <c r="C103" t="s">
        <v>404</v>
      </c>
      <c r="D103" t="s">
        <v>347</v>
      </c>
      <c r="E103" t="s">
        <v>136</v>
      </c>
      <c r="F103">
        <v>3986000</v>
      </c>
      <c r="G103" t="s">
        <v>348</v>
      </c>
      <c r="H103" t="s">
        <v>155</v>
      </c>
      <c r="I103" t="s">
        <v>139</v>
      </c>
    </row>
    <row r="104" spans="1:9" x14ac:dyDescent="0.2">
      <c r="A104">
        <v>102</v>
      </c>
      <c r="B104" t="s">
        <v>405</v>
      </c>
      <c r="C104" t="s">
        <v>406</v>
      </c>
      <c r="D104" t="s">
        <v>347</v>
      </c>
      <c r="E104" t="s">
        <v>143</v>
      </c>
      <c r="F104">
        <v>231800000</v>
      </c>
      <c r="G104" t="s">
        <v>348</v>
      </c>
      <c r="H104" t="s">
        <v>155</v>
      </c>
      <c r="I104" t="s">
        <v>139</v>
      </c>
    </row>
    <row r="105" spans="1:9" x14ac:dyDescent="0.2">
      <c r="A105">
        <v>103</v>
      </c>
      <c r="B105" t="s">
        <v>407</v>
      </c>
      <c r="C105" t="s">
        <v>408</v>
      </c>
      <c r="D105" t="s">
        <v>347</v>
      </c>
      <c r="E105" t="s">
        <v>136</v>
      </c>
      <c r="F105">
        <v>9179290</v>
      </c>
      <c r="G105" t="s">
        <v>348</v>
      </c>
      <c r="H105" t="s">
        <v>155</v>
      </c>
      <c r="I105" t="s">
        <v>139</v>
      </c>
    </row>
    <row r="106" spans="1:9" x14ac:dyDescent="0.2">
      <c r="A106">
        <v>104</v>
      </c>
      <c r="B106" t="s">
        <v>409</v>
      </c>
      <c r="C106" t="s">
        <v>410</v>
      </c>
      <c r="D106" t="s">
        <v>177</v>
      </c>
      <c r="E106" t="s">
        <v>143</v>
      </c>
      <c r="F106">
        <v>117276895</v>
      </c>
      <c r="G106" t="s">
        <v>177</v>
      </c>
      <c r="H106" t="s">
        <v>178</v>
      </c>
      <c r="I106" t="s">
        <v>160</v>
      </c>
    </row>
    <row r="107" spans="1:9" x14ac:dyDescent="0.2">
      <c r="A107">
        <v>105</v>
      </c>
      <c r="B107" t="s">
        <v>411</v>
      </c>
      <c r="C107" t="s">
        <v>412</v>
      </c>
      <c r="D107" t="s">
        <v>170</v>
      </c>
      <c r="E107" t="s">
        <v>143</v>
      </c>
      <c r="F107">
        <v>7021361917</v>
      </c>
      <c r="G107" t="s">
        <v>170</v>
      </c>
      <c r="H107" t="s">
        <v>170</v>
      </c>
      <c r="I107" t="s">
        <v>170</v>
      </c>
    </row>
    <row r="108" spans="1:9" x14ac:dyDescent="0.2">
      <c r="A108">
        <v>106</v>
      </c>
      <c r="B108" t="s">
        <v>413</v>
      </c>
      <c r="C108" t="s">
        <v>414</v>
      </c>
      <c r="D108" t="s">
        <v>153</v>
      </c>
      <c r="E108" t="s">
        <v>136</v>
      </c>
      <c r="F108">
        <v>15989530</v>
      </c>
      <c r="G108" t="s">
        <v>154</v>
      </c>
      <c r="H108" t="s">
        <v>155</v>
      </c>
      <c r="I108" t="s">
        <v>139</v>
      </c>
    </row>
    <row r="109" spans="1:9" x14ac:dyDescent="0.2">
      <c r="A109">
        <v>107</v>
      </c>
      <c r="B109" t="s">
        <v>416</v>
      </c>
      <c r="C109" t="s">
        <v>417</v>
      </c>
      <c r="D109" t="s">
        <v>166</v>
      </c>
      <c r="E109" t="s">
        <v>136</v>
      </c>
      <c r="F109">
        <v>57680000</v>
      </c>
      <c r="G109" t="s">
        <v>166</v>
      </c>
      <c r="H109" t="s">
        <v>166</v>
      </c>
      <c r="I109" t="s">
        <v>160</v>
      </c>
    </row>
    <row r="110" spans="1:9" x14ac:dyDescent="0.2">
      <c r="A110">
        <v>108</v>
      </c>
      <c r="B110" t="s">
        <v>418</v>
      </c>
      <c r="C110" t="s">
        <v>419</v>
      </c>
      <c r="D110" t="s">
        <v>240</v>
      </c>
      <c r="E110" t="s">
        <v>136</v>
      </c>
      <c r="F110">
        <v>8562000</v>
      </c>
      <c r="G110" t="s">
        <v>240</v>
      </c>
      <c r="H110" t="s">
        <v>241</v>
      </c>
      <c r="I110" t="s">
        <v>242</v>
      </c>
    </row>
    <row r="111" spans="1:9" x14ac:dyDescent="0.2">
      <c r="A111">
        <v>109</v>
      </c>
      <c r="B111" t="s">
        <v>420</v>
      </c>
      <c r="C111" t="s">
        <v>421</v>
      </c>
      <c r="D111" t="s">
        <v>149</v>
      </c>
      <c r="E111" t="s">
        <v>167</v>
      </c>
      <c r="F111">
        <v>11737728</v>
      </c>
      <c r="G111" t="s">
        <v>149</v>
      </c>
      <c r="H111" t="s">
        <v>150</v>
      </c>
      <c r="I111" t="s">
        <v>145</v>
      </c>
    </row>
    <row r="112" spans="1:9" x14ac:dyDescent="0.2">
      <c r="A112">
        <v>110</v>
      </c>
      <c r="B112" t="s">
        <v>422</v>
      </c>
      <c r="C112" t="s">
        <v>423</v>
      </c>
      <c r="D112" t="s">
        <v>799</v>
      </c>
      <c r="E112" t="s">
        <v>143</v>
      </c>
      <c r="F112">
        <v>71609020</v>
      </c>
      <c r="G112" t="s">
        <v>800</v>
      </c>
      <c r="H112" t="s">
        <v>138</v>
      </c>
      <c r="I112" t="s">
        <v>139</v>
      </c>
    </row>
    <row r="113" spans="1:9" x14ac:dyDescent="0.2">
      <c r="A113">
        <v>111</v>
      </c>
      <c r="B113" t="s">
        <v>424</v>
      </c>
      <c r="C113" t="s">
        <v>425</v>
      </c>
      <c r="D113" t="s">
        <v>153</v>
      </c>
      <c r="E113" t="s">
        <v>136</v>
      </c>
      <c r="F113">
        <v>11500000</v>
      </c>
      <c r="G113" t="s">
        <v>154</v>
      </c>
      <c r="H113" t="s">
        <v>155</v>
      </c>
      <c r="I113" t="s">
        <v>139</v>
      </c>
    </row>
    <row r="114" spans="1:9" x14ac:dyDescent="0.2">
      <c r="A114">
        <v>112</v>
      </c>
      <c r="B114" t="s">
        <v>426</v>
      </c>
      <c r="C114" t="s">
        <v>427</v>
      </c>
      <c r="D114" t="s">
        <v>177</v>
      </c>
      <c r="E114" t="s">
        <v>136</v>
      </c>
      <c r="F114">
        <v>60000000</v>
      </c>
      <c r="G114" t="s">
        <v>177</v>
      </c>
      <c r="H114" t="s">
        <v>178</v>
      </c>
      <c r="I114" t="s">
        <v>160</v>
      </c>
    </row>
    <row r="115" spans="1:9" x14ac:dyDescent="0.2">
      <c r="A115">
        <v>113</v>
      </c>
      <c r="B115" t="s">
        <v>428</v>
      </c>
      <c r="C115" t="s">
        <v>429</v>
      </c>
      <c r="D115" t="s">
        <v>430</v>
      </c>
      <c r="E115" t="s">
        <v>136</v>
      </c>
      <c r="F115">
        <v>5000000</v>
      </c>
      <c r="G115" t="s">
        <v>326</v>
      </c>
      <c r="H115" t="s">
        <v>327</v>
      </c>
      <c r="I115" t="s">
        <v>217</v>
      </c>
    </row>
    <row r="116" spans="1:9" x14ac:dyDescent="0.2">
      <c r="A116">
        <v>114</v>
      </c>
      <c r="B116" t="s">
        <v>431</v>
      </c>
      <c r="C116" t="s">
        <v>432</v>
      </c>
      <c r="D116" t="s">
        <v>237</v>
      </c>
      <c r="E116" t="s">
        <v>136</v>
      </c>
      <c r="F116">
        <v>4000000</v>
      </c>
      <c r="G116" t="s">
        <v>154</v>
      </c>
      <c r="H116" t="s">
        <v>155</v>
      </c>
      <c r="I116" t="s">
        <v>139</v>
      </c>
    </row>
    <row r="117" spans="1:9" x14ac:dyDescent="0.2">
      <c r="A117">
        <v>115</v>
      </c>
      <c r="B117" t="s">
        <v>433</v>
      </c>
      <c r="C117" t="s">
        <v>434</v>
      </c>
      <c r="D117" t="s">
        <v>149</v>
      </c>
      <c r="E117" t="s">
        <v>143</v>
      </c>
      <c r="F117">
        <v>12392630</v>
      </c>
      <c r="G117" t="s">
        <v>149</v>
      </c>
      <c r="H117" t="s">
        <v>150</v>
      </c>
      <c r="I117" t="s">
        <v>145</v>
      </c>
    </row>
    <row r="118" spans="1:9" x14ac:dyDescent="0.2">
      <c r="A118">
        <v>116</v>
      </c>
      <c r="B118" t="s">
        <v>435</v>
      </c>
      <c r="C118" t="s">
        <v>436</v>
      </c>
      <c r="D118" t="s">
        <v>437</v>
      </c>
      <c r="E118" t="s">
        <v>136</v>
      </c>
      <c r="F118">
        <v>2753280</v>
      </c>
      <c r="G118" t="s">
        <v>182</v>
      </c>
      <c r="H118" t="s">
        <v>183</v>
      </c>
      <c r="I118" t="s">
        <v>184</v>
      </c>
    </row>
    <row r="119" spans="1:9" x14ac:dyDescent="0.2">
      <c r="A119">
        <v>117</v>
      </c>
      <c r="B119" t="s">
        <v>438</v>
      </c>
      <c r="C119" t="s">
        <v>439</v>
      </c>
      <c r="D119" t="s">
        <v>310</v>
      </c>
      <c r="E119" t="s">
        <v>136</v>
      </c>
      <c r="F119">
        <v>15848063</v>
      </c>
      <c r="G119" t="s">
        <v>311</v>
      </c>
      <c r="H119" t="s">
        <v>312</v>
      </c>
      <c r="I119" t="s">
        <v>313</v>
      </c>
    </row>
    <row r="120" spans="1:9" x14ac:dyDescent="0.2">
      <c r="A120">
        <v>118</v>
      </c>
      <c r="B120" t="s">
        <v>440</v>
      </c>
      <c r="C120" t="s">
        <v>441</v>
      </c>
      <c r="D120" t="s">
        <v>163</v>
      </c>
      <c r="E120" t="s">
        <v>136</v>
      </c>
      <c r="F120">
        <v>5292000</v>
      </c>
      <c r="G120" t="s">
        <v>137</v>
      </c>
      <c r="H120" t="s">
        <v>138</v>
      </c>
      <c r="I120" t="s">
        <v>139</v>
      </c>
    </row>
    <row r="121" spans="1:9" x14ac:dyDescent="0.2">
      <c r="A121">
        <v>119</v>
      </c>
      <c r="B121" t="s">
        <v>442</v>
      </c>
      <c r="C121" t="s">
        <v>443</v>
      </c>
      <c r="D121" t="s">
        <v>177</v>
      </c>
      <c r="E121" t="s">
        <v>143</v>
      </c>
      <c r="F121">
        <v>132642818</v>
      </c>
      <c r="G121" t="s">
        <v>177</v>
      </c>
      <c r="H121" t="s">
        <v>178</v>
      </c>
      <c r="I121" t="s">
        <v>160</v>
      </c>
    </row>
    <row r="122" spans="1:9" x14ac:dyDescent="0.2">
      <c r="A122">
        <v>120</v>
      </c>
      <c r="B122" t="s">
        <v>444</v>
      </c>
      <c r="C122" t="s">
        <v>445</v>
      </c>
      <c r="D122" t="s">
        <v>149</v>
      </c>
      <c r="E122" t="s">
        <v>136</v>
      </c>
      <c r="F122">
        <v>104999978</v>
      </c>
      <c r="G122" t="s">
        <v>149</v>
      </c>
      <c r="H122" t="s">
        <v>150</v>
      </c>
      <c r="I122" t="s">
        <v>145</v>
      </c>
    </row>
    <row r="123" spans="1:9" x14ac:dyDescent="0.2">
      <c r="A123">
        <v>121</v>
      </c>
      <c r="B123" t="s">
        <v>3203</v>
      </c>
      <c r="C123" t="s">
        <v>3204</v>
      </c>
      <c r="D123" t="s">
        <v>194</v>
      </c>
      <c r="E123" t="s">
        <v>136</v>
      </c>
      <c r="F123">
        <v>6800000</v>
      </c>
      <c r="G123" t="s">
        <v>195</v>
      </c>
      <c r="H123" t="s">
        <v>195</v>
      </c>
      <c r="I123" t="s">
        <v>184</v>
      </c>
    </row>
    <row r="124" spans="1:9" x14ac:dyDescent="0.2">
      <c r="A124">
        <v>122</v>
      </c>
      <c r="B124" t="s">
        <v>446</v>
      </c>
      <c r="C124" t="s">
        <v>447</v>
      </c>
      <c r="D124" t="s">
        <v>194</v>
      </c>
      <c r="E124" t="s">
        <v>143</v>
      </c>
      <c r="F124">
        <v>81860938</v>
      </c>
      <c r="G124" t="s">
        <v>195</v>
      </c>
      <c r="H124" t="s">
        <v>195</v>
      </c>
      <c r="I124" t="s">
        <v>184</v>
      </c>
    </row>
    <row r="125" spans="1:9" x14ac:dyDescent="0.2">
      <c r="A125">
        <v>123</v>
      </c>
      <c r="B125" t="s">
        <v>448</v>
      </c>
      <c r="C125" t="s">
        <v>449</v>
      </c>
      <c r="D125" t="s">
        <v>158</v>
      </c>
      <c r="E125" t="s">
        <v>136</v>
      </c>
      <c r="F125">
        <v>78932652</v>
      </c>
      <c r="G125" t="s">
        <v>159</v>
      </c>
      <c r="H125" t="s">
        <v>159</v>
      </c>
      <c r="I125" t="s">
        <v>160</v>
      </c>
    </row>
    <row r="126" spans="1:9" x14ac:dyDescent="0.2">
      <c r="A126">
        <v>124</v>
      </c>
      <c r="B126" t="s">
        <v>450</v>
      </c>
      <c r="C126" t="s">
        <v>451</v>
      </c>
      <c r="D126" t="s">
        <v>237</v>
      </c>
      <c r="E126" t="s">
        <v>136</v>
      </c>
      <c r="F126">
        <v>24200000</v>
      </c>
      <c r="G126" t="s">
        <v>154</v>
      </c>
      <c r="H126" t="s">
        <v>155</v>
      </c>
      <c r="I126" t="s">
        <v>139</v>
      </c>
    </row>
    <row r="127" spans="1:9" x14ac:dyDescent="0.2">
      <c r="A127">
        <v>125</v>
      </c>
      <c r="B127" t="s">
        <v>452</v>
      </c>
      <c r="C127" t="s">
        <v>453</v>
      </c>
      <c r="D127" t="s">
        <v>237</v>
      </c>
      <c r="E127" t="s">
        <v>167</v>
      </c>
      <c r="F127">
        <v>31249394</v>
      </c>
      <c r="G127" t="s">
        <v>154</v>
      </c>
      <c r="H127" t="s">
        <v>155</v>
      </c>
      <c r="I127" t="s">
        <v>139</v>
      </c>
    </row>
    <row r="128" spans="1:9" x14ac:dyDescent="0.2">
      <c r="A128">
        <v>126</v>
      </c>
      <c r="B128" t="s">
        <v>454</v>
      </c>
      <c r="C128" t="s">
        <v>455</v>
      </c>
      <c r="D128" t="s">
        <v>383</v>
      </c>
      <c r="E128" t="s">
        <v>136</v>
      </c>
      <c r="F128">
        <v>37549391</v>
      </c>
      <c r="G128" t="s">
        <v>311</v>
      </c>
      <c r="H128" t="s">
        <v>312</v>
      </c>
      <c r="I128" t="s">
        <v>313</v>
      </c>
    </row>
    <row r="129" spans="1:9" x14ac:dyDescent="0.2">
      <c r="A129">
        <v>127</v>
      </c>
      <c r="B129" t="s">
        <v>456</v>
      </c>
      <c r="C129" t="s">
        <v>457</v>
      </c>
      <c r="D129" t="s">
        <v>208</v>
      </c>
      <c r="E129" t="s">
        <v>136</v>
      </c>
      <c r="F129">
        <v>59246800</v>
      </c>
      <c r="G129" t="s">
        <v>195</v>
      </c>
      <c r="H129" t="s">
        <v>195</v>
      </c>
      <c r="I129" t="s">
        <v>184</v>
      </c>
    </row>
    <row r="130" spans="1:9" x14ac:dyDescent="0.2">
      <c r="A130">
        <v>128</v>
      </c>
      <c r="B130" t="s">
        <v>458</v>
      </c>
      <c r="C130" t="s">
        <v>459</v>
      </c>
      <c r="D130" t="s">
        <v>283</v>
      </c>
      <c r="E130" t="s">
        <v>167</v>
      </c>
      <c r="F130">
        <v>3800000</v>
      </c>
      <c r="G130" t="s">
        <v>284</v>
      </c>
      <c r="H130" t="s">
        <v>183</v>
      </c>
      <c r="I130" t="s">
        <v>184</v>
      </c>
    </row>
    <row r="131" spans="1:9" x14ac:dyDescent="0.2">
      <c r="A131">
        <v>129</v>
      </c>
      <c r="B131" t="s">
        <v>460</v>
      </c>
      <c r="C131" t="s">
        <v>461</v>
      </c>
      <c r="D131" t="s">
        <v>347</v>
      </c>
      <c r="E131" t="s">
        <v>136</v>
      </c>
      <c r="F131">
        <v>5800000</v>
      </c>
      <c r="G131" t="s">
        <v>348</v>
      </c>
      <c r="H131" t="s">
        <v>155</v>
      </c>
      <c r="I131" t="s">
        <v>139</v>
      </c>
    </row>
    <row r="132" spans="1:9" x14ac:dyDescent="0.2">
      <c r="A132">
        <v>130</v>
      </c>
      <c r="B132" t="s">
        <v>462</v>
      </c>
      <c r="C132" t="s">
        <v>463</v>
      </c>
      <c r="D132" t="s">
        <v>142</v>
      </c>
      <c r="E132" t="s">
        <v>143</v>
      </c>
      <c r="F132">
        <v>12374997</v>
      </c>
      <c r="G132" t="s">
        <v>144</v>
      </c>
      <c r="H132" t="s">
        <v>144</v>
      </c>
      <c r="I132" t="s">
        <v>145</v>
      </c>
    </row>
    <row r="133" spans="1:9" x14ac:dyDescent="0.2">
      <c r="A133">
        <v>131</v>
      </c>
      <c r="B133" t="s">
        <v>464</v>
      </c>
      <c r="C133" t="s">
        <v>465</v>
      </c>
      <c r="D133" t="s">
        <v>142</v>
      </c>
      <c r="E133" t="s">
        <v>136</v>
      </c>
      <c r="F133">
        <v>112500000</v>
      </c>
      <c r="G133" t="s">
        <v>144</v>
      </c>
      <c r="H133" t="s">
        <v>144</v>
      </c>
      <c r="I133" t="s">
        <v>145</v>
      </c>
    </row>
    <row r="134" spans="1:9" x14ac:dyDescent="0.2">
      <c r="A134">
        <v>132</v>
      </c>
      <c r="B134" t="s">
        <v>466</v>
      </c>
      <c r="C134" t="s">
        <v>467</v>
      </c>
      <c r="D134" t="s">
        <v>437</v>
      </c>
      <c r="E134" t="s">
        <v>136</v>
      </c>
      <c r="F134">
        <v>4541950</v>
      </c>
      <c r="G134" t="s">
        <v>182</v>
      </c>
      <c r="H134" t="s">
        <v>183</v>
      </c>
      <c r="I134" t="s">
        <v>184</v>
      </c>
    </row>
    <row r="135" spans="1:9" x14ac:dyDescent="0.2">
      <c r="A135">
        <v>133</v>
      </c>
      <c r="B135" t="s">
        <v>468</v>
      </c>
      <c r="C135" t="s">
        <v>469</v>
      </c>
      <c r="D135" t="s">
        <v>330</v>
      </c>
      <c r="E135" t="s">
        <v>136</v>
      </c>
      <c r="F135">
        <v>66850975</v>
      </c>
      <c r="G135" t="s">
        <v>330</v>
      </c>
      <c r="H135" t="s">
        <v>312</v>
      </c>
      <c r="I135" t="s">
        <v>313</v>
      </c>
    </row>
    <row r="136" spans="1:9" x14ac:dyDescent="0.2">
      <c r="A136">
        <v>134</v>
      </c>
      <c r="B136" t="s">
        <v>470</v>
      </c>
      <c r="C136" t="s">
        <v>471</v>
      </c>
      <c r="D136" t="s">
        <v>166</v>
      </c>
      <c r="E136" t="s">
        <v>167</v>
      </c>
      <c r="F136">
        <v>3150747</v>
      </c>
      <c r="G136" t="s">
        <v>166</v>
      </c>
      <c r="H136" t="s">
        <v>166</v>
      </c>
      <c r="I136" t="s">
        <v>160</v>
      </c>
    </row>
    <row r="137" spans="1:9" x14ac:dyDescent="0.2">
      <c r="A137">
        <v>135</v>
      </c>
      <c r="B137" t="s">
        <v>472</v>
      </c>
      <c r="C137" t="s">
        <v>473</v>
      </c>
      <c r="D137" t="s">
        <v>347</v>
      </c>
      <c r="E137" t="s">
        <v>136</v>
      </c>
      <c r="F137">
        <v>3000000</v>
      </c>
      <c r="G137" t="s">
        <v>348</v>
      </c>
      <c r="H137" t="s">
        <v>155</v>
      </c>
      <c r="I137" t="s">
        <v>139</v>
      </c>
    </row>
    <row r="138" spans="1:9" x14ac:dyDescent="0.2">
      <c r="A138">
        <v>136</v>
      </c>
      <c r="B138" t="s">
        <v>474</v>
      </c>
      <c r="C138" t="s">
        <v>475</v>
      </c>
      <c r="D138" t="s">
        <v>430</v>
      </c>
      <c r="E138" t="s">
        <v>136</v>
      </c>
      <c r="F138">
        <v>60000000</v>
      </c>
      <c r="G138" t="s">
        <v>326</v>
      </c>
      <c r="H138" t="s">
        <v>327</v>
      </c>
      <c r="I138" t="s">
        <v>217</v>
      </c>
    </row>
    <row r="139" spans="1:9" x14ac:dyDescent="0.2">
      <c r="A139">
        <v>137</v>
      </c>
      <c r="B139" t="s">
        <v>476</v>
      </c>
      <c r="C139" t="s">
        <v>477</v>
      </c>
      <c r="D139" t="s">
        <v>347</v>
      </c>
      <c r="E139" t="s">
        <v>136</v>
      </c>
      <c r="F139">
        <v>18000000</v>
      </c>
      <c r="G139" t="s">
        <v>348</v>
      </c>
      <c r="H139" t="s">
        <v>155</v>
      </c>
      <c r="I139" t="s">
        <v>139</v>
      </c>
    </row>
    <row r="140" spans="1:9" x14ac:dyDescent="0.2">
      <c r="A140">
        <v>138</v>
      </c>
      <c r="B140" t="s">
        <v>478</v>
      </c>
      <c r="C140" t="s">
        <v>479</v>
      </c>
      <c r="D140" t="s">
        <v>158</v>
      </c>
      <c r="E140" t="s">
        <v>143</v>
      </c>
      <c r="F140">
        <v>245365943</v>
      </c>
      <c r="G140" t="s">
        <v>159</v>
      </c>
      <c r="H140" t="s">
        <v>159</v>
      </c>
      <c r="I140" t="s">
        <v>160</v>
      </c>
    </row>
    <row r="141" spans="1:9" x14ac:dyDescent="0.2">
      <c r="A141">
        <v>139</v>
      </c>
      <c r="B141" t="s">
        <v>480</v>
      </c>
      <c r="C141" t="s">
        <v>481</v>
      </c>
      <c r="D141" t="s">
        <v>347</v>
      </c>
      <c r="E141" t="s">
        <v>136</v>
      </c>
      <c r="F141">
        <v>45000000</v>
      </c>
      <c r="G141" t="s">
        <v>348</v>
      </c>
      <c r="H141" t="s">
        <v>155</v>
      </c>
      <c r="I141" t="s">
        <v>139</v>
      </c>
    </row>
    <row r="142" spans="1:9" x14ac:dyDescent="0.2">
      <c r="A142">
        <v>140</v>
      </c>
      <c r="B142" t="s">
        <v>482</v>
      </c>
      <c r="C142" t="s">
        <v>483</v>
      </c>
      <c r="D142" t="s">
        <v>347</v>
      </c>
      <c r="E142" t="s">
        <v>136</v>
      </c>
      <c r="F142">
        <v>12500000</v>
      </c>
      <c r="G142" t="s">
        <v>348</v>
      </c>
      <c r="H142" t="s">
        <v>155</v>
      </c>
      <c r="I142" t="s">
        <v>139</v>
      </c>
    </row>
    <row r="143" spans="1:9" x14ac:dyDescent="0.2">
      <c r="A143">
        <v>141</v>
      </c>
      <c r="B143" t="s">
        <v>484</v>
      </c>
      <c r="C143" t="s">
        <v>485</v>
      </c>
      <c r="D143" t="s">
        <v>347</v>
      </c>
      <c r="E143" t="s">
        <v>136</v>
      </c>
      <c r="F143">
        <v>45000000</v>
      </c>
      <c r="G143" t="s">
        <v>348</v>
      </c>
      <c r="H143" t="s">
        <v>155</v>
      </c>
      <c r="I143" t="s">
        <v>139</v>
      </c>
    </row>
    <row r="144" spans="1:9" x14ac:dyDescent="0.2">
      <c r="A144">
        <v>142</v>
      </c>
      <c r="B144" t="s">
        <v>486</v>
      </c>
      <c r="C144" t="s">
        <v>487</v>
      </c>
      <c r="D144" t="s">
        <v>488</v>
      </c>
      <c r="E144" t="s">
        <v>143</v>
      </c>
      <c r="F144">
        <v>3100499616</v>
      </c>
      <c r="G144" t="s">
        <v>489</v>
      </c>
      <c r="H144" t="s">
        <v>490</v>
      </c>
      <c r="I144" t="s">
        <v>490</v>
      </c>
    </row>
    <row r="145" spans="1:9" x14ac:dyDescent="0.2">
      <c r="A145">
        <v>143</v>
      </c>
      <c r="B145" t="s">
        <v>491</v>
      </c>
      <c r="C145" t="s">
        <v>492</v>
      </c>
      <c r="D145" t="s">
        <v>215</v>
      </c>
      <c r="E145" t="s">
        <v>167</v>
      </c>
      <c r="F145">
        <v>1100000</v>
      </c>
      <c r="G145" t="s">
        <v>216</v>
      </c>
      <c r="H145" t="s">
        <v>216</v>
      </c>
      <c r="I145" t="s">
        <v>217</v>
      </c>
    </row>
    <row r="146" spans="1:9" x14ac:dyDescent="0.2">
      <c r="A146">
        <v>144</v>
      </c>
      <c r="B146" t="s">
        <v>493</v>
      </c>
      <c r="C146" t="s">
        <v>494</v>
      </c>
      <c r="D146" t="s">
        <v>293</v>
      </c>
      <c r="E146" t="s">
        <v>136</v>
      </c>
      <c r="F146">
        <v>5669959</v>
      </c>
      <c r="G146" t="s">
        <v>144</v>
      </c>
      <c r="H146" t="s">
        <v>144</v>
      </c>
      <c r="I146" t="s">
        <v>145</v>
      </c>
    </row>
    <row r="147" spans="1:9" x14ac:dyDescent="0.2">
      <c r="A147">
        <v>145</v>
      </c>
      <c r="B147" t="s">
        <v>495</v>
      </c>
      <c r="C147" t="s">
        <v>496</v>
      </c>
      <c r="D147" t="s">
        <v>194</v>
      </c>
      <c r="E147" t="s">
        <v>136</v>
      </c>
      <c r="F147">
        <v>32993550</v>
      </c>
      <c r="G147" t="s">
        <v>195</v>
      </c>
      <c r="H147" t="s">
        <v>195</v>
      </c>
      <c r="I147" t="s">
        <v>184</v>
      </c>
    </row>
    <row r="148" spans="1:9" x14ac:dyDescent="0.2">
      <c r="A148">
        <v>146</v>
      </c>
      <c r="B148" t="s">
        <v>497</v>
      </c>
      <c r="C148" t="s">
        <v>498</v>
      </c>
      <c r="D148" t="s">
        <v>347</v>
      </c>
      <c r="E148" t="s">
        <v>136</v>
      </c>
      <c r="F148">
        <v>7691226</v>
      </c>
      <c r="G148" t="s">
        <v>348</v>
      </c>
      <c r="H148" t="s">
        <v>155</v>
      </c>
      <c r="I148" t="s">
        <v>139</v>
      </c>
    </row>
    <row r="149" spans="1:9" x14ac:dyDescent="0.2">
      <c r="A149">
        <v>147</v>
      </c>
      <c r="B149" t="s">
        <v>499</v>
      </c>
      <c r="C149" t="s">
        <v>500</v>
      </c>
      <c r="D149" t="s">
        <v>194</v>
      </c>
      <c r="E149" t="s">
        <v>136</v>
      </c>
      <c r="F149">
        <v>6414100</v>
      </c>
      <c r="G149" t="s">
        <v>195</v>
      </c>
      <c r="H149" t="s">
        <v>195</v>
      </c>
      <c r="I149" t="s">
        <v>184</v>
      </c>
    </row>
    <row r="150" spans="1:9" x14ac:dyDescent="0.2">
      <c r="A150">
        <v>148</v>
      </c>
      <c r="B150" t="s">
        <v>501</v>
      </c>
      <c r="C150" t="s">
        <v>502</v>
      </c>
      <c r="D150" t="s">
        <v>283</v>
      </c>
      <c r="E150" t="s">
        <v>136</v>
      </c>
      <c r="F150">
        <v>1190000</v>
      </c>
      <c r="G150" t="s">
        <v>284</v>
      </c>
      <c r="H150" t="s">
        <v>183</v>
      </c>
      <c r="I150" t="s">
        <v>184</v>
      </c>
    </row>
    <row r="151" spans="1:9" x14ac:dyDescent="0.2">
      <c r="A151">
        <v>149</v>
      </c>
      <c r="B151" t="s">
        <v>503</v>
      </c>
      <c r="C151" t="s">
        <v>504</v>
      </c>
      <c r="D151" t="s">
        <v>259</v>
      </c>
      <c r="E151" t="s">
        <v>136</v>
      </c>
      <c r="F151">
        <v>25000000</v>
      </c>
      <c r="G151" t="s">
        <v>260</v>
      </c>
      <c r="H151" t="s">
        <v>183</v>
      </c>
      <c r="I151" t="s">
        <v>184</v>
      </c>
    </row>
    <row r="152" spans="1:9" x14ac:dyDescent="0.2">
      <c r="A152">
        <v>150</v>
      </c>
      <c r="B152" t="s">
        <v>505</v>
      </c>
      <c r="C152" t="s">
        <v>506</v>
      </c>
      <c r="D152" t="s">
        <v>194</v>
      </c>
      <c r="E152" t="s">
        <v>136</v>
      </c>
      <c r="F152">
        <v>4465570</v>
      </c>
      <c r="G152" t="s">
        <v>195</v>
      </c>
      <c r="H152" t="s">
        <v>195</v>
      </c>
      <c r="I152" t="s">
        <v>184</v>
      </c>
    </row>
    <row r="153" spans="1:9" x14ac:dyDescent="0.2">
      <c r="A153">
        <v>151</v>
      </c>
      <c r="B153" t="s">
        <v>507</v>
      </c>
      <c r="C153" t="s">
        <v>508</v>
      </c>
      <c r="D153" t="s">
        <v>330</v>
      </c>
      <c r="E153" t="s">
        <v>143</v>
      </c>
      <c r="F153">
        <v>60485600</v>
      </c>
      <c r="G153" t="s">
        <v>330</v>
      </c>
      <c r="H153" t="s">
        <v>312</v>
      </c>
      <c r="I153" t="s">
        <v>313</v>
      </c>
    </row>
    <row r="154" spans="1:9" x14ac:dyDescent="0.2">
      <c r="A154">
        <v>152</v>
      </c>
      <c r="B154" t="s">
        <v>509</v>
      </c>
      <c r="C154" t="s">
        <v>510</v>
      </c>
      <c r="D154" t="s">
        <v>194</v>
      </c>
      <c r="E154" t="s">
        <v>167</v>
      </c>
      <c r="F154">
        <v>123559858</v>
      </c>
      <c r="G154" t="s">
        <v>195</v>
      </c>
      <c r="H154" t="s">
        <v>195</v>
      </c>
      <c r="I154" t="s">
        <v>184</v>
      </c>
    </row>
    <row r="155" spans="1:9" x14ac:dyDescent="0.2">
      <c r="A155">
        <v>153</v>
      </c>
      <c r="B155" t="s">
        <v>511</v>
      </c>
      <c r="C155" t="s">
        <v>512</v>
      </c>
      <c r="D155" t="s">
        <v>513</v>
      </c>
      <c r="E155" t="s">
        <v>143</v>
      </c>
      <c r="F155">
        <v>13500000</v>
      </c>
      <c r="G155" t="s">
        <v>229</v>
      </c>
      <c r="H155" t="s">
        <v>229</v>
      </c>
      <c r="I155" t="s">
        <v>217</v>
      </c>
    </row>
    <row r="156" spans="1:9" x14ac:dyDescent="0.2">
      <c r="A156">
        <v>154</v>
      </c>
      <c r="B156" t="s">
        <v>514</v>
      </c>
      <c r="C156" t="s">
        <v>515</v>
      </c>
      <c r="D156" t="s">
        <v>437</v>
      </c>
      <c r="E156" t="s">
        <v>136</v>
      </c>
      <c r="F156">
        <v>3600000</v>
      </c>
      <c r="G156" t="s">
        <v>182</v>
      </c>
      <c r="H156" t="s">
        <v>183</v>
      </c>
      <c r="I156" t="s">
        <v>184</v>
      </c>
    </row>
    <row r="157" spans="1:9" x14ac:dyDescent="0.2">
      <c r="A157">
        <v>155</v>
      </c>
      <c r="B157" t="s">
        <v>516</v>
      </c>
      <c r="C157" t="s">
        <v>517</v>
      </c>
      <c r="D157" t="s">
        <v>430</v>
      </c>
      <c r="E157" t="s">
        <v>136</v>
      </c>
      <c r="F157">
        <v>25000000</v>
      </c>
      <c r="G157" t="s">
        <v>326</v>
      </c>
      <c r="H157" t="s">
        <v>327</v>
      </c>
      <c r="I157" t="s">
        <v>217</v>
      </c>
    </row>
    <row r="158" spans="1:9" x14ac:dyDescent="0.2">
      <c r="A158">
        <v>156</v>
      </c>
      <c r="B158" t="s">
        <v>518</v>
      </c>
      <c r="C158" t="s">
        <v>519</v>
      </c>
      <c r="D158" t="s">
        <v>383</v>
      </c>
      <c r="E158" t="s">
        <v>167</v>
      </c>
      <c r="F158">
        <v>9360000</v>
      </c>
      <c r="G158" t="s">
        <v>311</v>
      </c>
      <c r="H158" t="s">
        <v>312</v>
      </c>
      <c r="I158" t="s">
        <v>313</v>
      </c>
    </row>
    <row r="159" spans="1:9" x14ac:dyDescent="0.2">
      <c r="A159">
        <v>157</v>
      </c>
      <c r="B159" t="s">
        <v>520</v>
      </c>
      <c r="C159" t="s">
        <v>521</v>
      </c>
      <c r="D159" t="s">
        <v>170</v>
      </c>
      <c r="E159" t="s">
        <v>136</v>
      </c>
      <c r="F159">
        <v>551846215</v>
      </c>
      <c r="G159" t="s">
        <v>170</v>
      </c>
      <c r="H159" t="s">
        <v>170</v>
      </c>
      <c r="I159" t="s">
        <v>170</v>
      </c>
    </row>
    <row r="160" spans="1:9" x14ac:dyDescent="0.2">
      <c r="A160">
        <v>158</v>
      </c>
      <c r="B160" t="s">
        <v>522</v>
      </c>
      <c r="C160" t="s">
        <v>523</v>
      </c>
      <c r="D160" t="s">
        <v>355</v>
      </c>
      <c r="E160" t="s">
        <v>136</v>
      </c>
      <c r="F160">
        <v>9750948</v>
      </c>
      <c r="G160" t="s">
        <v>356</v>
      </c>
      <c r="H160" t="s">
        <v>150</v>
      </c>
      <c r="I160" t="s">
        <v>145</v>
      </c>
    </row>
    <row r="161" spans="1:9" x14ac:dyDescent="0.2">
      <c r="A161">
        <v>159</v>
      </c>
      <c r="B161" t="s">
        <v>524</v>
      </c>
      <c r="C161" t="s">
        <v>3051</v>
      </c>
      <c r="D161" t="s">
        <v>3052</v>
      </c>
      <c r="E161" t="s">
        <v>143</v>
      </c>
      <c r="F161">
        <v>742322764</v>
      </c>
      <c r="G161" t="s">
        <v>3052</v>
      </c>
      <c r="H161" t="s">
        <v>178</v>
      </c>
      <c r="I161" t="s">
        <v>160</v>
      </c>
    </row>
    <row r="162" spans="1:9" x14ac:dyDescent="0.2">
      <c r="A162">
        <v>160</v>
      </c>
      <c r="B162" t="s">
        <v>525</v>
      </c>
      <c r="C162" t="s">
        <v>526</v>
      </c>
      <c r="D162" t="s">
        <v>415</v>
      </c>
      <c r="E162" t="s">
        <v>136</v>
      </c>
      <c r="F162">
        <v>82788300</v>
      </c>
      <c r="G162" t="s">
        <v>166</v>
      </c>
      <c r="H162" t="s">
        <v>166</v>
      </c>
      <c r="I162" t="s">
        <v>160</v>
      </c>
    </row>
    <row r="163" spans="1:9" x14ac:dyDescent="0.2">
      <c r="A163">
        <v>161</v>
      </c>
      <c r="B163" t="s">
        <v>527</v>
      </c>
      <c r="C163" t="s">
        <v>528</v>
      </c>
      <c r="D163" t="s">
        <v>137</v>
      </c>
      <c r="E163" t="s">
        <v>136</v>
      </c>
      <c r="F163">
        <v>5000000</v>
      </c>
      <c r="G163" t="s">
        <v>137</v>
      </c>
      <c r="H163" t="s">
        <v>138</v>
      </c>
      <c r="I163" t="s">
        <v>139</v>
      </c>
    </row>
    <row r="164" spans="1:9" x14ac:dyDescent="0.2">
      <c r="A164">
        <v>162</v>
      </c>
      <c r="B164" t="s">
        <v>529</v>
      </c>
      <c r="C164" t="s">
        <v>530</v>
      </c>
      <c r="D164" t="s">
        <v>158</v>
      </c>
      <c r="E164" t="s">
        <v>167</v>
      </c>
      <c r="F164">
        <v>72233937</v>
      </c>
      <c r="G164" t="s">
        <v>159</v>
      </c>
      <c r="H164" t="s">
        <v>159</v>
      </c>
      <c r="I164" t="s">
        <v>160</v>
      </c>
    </row>
    <row r="165" spans="1:9" x14ac:dyDescent="0.2">
      <c r="A165">
        <v>163</v>
      </c>
      <c r="B165" t="s">
        <v>531</v>
      </c>
      <c r="C165" t="s">
        <v>532</v>
      </c>
      <c r="D165" t="s">
        <v>383</v>
      </c>
      <c r="E165" t="s">
        <v>136</v>
      </c>
      <c r="F165">
        <v>2700000</v>
      </c>
      <c r="G165" t="s">
        <v>311</v>
      </c>
      <c r="H165" t="s">
        <v>312</v>
      </c>
      <c r="I165" t="s">
        <v>313</v>
      </c>
    </row>
    <row r="166" spans="1:9" x14ac:dyDescent="0.2">
      <c r="A166">
        <v>164</v>
      </c>
      <c r="B166" t="s">
        <v>533</v>
      </c>
      <c r="C166" t="s">
        <v>534</v>
      </c>
      <c r="D166" t="s">
        <v>383</v>
      </c>
      <c r="E166" t="s">
        <v>143</v>
      </c>
      <c r="F166">
        <v>219928644</v>
      </c>
      <c r="G166" t="s">
        <v>311</v>
      </c>
      <c r="H166" t="s">
        <v>312</v>
      </c>
      <c r="I166" t="s">
        <v>313</v>
      </c>
    </row>
    <row r="167" spans="1:9" x14ac:dyDescent="0.2">
      <c r="A167">
        <v>165</v>
      </c>
      <c r="B167" t="s">
        <v>535</v>
      </c>
      <c r="C167" t="s">
        <v>536</v>
      </c>
      <c r="D167" t="s">
        <v>383</v>
      </c>
      <c r="E167" t="s">
        <v>136</v>
      </c>
      <c r="F167">
        <v>100007569</v>
      </c>
      <c r="G167" t="s">
        <v>311</v>
      </c>
      <c r="H167" t="s">
        <v>312</v>
      </c>
      <c r="I167" t="s">
        <v>313</v>
      </c>
    </row>
    <row r="168" spans="1:9" x14ac:dyDescent="0.2">
      <c r="A168">
        <v>166</v>
      </c>
      <c r="B168" t="s">
        <v>537</v>
      </c>
      <c r="C168" t="s">
        <v>538</v>
      </c>
      <c r="D168" t="s">
        <v>283</v>
      </c>
      <c r="E168" t="s">
        <v>167</v>
      </c>
      <c r="F168">
        <v>3012040</v>
      </c>
      <c r="G168" t="s">
        <v>284</v>
      </c>
      <c r="H168" t="s">
        <v>183</v>
      </c>
      <c r="I168" t="s">
        <v>184</v>
      </c>
    </row>
    <row r="169" spans="1:9" x14ac:dyDescent="0.2">
      <c r="A169">
        <v>167</v>
      </c>
      <c r="B169" t="s">
        <v>539</v>
      </c>
      <c r="C169" t="s">
        <v>540</v>
      </c>
      <c r="D169" t="s">
        <v>208</v>
      </c>
      <c r="E169" t="s">
        <v>136</v>
      </c>
      <c r="F169">
        <v>4850000</v>
      </c>
      <c r="G169" t="s">
        <v>195</v>
      </c>
      <c r="H169" t="s">
        <v>195</v>
      </c>
      <c r="I169" t="s">
        <v>184</v>
      </c>
    </row>
    <row r="170" spans="1:9" x14ac:dyDescent="0.2">
      <c r="A170">
        <v>168</v>
      </c>
      <c r="B170" t="s">
        <v>541</v>
      </c>
      <c r="C170" t="s">
        <v>542</v>
      </c>
      <c r="D170" t="s">
        <v>166</v>
      </c>
      <c r="E170" t="s">
        <v>136</v>
      </c>
      <c r="F170">
        <v>19336371</v>
      </c>
      <c r="G170" t="s">
        <v>166</v>
      </c>
      <c r="H170" t="s">
        <v>166</v>
      </c>
      <c r="I170" t="s">
        <v>160</v>
      </c>
    </row>
    <row r="171" spans="1:9" x14ac:dyDescent="0.2">
      <c r="A171">
        <v>169</v>
      </c>
      <c r="B171" t="s">
        <v>543</v>
      </c>
      <c r="C171" t="s">
        <v>544</v>
      </c>
      <c r="D171" t="s">
        <v>237</v>
      </c>
      <c r="E171" t="s">
        <v>136</v>
      </c>
      <c r="F171">
        <v>3550000</v>
      </c>
      <c r="G171" t="s">
        <v>154</v>
      </c>
      <c r="H171" t="s">
        <v>155</v>
      </c>
      <c r="I171" t="s">
        <v>139</v>
      </c>
    </row>
    <row r="172" spans="1:9" x14ac:dyDescent="0.2">
      <c r="A172">
        <v>170</v>
      </c>
      <c r="B172" t="s">
        <v>545</v>
      </c>
      <c r="C172" t="s">
        <v>546</v>
      </c>
      <c r="D172" t="s">
        <v>194</v>
      </c>
      <c r="E172" t="s">
        <v>143</v>
      </c>
      <c r="F172">
        <v>15030145</v>
      </c>
      <c r="G172" t="s">
        <v>195</v>
      </c>
      <c r="H172" t="s">
        <v>195</v>
      </c>
      <c r="I172" t="s">
        <v>184</v>
      </c>
    </row>
    <row r="173" spans="1:9" x14ac:dyDescent="0.2">
      <c r="A173">
        <v>171</v>
      </c>
      <c r="B173" t="s">
        <v>547</v>
      </c>
      <c r="C173" t="s">
        <v>548</v>
      </c>
      <c r="D173" t="s">
        <v>208</v>
      </c>
      <c r="E173" t="s">
        <v>143</v>
      </c>
      <c r="F173">
        <v>36342269</v>
      </c>
      <c r="G173" t="s">
        <v>195</v>
      </c>
      <c r="H173" t="s">
        <v>195</v>
      </c>
      <c r="I173" t="s">
        <v>184</v>
      </c>
    </row>
    <row r="174" spans="1:9" x14ac:dyDescent="0.2">
      <c r="A174">
        <v>172</v>
      </c>
      <c r="B174" t="s">
        <v>549</v>
      </c>
      <c r="C174" t="s">
        <v>550</v>
      </c>
      <c r="D174" t="s">
        <v>208</v>
      </c>
      <c r="E174" t="s">
        <v>136</v>
      </c>
      <c r="F174">
        <v>357300754</v>
      </c>
      <c r="G174" t="s">
        <v>195</v>
      </c>
      <c r="H174" t="s">
        <v>195</v>
      </c>
      <c r="I174" t="s">
        <v>184</v>
      </c>
    </row>
    <row r="175" spans="1:9" x14ac:dyDescent="0.2">
      <c r="A175">
        <v>173</v>
      </c>
      <c r="B175" t="s">
        <v>551</v>
      </c>
      <c r="C175" t="s">
        <v>552</v>
      </c>
      <c r="D175" t="s">
        <v>208</v>
      </c>
      <c r="E175" t="s">
        <v>167</v>
      </c>
      <c r="F175">
        <v>61799972</v>
      </c>
      <c r="G175" t="s">
        <v>195</v>
      </c>
      <c r="H175" t="s">
        <v>195</v>
      </c>
      <c r="I175" t="s">
        <v>184</v>
      </c>
    </row>
    <row r="176" spans="1:9" x14ac:dyDescent="0.2">
      <c r="A176">
        <v>174</v>
      </c>
      <c r="B176" t="s">
        <v>553</v>
      </c>
      <c r="C176" t="s">
        <v>554</v>
      </c>
      <c r="D176" t="s">
        <v>208</v>
      </c>
      <c r="E176" t="s">
        <v>136</v>
      </c>
      <c r="F176">
        <v>5312920</v>
      </c>
      <c r="G176" t="s">
        <v>195</v>
      </c>
      <c r="H176" t="s">
        <v>195</v>
      </c>
      <c r="I176" t="s">
        <v>184</v>
      </c>
    </row>
    <row r="177" spans="1:9" x14ac:dyDescent="0.2">
      <c r="A177">
        <v>175</v>
      </c>
      <c r="B177" t="s">
        <v>556</v>
      </c>
      <c r="C177" t="s">
        <v>557</v>
      </c>
      <c r="D177" t="s">
        <v>153</v>
      </c>
      <c r="E177" t="s">
        <v>136</v>
      </c>
      <c r="F177">
        <v>8799927</v>
      </c>
      <c r="G177" t="s">
        <v>154</v>
      </c>
      <c r="H177" t="s">
        <v>155</v>
      </c>
      <c r="I177" t="s">
        <v>139</v>
      </c>
    </row>
    <row r="178" spans="1:9" x14ac:dyDescent="0.2">
      <c r="A178">
        <v>176</v>
      </c>
      <c r="B178" t="s">
        <v>558</v>
      </c>
      <c r="C178" t="s">
        <v>559</v>
      </c>
      <c r="D178" t="s">
        <v>211</v>
      </c>
      <c r="E178" t="s">
        <v>167</v>
      </c>
      <c r="F178">
        <v>13800000</v>
      </c>
      <c r="G178" t="s">
        <v>212</v>
      </c>
      <c r="H178" t="s">
        <v>183</v>
      </c>
      <c r="I178" t="s">
        <v>184</v>
      </c>
    </row>
    <row r="179" spans="1:9" x14ac:dyDescent="0.2">
      <c r="A179">
        <v>177</v>
      </c>
      <c r="B179" t="s">
        <v>560</v>
      </c>
      <c r="C179" t="s">
        <v>561</v>
      </c>
      <c r="D179" t="s">
        <v>237</v>
      </c>
      <c r="E179" t="s">
        <v>167</v>
      </c>
      <c r="F179">
        <v>5000000</v>
      </c>
      <c r="G179" t="s">
        <v>154</v>
      </c>
      <c r="H179" t="s">
        <v>155</v>
      </c>
      <c r="I179" t="s">
        <v>139</v>
      </c>
    </row>
    <row r="180" spans="1:9" x14ac:dyDescent="0.2">
      <c r="A180">
        <v>178</v>
      </c>
      <c r="B180" t="s">
        <v>562</v>
      </c>
      <c r="C180" t="s">
        <v>563</v>
      </c>
      <c r="D180" t="s">
        <v>564</v>
      </c>
      <c r="E180" t="s">
        <v>167</v>
      </c>
      <c r="F180">
        <v>15269965</v>
      </c>
      <c r="G180" t="s">
        <v>201</v>
      </c>
      <c r="H180" t="s">
        <v>150</v>
      </c>
      <c r="I180" t="s">
        <v>145</v>
      </c>
    </row>
    <row r="181" spans="1:9" x14ac:dyDescent="0.2">
      <c r="A181">
        <v>179</v>
      </c>
      <c r="B181" t="s">
        <v>565</v>
      </c>
      <c r="C181" t="s">
        <v>566</v>
      </c>
      <c r="D181" t="s">
        <v>567</v>
      </c>
      <c r="E181" t="s">
        <v>167</v>
      </c>
      <c r="F181">
        <v>5565004</v>
      </c>
      <c r="G181" t="s">
        <v>182</v>
      </c>
      <c r="H181" t="s">
        <v>183</v>
      </c>
      <c r="I181" t="s">
        <v>184</v>
      </c>
    </row>
    <row r="182" spans="1:9" x14ac:dyDescent="0.2">
      <c r="A182">
        <v>180</v>
      </c>
      <c r="B182" t="s">
        <v>568</v>
      </c>
      <c r="C182" t="s">
        <v>569</v>
      </c>
      <c r="D182" t="s">
        <v>153</v>
      </c>
      <c r="E182" t="s">
        <v>136</v>
      </c>
      <c r="F182">
        <v>9748579</v>
      </c>
      <c r="G182" t="s">
        <v>154</v>
      </c>
      <c r="H182" t="s">
        <v>155</v>
      </c>
      <c r="I182" t="s">
        <v>139</v>
      </c>
    </row>
    <row r="183" spans="1:9" x14ac:dyDescent="0.2">
      <c r="A183">
        <v>181</v>
      </c>
      <c r="B183" t="s">
        <v>571</v>
      </c>
      <c r="C183" t="s">
        <v>572</v>
      </c>
      <c r="D183" t="s">
        <v>355</v>
      </c>
      <c r="E183" t="s">
        <v>136</v>
      </c>
      <c r="F183">
        <v>43006366</v>
      </c>
      <c r="G183" t="s">
        <v>356</v>
      </c>
      <c r="H183" t="s">
        <v>150</v>
      </c>
      <c r="I183" t="s">
        <v>145</v>
      </c>
    </row>
    <row r="184" spans="1:9" x14ac:dyDescent="0.2">
      <c r="A184">
        <v>182</v>
      </c>
      <c r="B184" t="s">
        <v>573</v>
      </c>
      <c r="C184" t="s">
        <v>574</v>
      </c>
      <c r="D184" t="s">
        <v>237</v>
      </c>
      <c r="E184" t="s">
        <v>136</v>
      </c>
      <c r="F184">
        <v>5291868</v>
      </c>
      <c r="G184" t="s">
        <v>154</v>
      </c>
      <c r="H184" t="s">
        <v>155</v>
      </c>
      <c r="I184" t="s">
        <v>139</v>
      </c>
    </row>
    <row r="185" spans="1:9" x14ac:dyDescent="0.2">
      <c r="A185">
        <v>183</v>
      </c>
      <c r="B185" t="s">
        <v>575</v>
      </c>
      <c r="C185" t="s">
        <v>576</v>
      </c>
      <c r="D185" t="s">
        <v>208</v>
      </c>
      <c r="E185" t="s">
        <v>136</v>
      </c>
      <c r="F185">
        <v>397906100</v>
      </c>
      <c r="G185" t="s">
        <v>195</v>
      </c>
      <c r="H185" t="s">
        <v>195</v>
      </c>
      <c r="I185" t="s">
        <v>184</v>
      </c>
    </row>
    <row r="186" spans="1:9" x14ac:dyDescent="0.2">
      <c r="A186">
        <v>184</v>
      </c>
      <c r="B186" t="s">
        <v>577</v>
      </c>
      <c r="C186" t="s">
        <v>578</v>
      </c>
      <c r="D186" t="s">
        <v>153</v>
      </c>
      <c r="E186" t="s">
        <v>136</v>
      </c>
      <c r="F186">
        <v>15092326</v>
      </c>
      <c r="G186" t="s">
        <v>154</v>
      </c>
      <c r="H186" t="s">
        <v>155</v>
      </c>
      <c r="I186" t="s">
        <v>139</v>
      </c>
    </row>
    <row r="187" spans="1:9" x14ac:dyDescent="0.2">
      <c r="A187">
        <v>185</v>
      </c>
      <c r="B187" t="s">
        <v>2981</v>
      </c>
      <c r="C187" t="s">
        <v>2982</v>
      </c>
      <c r="D187" t="s">
        <v>208</v>
      </c>
      <c r="E187" t="s">
        <v>143</v>
      </c>
      <c r="F187">
        <v>40250000</v>
      </c>
      <c r="G187" t="s">
        <v>195</v>
      </c>
      <c r="H187" t="s">
        <v>195</v>
      </c>
      <c r="I187" t="s">
        <v>184</v>
      </c>
    </row>
    <row r="188" spans="1:9" x14ac:dyDescent="0.2">
      <c r="A188">
        <v>186</v>
      </c>
      <c r="B188" t="s">
        <v>579</v>
      </c>
      <c r="C188" t="s">
        <v>580</v>
      </c>
      <c r="D188" t="s">
        <v>310</v>
      </c>
      <c r="E188" t="s">
        <v>143</v>
      </c>
      <c r="F188">
        <v>17743865</v>
      </c>
      <c r="G188" t="s">
        <v>311</v>
      </c>
      <c r="H188" t="s">
        <v>312</v>
      </c>
      <c r="I188" t="s">
        <v>313</v>
      </c>
    </row>
    <row r="189" spans="1:9" x14ac:dyDescent="0.2">
      <c r="A189">
        <v>187</v>
      </c>
      <c r="B189" t="s">
        <v>581</v>
      </c>
      <c r="C189" t="s">
        <v>582</v>
      </c>
      <c r="D189" t="s">
        <v>166</v>
      </c>
      <c r="E189" t="s">
        <v>143</v>
      </c>
      <c r="F189">
        <v>59581418</v>
      </c>
      <c r="G189" t="s">
        <v>166</v>
      </c>
      <c r="H189" t="s">
        <v>166</v>
      </c>
      <c r="I189" t="s">
        <v>160</v>
      </c>
    </row>
    <row r="190" spans="1:9" x14ac:dyDescent="0.2">
      <c r="A190">
        <v>188</v>
      </c>
      <c r="B190" t="s">
        <v>583</v>
      </c>
      <c r="C190" t="s">
        <v>584</v>
      </c>
      <c r="D190" t="s">
        <v>194</v>
      </c>
      <c r="E190" t="s">
        <v>136</v>
      </c>
      <c r="F190">
        <v>6199900</v>
      </c>
      <c r="G190" t="s">
        <v>195</v>
      </c>
      <c r="H190" t="s">
        <v>195</v>
      </c>
      <c r="I190" t="s">
        <v>184</v>
      </c>
    </row>
    <row r="191" spans="1:9" x14ac:dyDescent="0.2">
      <c r="A191">
        <v>189</v>
      </c>
      <c r="B191" t="s">
        <v>585</v>
      </c>
      <c r="C191" t="s">
        <v>586</v>
      </c>
      <c r="D191" t="s">
        <v>211</v>
      </c>
      <c r="E191" t="s">
        <v>136</v>
      </c>
      <c r="F191">
        <v>2400000</v>
      </c>
      <c r="G191" t="s">
        <v>212</v>
      </c>
      <c r="H191" t="s">
        <v>183</v>
      </c>
      <c r="I191" t="s">
        <v>184</v>
      </c>
    </row>
    <row r="192" spans="1:9" x14ac:dyDescent="0.2">
      <c r="A192">
        <v>190</v>
      </c>
      <c r="B192" t="s">
        <v>587</v>
      </c>
      <c r="C192" t="s">
        <v>588</v>
      </c>
      <c r="D192" t="s">
        <v>211</v>
      </c>
      <c r="E192" t="s">
        <v>167</v>
      </c>
      <c r="F192">
        <v>24501817</v>
      </c>
      <c r="G192" t="s">
        <v>212</v>
      </c>
      <c r="H192" t="s">
        <v>183</v>
      </c>
      <c r="I192" t="s">
        <v>184</v>
      </c>
    </row>
    <row r="193" spans="1:9" x14ac:dyDescent="0.2">
      <c r="A193">
        <v>191</v>
      </c>
      <c r="B193" t="s">
        <v>589</v>
      </c>
      <c r="C193" t="s">
        <v>590</v>
      </c>
      <c r="D193" t="s">
        <v>211</v>
      </c>
      <c r="E193" t="s">
        <v>136</v>
      </c>
      <c r="F193">
        <v>28480000</v>
      </c>
      <c r="G193" t="s">
        <v>212</v>
      </c>
      <c r="H193" t="s">
        <v>183</v>
      </c>
      <c r="I193" t="s">
        <v>184</v>
      </c>
    </row>
    <row r="194" spans="1:9" x14ac:dyDescent="0.2">
      <c r="A194">
        <v>192</v>
      </c>
      <c r="B194" t="s">
        <v>591</v>
      </c>
      <c r="C194" t="s">
        <v>592</v>
      </c>
      <c r="D194" t="s">
        <v>208</v>
      </c>
      <c r="E194" t="s">
        <v>136</v>
      </c>
      <c r="F194">
        <v>1800000</v>
      </c>
      <c r="G194" t="s">
        <v>195</v>
      </c>
      <c r="H194" t="s">
        <v>195</v>
      </c>
      <c r="I194" t="s">
        <v>184</v>
      </c>
    </row>
    <row r="195" spans="1:9" x14ac:dyDescent="0.2">
      <c r="A195">
        <v>193</v>
      </c>
      <c r="B195" t="s">
        <v>593</v>
      </c>
      <c r="C195" t="s">
        <v>594</v>
      </c>
      <c r="D195" t="s">
        <v>208</v>
      </c>
      <c r="E195" t="s">
        <v>143</v>
      </c>
      <c r="F195">
        <v>43977432</v>
      </c>
      <c r="G195" t="s">
        <v>195</v>
      </c>
      <c r="H195" t="s">
        <v>195</v>
      </c>
      <c r="I195" t="s">
        <v>184</v>
      </c>
    </row>
    <row r="196" spans="1:9" x14ac:dyDescent="0.2">
      <c r="A196">
        <v>194</v>
      </c>
      <c r="B196" t="s">
        <v>595</v>
      </c>
      <c r="C196" t="s">
        <v>596</v>
      </c>
      <c r="D196" t="s">
        <v>194</v>
      </c>
      <c r="E196" t="s">
        <v>136</v>
      </c>
      <c r="F196">
        <v>3464995</v>
      </c>
      <c r="G196" t="s">
        <v>195</v>
      </c>
      <c r="H196" t="s">
        <v>195</v>
      </c>
      <c r="I196" t="s">
        <v>184</v>
      </c>
    </row>
    <row r="197" spans="1:9" x14ac:dyDescent="0.2">
      <c r="A197">
        <v>195</v>
      </c>
      <c r="B197" t="s">
        <v>597</v>
      </c>
      <c r="C197" t="s">
        <v>598</v>
      </c>
      <c r="D197" t="s">
        <v>437</v>
      </c>
      <c r="E197" t="s">
        <v>136</v>
      </c>
      <c r="F197">
        <v>2000000</v>
      </c>
      <c r="G197" t="s">
        <v>182</v>
      </c>
      <c r="H197" t="s">
        <v>183</v>
      </c>
      <c r="I197" t="s">
        <v>184</v>
      </c>
    </row>
    <row r="198" spans="1:9" x14ac:dyDescent="0.2">
      <c r="A198">
        <v>196</v>
      </c>
      <c r="B198" t="s">
        <v>599</v>
      </c>
      <c r="C198" t="s">
        <v>600</v>
      </c>
      <c r="D198" t="s">
        <v>211</v>
      </c>
      <c r="E198" t="s">
        <v>167</v>
      </c>
      <c r="F198">
        <v>99000000</v>
      </c>
      <c r="G198" t="s">
        <v>212</v>
      </c>
      <c r="H198" t="s">
        <v>183</v>
      </c>
      <c r="I198" t="s">
        <v>184</v>
      </c>
    </row>
    <row r="199" spans="1:9" x14ac:dyDescent="0.2">
      <c r="A199">
        <v>197</v>
      </c>
      <c r="B199" t="s">
        <v>601</v>
      </c>
      <c r="C199" t="s">
        <v>602</v>
      </c>
      <c r="D199" t="s">
        <v>208</v>
      </c>
      <c r="E199" t="s">
        <v>136</v>
      </c>
      <c r="F199">
        <v>31504975</v>
      </c>
      <c r="G199" t="s">
        <v>195</v>
      </c>
      <c r="H199" t="s">
        <v>195</v>
      </c>
      <c r="I199" t="s">
        <v>184</v>
      </c>
    </row>
    <row r="200" spans="1:9" x14ac:dyDescent="0.2">
      <c r="A200">
        <v>198</v>
      </c>
      <c r="B200" t="s">
        <v>603</v>
      </c>
      <c r="C200" t="s">
        <v>604</v>
      </c>
      <c r="D200" t="s">
        <v>240</v>
      </c>
      <c r="E200" t="s">
        <v>136</v>
      </c>
      <c r="F200">
        <v>18270000</v>
      </c>
      <c r="G200" t="s">
        <v>240</v>
      </c>
      <c r="H200" t="s">
        <v>241</v>
      </c>
      <c r="I200" t="s">
        <v>242</v>
      </c>
    </row>
    <row r="201" spans="1:9" x14ac:dyDescent="0.2">
      <c r="A201">
        <v>199</v>
      </c>
      <c r="B201" t="s">
        <v>605</v>
      </c>
      <c r="C201" t="s">
        <v>606</v>
      </c>
      <c r="D201" t="s">
        <v>208</v>
      </c>
      <c r="E201" t="s">
        <v>136</v>
      </c>
      <c r="F201">
        <v>2133271</v>
      </c>
      <c r="G201" t="s">
        <v>195</v>
      </c>
      <c r="H201" t="s">
        <v>195</v>
      </c>
      <c r="I201" t="s">
        <v>184</v>
      </c>
    </row>
    <row r="202" spans="1:9" x14ac:dyDescent="0.2">
      <c r="A202">
        <v>200</v>
      </c>
      <c r="B202" t="s">
        <v>607</v>
      </c>
      <c r="C202" t="s">
        <v>608</v>
      </c>
      <c r="D202" t="s">
        <v>513</v>
      </c>
      <c r="E202" t="s">
        <v>136</v>
      </c>
      <c r="F202">
        <v>21712440</v>
      </c>
      <c r="G202" t="s">
        <v>229</v>
      </c>
      <c r="H202" t="s">
        <v>229</v>
      </c>
      <c r="I202" t="s">
        <v>217</v>
      </c>
    </row>
    <row r="203" spans="1:9" x14ac:dyDescent="0.2">
      <c r="A203">
        <v>201</v>
      </c>
      <c r="B203" t="s">
        <v>609</v>
      </c>
      <c r="C203" t="s">
        <v>610</v>
      </c>
      <c r="D203" t="s">
        <v>166</v>
      </c>
      <c r="E203" t="s">
        <v>167</v>
      </c>
      <c r="F203">
        <v>540406432</v>
      </c>
      <c r="G203" t="s">
        <v>166</v>
      </c>
      <c r="H203" t="s">
        <v>166</v>
      </c>
      <c r="I203" t="s">
        <v>160</v>
      </c>
    </row>
    <row r="204" spans="1:9" x14ac:dyDescent="0.2">
      <c r="A204">
        <v>202</v>
      </c>
      <c r="B204" t="s">
        <v>611</v>
      </c>
      <c r="C204" t="s">
        <v>612</v>
      </c>
      <c r="D204" t="s">
        <v>137</v>
      </c>
      <c r="E204" t="s">
        <v>167</v>
      </c>
      <c r="F204">
        <v>6050000</v>
      </c>
      <c r="G204" t="s">
        <v>137</v>
      </c>
      <c r="H204" t="s">
        <v>138</v>
      </c>
      <c r="I204" t="s">
        <v>139</v>
      </c>
    </row>
    <row r="205" spans="1:9" x14ac:dyDescent="0.2">
      <c r="A205">
        <v>203</v>
      </c>
      <c r="B205" t="s">
        <v>613</v>
      </c>
      <c r="C205" t="s">
        <v>614</v>
      </c>
      <c r="D205" t="s">
        <v>567</v>
      </c>
      <c r="E205" t="s">
        <v>136</v>
      </c>
      <c r="F205">
        <v>2000000</v>
      </c>
      <c r="G205" t="s">
        <v>182</v>
      </c>
      <c r="H205" t="s">
        <v>183</v>
      </c>
      <c r="I205" t="s">
        <v>184</v>
      </c>
    </row>
    <row r="206" spans="1:9" x14ac:dyDescent="0.2">
      <c r="A206">
        <v>204</v>
      </c>
      <c r="B206" t="s">
        <v>615</v>
      </c>
      <c r="C206" t="s">
        <v>616</v>
      </c>
      <c r="D206" t="s">
        <v>400</v>
      </c>
      <c r="E206" t="s">
        <v>136</v>
      </c>
      <c r="F206">
        <v>8096000</v>
      </c>
      <c r="G206" t="s">
        <v>348</v>
      </c>
      <c r="H206" t="s">
        <v>155</v>
      </c>
      <c r="I206" t="s">
        <v>139</v>
      </c>
    </row>
    <row r="207" spans="1:9" x14ac:dyDescent="0.2">
      <c r="A207">
        <v>205</v>
      </c>
      <c r="B207" t="s">
        <v>617</v>
      </c>
      <c r="C207" t="s">
        <v>618</v>
      </c>
      <c r="D207" t="s">
        <v>194</v>
      </c>
      <c r="E207" t="s">
        <v>136</v>
      </c>
      <c r="F207">
        <v>9499956</v>
      </c>
      <c r="G207" t="s">
        <v>195</v>
      </c>
      <c r="H207" t="s">
        <v>195</v>
      </c>
      <c r="I207" t="s">
        <v>184</v>
      </c>
    </row>
    <row r="208" spans="1:9" x14ac:dyDescent="0.2">
      <c r="A208">
        <v>206</v>
      </c>
      <c r="B208" t="s">
        <v>619</v>
      </c>
      <c r="C208" t="s">
        <v>620</v>
      </c>
      <c r="D208" t="s">
        <v>208</v>
      </c>
      <c r="E208" t="s">
        <v>136</v>
      </c>
      <c r="F208">
        <v>3732450</v>
      </c>
      <c r="G208" t="s">
        <v>195</v>
      </c>
      <c r="H208" t="s">
        <v>195</v>
      </c>
      <c r="I208" t="s">
        <v>184</v>
      </c>
    </row>
    <row r="209" spans="1:9" x14ac:dyDescent="0.2">
      <c r="A209">
        <v>207</v>
      </c>
      <c r="B209" t="s">
        <v>621</v>
      </c>
      <c r="C209" t="s">
        <v>622</v>
      </c>
      <c r="D209" t="s">
        <v>194</v>
      </c>
      <c r="E209" t="s">
        <v>136</v>
      </c>
      <c r="F209">
        <v>6731596</v>
      </c>
      <c r="G209" t="s">
        <v>195</v>
      </c>
      <c r="H209" t="s">
        <v>195</v>
      </c>
      <c r="I209" t="s">
        <v>184</v>
      </c>
    </row>
    <row r="210" spans="1:9" x14ac:dyDescent="0.2">
      <c r="A210">
        <v>208</v>
      </c>
      <c r="B210" t="s">
        <v>623</v>
      </c>
      <c r="C210" t="s">
        <v>624</v>
      </c>
      <c r="D210" t="s">
        <v>330</v>
      </c>
      <c r="E210" t="s">
        <v>143</v>
      </c>
      <c r="F210">
        <v>146912668</v>
      </c>
      <c r="G210" t="s">
        <v>330</v>
      </c>
      <c r="H210" t="s">
        <v>312</v>
      </c>
      <c r="I210" t="s">
        <v>313</v>
      </c>
    </row>
    <row r="211" spans="1:9" x14ac:dyDescent="0.2">
      <c r="A211">
        <v>209</v>
      </c>
      <c r="B211" t="s">
        <v>625</v>
      </c>
      <c r="C211" t="s">
        <v>626</v>
      </c>
      <c r="D211" t="s">
        <v>627</v>
      </c>
      <c r="E211" t="s">
        <v>136</v>
      </c>
      <c r="F211">
        <v>28400000</v>
      </c>
      <c r="G211" t="s">
        <v>311</v>
      </c>
      <c r="H211" t="s">
        <v>312</v>
      </c>
      <c r="I211" t="s">
        <v>313</v>
      </c>
    </row>
    <row r="212" spans="1:9" x14ac:dyDescent="0.2">
      <c r="A212">
        <v>210</v>
      </c>
      <c r="B212" t="s">
        <v>628</v>
      </c>
      <c r="C212" t="s">
        <v>629</v>
      </c>
      <c r="D212" t="s">
        <v>208</v>
      </c>
      <c r="E212" t="s">
        <v>136</v>
      </c>
      <c r="F212">
        <v>2700000</v>
      </c>
      <c r="G212" t="s">
        <v>195</v>
      </c>
      <c r="H212" t="s">
        <v>195</v>
      </c>
      <c r="I212" t="s">
        <v>184</v>
      </c>
    </row>
    <row r="213" spans="1:9" x14ac:dyDescent="0.2">
      <c r="A213">
        <v>211</v>
      </c>
      <c r="B213" t="s">
        <v>630</v>
      </c>
      <c r="C213" t="s">
        <v>631</v>
      </c>
      <c r="D213" t="s">
        <v>211</v>
      </c>
      <c r="E213" t="s">
        <v>167</v>
      </c>
      <c r="F213">
        <v>19709904</v>
      </c>
      <c r="G213" t="s">
        <v>212</v>
      </c>
      <c r="H213" t="s">
        <v>183</v>
      </c>
      <c r="I213" t="s">
        <v>184</v>
      </c>
    </row>
    <row r="214" spans="1:9" x14ac:dyDescent="0.2">
      <c r="A214">
        <v>212</v>
      </c>
      <c r="B214" t="s">
        <v>632</v>
      </c>
      <c r="C214" t="s">
        <v>633</v>
      </c>
      <c r="D214" t="s">
        <v>208</v>
      </c>
      <c r="E214" t="s">
        <v>136</v>
      </c>
      <c r="F214">
        <v>1082000</v>
      </c>
      <c r="G214" t="s">
        <v>195</v>
      </c>
      <c r="H214" t="s">
        <v>195</v>
      </c>
      <c r="I214" t="s">
        <v>184</v>
      </c>
    </row>
    <row r="215" spans="1:9" x14ac:dyDescent="0.2">
      <c r="A215">
        <v>213</v>
      </c>
      <c r="B215" t="s">
        <v>634</v>
      </c>
      <c r="C215" t="s">
        <v>635</v>
      </c>
      <c r="D215" t="s">
        <v>208</v>
      </c>
      <c r="E215" t="s">
        <v>143</v>
      </c>
      <c r="F215">
        <v>51039947</v>
      </c>
      <c r="G215" t="s">
        <v>195</v>
      </c>
      <c r="H215" t="s">
        <v>195</v>
      </c>
      <c r="I215" t="s">
        <v>184</v>
      </c>
    </row>
    <row r="216" spans="1:9" x14ac:dyDescent="0.2">
      <c r="A216">
        <v>214</v>
      </c>
      <c r="B216" t="s">
        <v>636</v>
      </c>
      <c r="C216" t="s">
        <v>637</v>
      </c>
      <c r="D216" t="s">
        <v>208</v>
      </c>
      <c r="E216" t="s">
        <v>143</v>
      </c>
      <c r="F216">
        <v>548194283</v>
      </c>
      <c r="G216" t="s">
        <v>195</v>
      </c>
      <c r="H216" t="s">
        <v>195</v>
      </c>
      <c r="I216" t="s">
        <v>184</v>
      </c>
    </row>
    <row r="217" spans="1:9" x14ac:dyDescent="0.2">
      <c r="A217">
        <v>215</v>
      </c>
      <c r="B217" t="s">
        <v>638</v>
      </c>
      <c r="C217" t="s">
        <v>639</v>
      </c>
      <c r="D217" t="s">
        <v>208</v>
      </c>
      <c r="E217" t="s">
        <v>136</v>
      </c>
      <c r="F217">
        <v>4545000</v>
      </c>
      <c r="G217" t="s">
        <v>195</v>
      </c>
      <c r="H217" t="s">
        <v>195</v>
      </c>
      <c r="I217" t="s">
        <v>184</v>
      </c>
    </row>
    <row r="218" spans="1:9" x14ac:dyDescent="0.2">
      <c r="A218">
        <v>216</v>
      </c>
      <c r="B218" t="s">
        <v>640</v>
      </c>
      <c r="C218" t="s">
        <v>641</v>
      </c>
      <c r="D218" t="s">
        <v>259</v>
      </c>
      <c r="E218" t="s">
        <v>167</v>
      </c>
      <c r="F218">
        <v>8000000</v>
      </c>
      <c r="G218" t="s">
        <v>260</v>
      </c>
      <c r="H218" t="s">
        <v>183</v>
      </c>
      <c r="I218" t="s">
        <v>184</v>
      </c>
    </row>
    <row r="219" spans="1:9" x14ac:dyDescent="0.2">
      <c r="A219">
        <v>217</v>
      </c>
      <c r="B219" t="s">
        <v>642</v>
      </c>
      <c r="C219" t="s">
        <v>643</v>
      </c>
      <c r="D219" t="s">
        <v>166</v>
      </c>
      <c r="E219" t="s">
        <v>136</v>
      </c>
      <c r="F219">
        <v>3000000</v>
      </c>
      <c r="G219" t="s">
        <v>166</v>
      </c>
      <c r="H219" t="s">
        <v>166</v>
      </c>
      <c r="I219" t="s">
        <v>160</v>
      </c>
    </row>
    <row r="220" spans="1:9" x14ac:dyDescent="0.2">
      <c r="A220">
        <v>218</v>
      </c>
      <c r="B220" t="s">
        <v>644</v>
      </c>
      <c r="C220" t="s">
        <v>645</v>
      </c>
      <c r="D220" t="s">
        <v>289</v>
      </c>
      <c r="E220" t="s">
        <v>136</v>
      </c>
      <c r="F220">
        <v>3286404</v>
      </c>
      <c r="G220" t="s">
        <v>290</v>
      </c>
      <c r="H220" t="s">
        <v>183</v>
      </c>
      <c r="I220" t="s">
        <v>184</v>
      </c>
    </row>
    <row r="221" spans="1:9" x14ac:dyDescent="0.2">
      <c r="A221">
        <v>219</v>
      </c>
      <c r="B221" t="s">
        <v>646</v>
      </c>
      <c r="C221" t="s">
        <v>647</v>
      </c>
      <c r="D221" t="s">
        <v>289</v>
      </c>
      <c r="E221" t="s">
        <v>136</v>
      </c>
      <c r="F221">
        <v>31000000</v>
      </c>
      <c r="G221" t="s">
        <v>290</v>
      </c>
      <c r="H221" t="s">
        <v>183</v>
      </c>
      <c r="I221" t="s">
        <v>184</v>
      </c>
    </row>
    <row r="222" spans="1:9" x14ac:dyDescent="0.2">
      <c r="A222">
        <v>220</v>
      </c>
      <c r="B222" t="s">
        <v>648</v>
      </c>
      <c r="C222" t="s">
        <v>649</v>
      </c>
      <c r="D222" t="s">
        <v>166</v>
      </c>
      <c r="E222" t="s">
        <v>143</v>
      </c>
      <c r="F222">
        <v>161807526</v>
      </c>
      <c r="G222" t="s">
        <v>166</v>
      </c>
      <c r="H222" t="s">
        <v>166</v>
      </c>
      <c r="I222" t="s">
        <v>160</v>
      </c>
    </row>
    <row r="223" spans="1:9" x14ac:dyDescent="0.2">
      <c r="A223">
        <v>221</v>
      </c>
      <c r="B223" t="s">
        <v>650</v>
      </c>
      <c r="C223" t="s">
        <v>651</v>
      </c>
      <c r="D223" t="s">
        <v>652</v>
      </c>
      <c r="E223" t="s">
        <v>167</v>
      </c>
      <c r="F223">
        <v>4050000</v>
      </c>
      <c r="G223" t="s">
        <v>653</v>
      </c>
      <c r="H223" t="s">
        <v>654</v>
      </c>
      <c r="I223" t="s">
        <v>654</v>
      </c>
    </row>
    <row r="224" spans="1:9" x14ac:dyDescent="0.2">
      <c r="A224">
        <v>222</v>
      </c>
      <c r="B224" t="s">
        <v>655</v>
      </c>
      <c r="C224" t="s">
        <v>656</v>
      </c>
      <c r="D224" t="s">
        <v>657</v>
      </c>
      <c r="E224" t="s">
        <v>143</v>
      </c>
      <c r="F224">
        <v>26207583</v>
      </c>
      <c r="G224" t="s">
        <v>657</v>
      </c>
      <c r="H224" t="s">
        <v>138</v>
      </c>
      <c r="I224" t="s">
        <v>139</v>
      </c>
    </row>
    <row r="225" spans="1:9" x14ac:dyDescent="0.2">
      <c r="A225">
        <v>223</v>
      </c>
      <c r="B225" t="s">
        <v>658</v>
      </c>
      <c r="C225" t="s">
        <v>659</v>
      </c>
      <c r="D225" t="s">
        <v>166</v>
      </c>
      <c r="E225" t="s">
        <v>136</v>
      </c>
      <c r="F225">
        <v>21150000</v>
      </c>
      <c r="G225" t="s">
        <v>166</v>
      </c>
      <c r="H225" t="s">
        <v>166</v>
      </c>
      <c r="I225" t="s">
        <v>160</v>
      </c>
    </row>
    <row r="226" spans="1:9" x14ac:dyDescent="0.2">
      <c r="A226">
        <v>224</v>
      </c>
      <c r="B226" t="s">
        <v>660</v>
      </c>
      <c r="C226" t="s">
        <v>661</v>
      </c>
      <c r="D226" t="s">
        <v>194</v>
      </c>
      <c r="E226" t="s">
        <v>167</v>
      </c>
      <c r="F226">
        <v>12000000</v>
      </c>
      <c r="G226" t="s">
        <v>195</v>
      </c>
      <c r="H226" t="s">
        <v>195</v>
      </c>
      <c r="I226" t="s">
        <v>184</v>
      </c>
    </row>
    <row r="227" spans="1:9" x14ac:dyDescent="0.2">
      <c r="A227">
        <v>225</v>
      </c>
      <c r="B227" t="s">
        <v>3205</v>
      </c>
      <c r="C227" t="s">
        <v>662</v>
      </c>
      <c r="D227" t="s">
        <v>211</v>
      </c>
      <c r="E227" t="s">
        <v>143</v>
      </c>
      <c r="F227">
        <v>34000000</v>
      </c>
      <c r="G227" t="s">
        <v>212</v>
      </c>
      <c r="H227" t="s">
        <v>183</v>
      </c>
      <c r="I227" t="s">
        <v>184</v>
      </c>
    </row>
    <row r="228" spans="1:9" x14ac:dyDescent="0.2">
      <c r="A228">
        <v>226</v>
      </c>
      <c r="B228" t="s">
        <v>663</v>
      </c>
      <c r="C228" t="s">
        <v>664</v>
      </c>
      <c r="D228" t="s">
        <v>148</v>
      </c>
      <c r="E228" t="s">
        <v>167</v>
      </c>
      <c r="F228">
        <v>11000000</v>
      </c>
      <c r="G228" t="s">
        <v>149</v>
      </c>
      <c r="H228" t="s">
        <v>150</v>
      </c>
      <c r="I228" t="s">
        <v>145</v>
      </c>
    </row>
    <row r="229" spans="1:9" x14ac:dyDescent="0.2">
      <c r="A229">
        <v>227</v>
      </c>
      <c r="B229" t="s">
        <v>665</v>
      </c>
      <c r="C229" t="s">
        <v>666</v>
      </c>
      <c r="D229" t="s">
        <v>383</v>
      </c>
      <c r="E229" t="s">
        <v>143</v>
      </c>
      <c r="F229">
        <v>13000000</v>
      </c>
      <c r="G229" t="s">
        <v>311</v>
      </c>
      <c r="H229" t="s">
        <v>312</v>
      </c>
      <c r="I229" t="s">
        <v>313</v>
      </c>
    </row>
    <row r="230" spans="1:9" x14ac:dyDescent="0.2">
      <c r="A230">
        <v>228</v>
      </c>
      <c r="B230" t="s">
        <v>667</v>
      </c>
      <c r="C230" t="s">
        <v>668</v>
      </c>
      <c r="D230" t="s">
        <v>237</v>
      </c>
      <c r="E230" t="s">
        <v>136</v>
      </c>
      <c r="F230">
        <v>86600000</v>
      </c>
      <c r="G230" t="s">
        <v>154</v>
      </c>
      <c r="H230" t="s">
        <v>155</v>
      </c>
      <c r="I230" t="s">
        <v>139</v>
      </c>
    </row>
    <row r="231" spans="1:9" x14ac:dyDescent="0.2">
      <c r="A231">
        <v>229</v>
      </c>
      <c r="B231" t="s">
        <v>669</v>
      </c>
      <c r="C231" t="s">
        <v>670</v>
      </c>
      <c r="D231" t="s">
        <v>289</v>
      </c>
      <c r="E231" t="s">
        <v>167</v>
      </c>
      <c r="F231">
        <v>4561050</v>
      </c>
      <c r="G231" t="s">
        <v>290</v>
      </c>
      <c r="H231" t="s">
        <v>183</v>
      </c>
      <c r="I231" t="s">
        <v>184</v>
      </c>
    </row>
    <row r="232" spans="1:9" x14ac:dyDescent="0.2">
      <c r="A232">
        <v>230</v>
      </c>
      <c r="B232" t="s">
        <v>3206</v>
      </c>
      <c r="C232" t="s">
        <v>673</v>
      </c>
      <c r="D232" t="s">
        <v>194</v>
      </c>
      <c r="E232" t="s">
        <v>136</v>
      </c>
      <c r="F232">
        <v>15000000</v>
      </c>
      <c r="G232" t="s">
        <v>195</v>
      </c>
      <c r="H232" t="s">
        <v>195</v>
      </c>
      <c r="I232" t="s">
        <v>184</v>
      </c>
    </row>
    <row r="233" spans="1:9" x14ac:dyDescent="0.2">
      <c r="A233">
        <v>231</v>
      </c>
      <c r="B233" t="s">
        <v>674</v>
      </c>
      <c r="C233" t="s">
        <v>675</v>
      </c>
      <c r="D233" t="s">
        <v>237</v>
      </c>
      <c r="E233" t="s">
        <v>136</v>
      </c>
      <c r="F233">
        <v>8100000</v>
      </c>
      <c r="G233" t="s">
        <v>154</v>
      </c>
      <c r="H233" t="s">
        <v>155</v>
      </c>
      <c r="I233" t="s">
        <v>139</v>
      </c>
    </row>
    <row r="234" spans="1:9" x14ac:dyDescent="0.2">
      <c r="A234">
        <v>232</v>
      </c>
      <c r="B234" t="s">
        <v>676</v>
      </c>
      <c r="C234" t="s">
        <v>677</v>
      </c>
      <c r="D234" t="s">
        <v>678</v>
      </c>
      <c r="E234" t="s">
        <v>143</v>
      </c>
      <c r="F234">
        <v>211339607</v>
      </c>
      <c r="G234" t="s">
        <v>679</v>
      </c>
      <c r="H234" t="s">
        <v>654</v>
      </c>
      <c r="I234" t="s">
        <v>654</v>
      </c>
    </row>
    <row r="235" spans="1:9" x14ac:dyDescent="0.2">
      <c r="A235">
        <v>233</v>
      </c>
      <c r="B235" t="s">
        <v>3207</v>
      </c>
      <c r="C235" t="s">
        <v>680</v>
      </c>
      <c r="D235" t="s">
        <v>194</v>
      </c>
      <c r="E235" t="s">
        <v>136</v>
      </c>
      <c r="F235">
        <v>15002500</v>
      </c>
      <c r="G235" t="s">
        <v>195</v>
      </c>
      <c r="H235" t="s">
        <v>195</v>
      </c>
      <c r="I235" t="s">
        <v>184</v>
      </c>
    </row>
    <row r="236" spans="1:9" x14ac:dyDescent="0.2">
      <c r="A236">
        <v>234</v>
      </c>
      <c r="B236" t="s">
        <v>3208</v>
      </c>
      <c r="C236" t="s">
        <v>681</v>
      </c>
      <c r="D236" t="s">
        <v>289</v>
      </c>
      <c r="E236" t="s">
        <v>136</v>
      </c>
      <c r="F236">
        <v>1432578</v>
      </c>
      <c r="G236" t="s">
        <v>290</v>
      </c>
      <c r="H236" t="s">
        <v>183</v>
      </c>
      <c r="I236" t="s">
        <v>184</v>
      </c>
    </row>
    <row r="237" spans="1:9" x14ac:dyDescent="0.2">
      <c r="A237">
        <v>235</v>
      </c>
      <c r="B237" t="s">
        <v>682</v>
      </c>
      <c r="C237" t="s">
        <v>683</v>
      </c>
      <c r="D237" t="s">
        <v>237</v>
      </c>
      <c r="E237" t="s">
        <v>136</v>
      </c>
      <c r="F237">
        <v>91849998</v>
      </c>
      <c r="G237" t="s">
        <v>154</v>
      </c>
      <c r="H237" t="s">
        <v>155</v>
      </c>
      <c r="I237" t="s">
        <v>139</v>
      </c>
    </row>
    <row r="238" spans="1:9" x14ac:dyDescent="0.2">
      <c r="A238">
        <v>236</v>
      </c>
      <c r="B238" t="s">
        <v>684</v>
      </c>
      <c r="C238" t="s">
        <v>685</v>
      </c>
      <c r="D238" t="s">
        <v>237</v>
      </c>
      <c r="E238" t="s">
        <v>136</v>
      </c>
      <c r="F238">
        <v>4800000</v>
      </c>
      <c r="G238" t="s">
        <v>154</v>
      </c>
      <c r="H238" t="s">
        <v>155</v>
      </c>
      <c r="I238" t="s">
        <v>139</v>
      </c>
    </row>
    <row r="239" spans="1:9" x14ac:dyDescent="0.2">
      <c r="A239">
        <v>237</v>
      </c>
      <c r="B239" t="s">
        <v>3209</v>
      </c>
      <c r="C239" t="s">
        <v>686</v>
      </c>
      <c r="D239" t="s">
        <v>211</v>
      </c>
      <c r="E239" t="s">
        <v>136</v>
      </c>
      <c r="F239">
        <v>32405415</v>
      </c>
      <c r="G239" t="s">
        <v>212</v>
      </c>
      <c r="H239" t="s">
        <v>183</v>
      </c>
      <c r="I239" t="s">
        <v>184</v>
      </c>
    </row>
    <row r="240" spans="1:9" x14ac:dyDescent="0.2">
      <c r="A240">
        <v>238</v>
      </c>
      <c r="B240" t="s">
        <v>3210</v>
      </c>
      <c r="C240" t="s">
        <v>687</v>
      </c>
      <c r="D240" t="s">
        <v>208</v>
      </c>
      <c r="E240" t="s">
        <v>167</v>
      </c>
      <c r="F240">
        <v>25452500</v>
      </c>
      <c r="G240" t="s">
        <v>195</v>
      </c>
      <c r="H240" t="s">
        <v>195</v>
      </c>
      <c r="I240" t="s">
        <v>184</v>
      </c>
    </row>
    <row r="241" spans="1:9" x14ac:dyDescent="0.2">
      <c r="A241">
        <v>239</v>
      </c>
      <c r="B241" t="s">
        <v>688</v>
      </c>
      <c r="C241" t="s">
        <v>689</v>
      </c>
      <c r="D241" t="s">
        <v>690</v>
      </c>
      <c r="E241" t="s">
        <v>136</v>
      </c>
      <c r="F241">
        <v>8000000</v>
      </c>
      <c r="G241" t="s">
        <v>679</v>
      </c>
      <c r="H241" t="s">
        <v>654</v>
      </c>
      <c r="I241" t="s">
        <v>654</v>
      </c>
    </row>
    <row r="242" spans="1:9" x14ac:dyDescent="0.2">
      <c r="A242">
        <v>240</v>
      </c>
      <c r="B242" t="s">
        <v>691</v>
      </c>
      <c r="C242" t="s">
        <v>692</v>
      </c>
      <c r="D242" t="s">
        <v>513</v>
      </c>
      <c r="E242" t="s">
        <v>143</v>
      </c>
      <c r="F242">
        <v>18155868</v>
      </c>
      <c r="G242" t="s">
        <v>229</v>
      </c>
      <c r="H242" t="s">
        <v>229</v>
      </c>
      <c r="I242" t="s">
        <v>217</v>
      </c>
    </row>
    <row r="243" spans="1:9" x14ac:dyDescent="0.2">
      <c r="A243">
        <v>241</v>
      </c>
      <c r="B243" t="s">
        <v>693</v>
      </c>
      <c r="C243" t="s">
        <v>694</v>
      </c>
      <c r="D243" t="s">
        <v>383</v>
      </c>
      <c r="E243" t="s">
        <v>136</v>
      </c>
      <c r="F243">
        <v>15534900</v>
      </c>
      <c r="G243" t="s">
        <v>311</v>
      </c>
      <c r="H243" t="s">
        <v>312</v>
      </c>
      <c r="I243" t="s">
        <v>313</v>
      </c>
    </row>
    <row r="244" spans="1:9" x14ac:dyDescent="0.2">
      <c r="A244">
        <v>242</v>
      </c>
      <c r="B244" t="s">
        <v>695</v>
      </c>
      <c r="C244" t="s">
        <v>696</v>
      </c>
      <c r="D244" t="s">
        <v>153</v>
      </c>
      <c r="E244" t="s">
        <v>143</v>
      </c>
      <c r="F244">
        <v>101898990</v>
      </c>
      <c r="G244" t="s">
        <v>154</v>
      </c>
      <c r="H244" t="s">
        <v>155</v>
      </c>
      <c r="I244" t="s">
        <v>139</v>
      </c>
    </row>
    <row r="245" spans="1:9" x14ac:dyDescent="0.2">
      <c r="A245">
        <v>243</v>
      </c>
      <c r="B245" t="s">
        <v>697</v>
      </c>
      <c r="C245" t="s">
        <v>698</v>
      </c>
      <c r="D245" t="s">
        <v>153</v>
      </c>
      <c r="E245" t="s">
        <v>136</v>
      </c>
      <c r="F245">
        <v>1673622</v>
      </c>
      <c r="G245" t="s">
        <v>154</v>
      </c>
      <c r="H245" t="s">
        <v>155</v>
      </c>
      <c r="I245" t="s">
        <v>139</v>
      </c>
    </row>
    <row r="246" spans="1:9" x14ac:dyDescent="0.2">
      <c r="A246">
        <v>244</v>
      </c>
      <c r="B246" t="s">
        <v>699</v>
      </c>
      <c r="C246" t="s">
        <v>700</v>
      </c>
      <c r="D246" t="s">
        <v>240</v>
      </c>
      <c r="E246" t="s">
        <v>136</v>
      </c>
      <c r="F246">
        <v>11364325</v>
      </c>
      <c r="G246" t="s">
        <v>240</v>
      </c>
      <c r="H246" t="s">
        <v>241</v>
      </c>
      <c r="I246" t="s">
        <v>242</v>
      </c>
    </row>
    <row r="247" spans="1:9" x14ac:dyDescent="0.2">
      <c r="A247">
        <v>245</v>
      </c>
      <c r="B247" t="s">
        <v>701</v>
      </c>
      <c r="C247" t="s">
        <v>702</v>
      </c>
      <c r="D247" t="s">
        <v>310</v>
      </c>
      <c r="E247" t="s">
        <v>143</v>
      </c>
      <c r="F247">
        <v>35099625</v>
      </c>
      <c r="G247" t="s">
        <v>311</v>
      </c>
      <c r="H247" t="s">
        <v>312</v>
      </c>
      <c r="I247" t="s">
        <v>313</v>
      </c>
    </row>
    <row r="248" spans="1:9" x14ac:dyDescent="0.2">
      <c r="A248">
        <v>246</v>
      </c>
      <c r="B248" t="s">
        <v>3211</v>
      </c>
      <c r="C248" t="s">
        <v>703</v>
      </c>
      <c r="D248" t="s">
        <v>208</v>
      </c>
      <c r="E248" t="s">
        <v>136</v>
      </c>
      <c r="F248">
        <v>8800000</v>
      </c>
      <c r="G248" t="s">
        <v>195</v>
      </c>
      <c r="H248" t="s">
        <v>195</v>
      </c>
      <c r="I248" t="s">
        <v>184</v>
      </c>
    </row>
    <row r="249" spans="1:9" x14ac:dyDescent="0.2">
      <c r="A249">
        <v>247</v>
      </c>
      <c r="B249" t="s">
        <v>3212</v>
      </c>
      <c r="C249" t="s">
        <v>704</v>
      </c>
      <c r="D249" t="s">
        <v>208</v>
      </c>
      <c r="E249" t="s">
        <v>136</v>
      </c>
      <c r="F249">
        <v>65480283</v>
      </c>
      <c r="G249" t="s">
        <v>195</v>
      </c>
      <c r="H249" t="s">
        <v>195</v>
      </c>
      <c r="I249" t="s">
        <v>184</v>
      </c>
    </row>
    <row r="250" spans="1:9" x14ac:dyDescent="0.2">
      <c r="A250">
        <v>248</v>
      </c>
      <c r="B250" t="s">
        <v>705</v>
      </c>
      <c r="C250" t="s">
        <v>706</v>
      </c>
      <c r="D250" t="s">
        <v>316</v>
      </c>
      <c r="E250" t="s">
        <v>143</v>
      </c>
      <c r="F250">
        <v>14120628</v>
      </c>
      <c r="G250" t="s">
        <v>229</v>
      </c>
      <c r="H250" t="s">
        <v>229</v>
      </c>
      <c r="I250" t="s">
        <v>217</v>
      </c>
    </row>
    <row r="251" spans="1:9" x14ac:dyDescent="0.2">
      <c r="A251">
        <v>249</v>
      </c>
      <c r="B251" t="s">
        <v>707</v>
      </c>
      <c r="C251" t="s">
        <v>708</v>
      </c>
      <c r="D251" t="s">
        <v>400</v>
      </c>
      <c r="E251" t="s">
        <v>136</v>
      </c>
      <c r="F251">
        <v>23627990</v>
      </c>
      <c r="G251" t="s">
        <v>348</v>
      </c>
      <c r="H251" t="s">
        <v>155</v>
      </c>
      <c r="I251" t="s">
        <v>139</v>
      </c>
    </row>
    <row r="252" spans="1:9" x14ac:dyDescent="0.2">
      <c r="A252">
        <v>250</v>
      </c>
      <c r="B252" t="s">
        <v>709</v>
      </c>
      <c r="C252" t="s">
        <v>710</v>
      </c>
      <c r="D252" t="s">
        <v>293</v>
      </c>
      <c r="E252" t="s">
        <v>167</v>
      </c>
      <c r="F252">
        <v>4303050</v>
      </c>
      <c r="G252" t="s">
        <v>144</v>
      </c>
      <c r="H252" t="s">
        <v>144</v>
      </c>
      <c r="I252" t="s">
        <v>145</v>
      </c>
    </row>
    <row r="253" spans="1:9" x14ac:dyDescent="0.2">
      <c r="A253">
        <v>251</v>
      </c>
      <c r="B253" t="s">
        <v>711</v>
      </c>
      <c r="C253" t="s">
        <v>712</v>
      </c>
      <c r="D253" t="s">
        <v>713</v>
      </c>
      <c r="E253" t="s">
        <v>136</v>
      </c>
      <c r="F253">
        <v>4400000</v>
      </c>
      <c r="G253" t="s">
        <v>229</v>
      </c>
      <c r="H253" t="s">
        <v>229</v>
      </c>
      <c r="I253" t="s">
        <v>217</v>
      </c>
    </row>
    <row r="254" spans="1:9" x14ac:dyDescent="0.2">
      <c r="A254">
        <v>252</v>
      </c>
      <c r="B254" t="s">
        <v>3213</v>
      </c>
      <c r="C254" t="s">
        <v>714</v>
      </c>
      <c r="D254" t="s">
        <v>211</v>
      </c>
      <c r="E254" t="s">
        <v>136</v>
      </c>
      <c r="F254">
        <v>36505000</v>
      </c>
      <c r="G254" t="s">
        <v>212</v>
      </c>
      <c r="H254" t="s">
        <v>183</v>
      </c>
      <c r="I254" t="s">
        <v>184</v>
      </c>
    </row>
    <row r="255" spans="1:9" x14ac:dyDescent="0.2">
      <c r="A255">
        <v>253</v>
      </c>
      <c r="B255" t="s">
        <v>3214</v>
      </c>
      <c r="C255" t="s">
        <v>3058</v>
      </c>
      <c r="D255" t="s">
        <v>211</v>
      </c>
      <c r="E255" t="s">
        <v>136</v>
      </c>
      <c r="F255">
        <v>75049936</v>
      </c>
      <c r="G255" t="s">
        <v>212</v>
      </c>
      <c r="H255" t="s">
        <v>183</v>
      </c>
      <c r="I255" t="s">
        <v>184</v>
      </c>
    </row>
    <row r="256" spans="1:9" x14ac:dyDescent="0.2">
      <c r="A256">
        <v>254</v>
      </c>
      <c r="B256" t="s">
        <v>3215</v>
      </c>
      <c r="C256" t="s">
        <v>715</v>
      </c>
      <c r="D256" t="s">
        <v>194</v>
      </c>
      <c r="E256" t="s">
        <v>136</v>
      </c>
      <c r="F256">
        <v>25000000</v>
      </c>
      <c r="G256" t="s">
        <v>195</v>
      </c>
      <c r="H256" t="s">
        <v>195</v>
      </c>
      <c r="I256" t="s">
        <v>184</v>
      </c>
    </row>
    <row r="257" spans="1:9" x14ac:dyDescent="0.2">
      <c r="A257">
        <v>255</v>
      </c>
      <c r="B257" t="s">
        <v>3216</v>
      </c>
      <c r="C257" t="s">
        <v>716</v>
      </c>
      <c r="D257" t="s">
        <v>194</v>
      </c>
      <c r="E257" t="s">
        <v>143</v>
      </c>
      <c r="F257">
        <v>68399924</v>
      </c>
      <c r="G257" t="s">
        <v>195</v>
      </c>
      <c r="H257" t="s">
        <v>195</v>
      </c>
      <c r="I257" t="s">
        <v>184</v>
      </c>
    </row>
    <row r="258" spans="1:9" x14ac:dyDescent="0.2">
      <c r="A258">
        <v>256</v>
      </c>
      <c r="B258" t="s">
        <v>717</v>
      </c>
      <c r="C258" t="s">
        <v>718</v>
      </c>
      <c r="D258" t="s">
        <v>166</v>
      </c>
      <c r="E258" t="s">
        <v>143</v>
      </c>
      <c r="F258">
        <v>463678534</v>
      </c>
      <c r="G258" t="s">
        <v>166</v>
      </c>
      <c r="H258" t="s">
        <v>166</v>
      </c>
      <c r="I258" t="s">
        <v>160</v>
      </c>
    </row>
    <row r="259" spans="1:9" x14ac:dyDescent="0.2">
      <c r="A259">
        <v>257</v>
      </c>
      <c r="B259" t="s">
        <v>3217</v>
      </c>
      <c r="C259" t="s">
        <v>719</v>
      </c>
      <c r="D259" t="s">
        <v>208</v>
      </c>
      <c r="E259" t="s">
        <v>167</v>
      </c>
      <c r="F259">
        <v>41149264</v>
      </c>
      <c r="G259" t="s">
        <v>195</v>
      </c>
      <c r="H259" t="s">
        <v>195</v>
      </c>
      <c r="I259" t="s">
        <v>184</v>
      </c>
    </row>
    <row r="260" spans="1:9" x14ac:dyDescent="0.2">
      <c r="A260">
        <v>258</v>
      </c>
      <c r="B260" t="s">
        <v>720</v>
      </c>
      <c r="C260" t="s">
        <v>721</v>
      </c>
      <c r="D260" t="s">
        <v>158</v>
      </c>
      <c r="E260" t="s">
        <v>136</v>
      </c>
      <c r="F260">
        <v>16800000</v>
      </c>
      <c r="G260" t="s">
        <v>159</v>
      </c>
      <c r="H260" t="s">
        <v>159</v>
      </c>
      <c r="I260" t="s">
        <v>160</v>
      </c>
    </row>
    <row r="261" spans="1:9" x14ac:dyDescent="0.2">
      <c r="A261">
        <v>259</v>
      </c>
      <c r="B261" t="s">
        <v>722</v>
      </c>
      <c r="C261" t="s">
        <v>723</v>
      </c>
      <c r="D261" t="s">
        <v>724</v>
      </c>
      <c r="E261" t="s">
        <v>143</v>
      </c>
      <c r="F261">
        <v>103626467</v>
      </c>
      <c r="G261" t="s">
        <v>672</v>
      </c>
      <c r="H261" t="s">
        <v>672</v>
      </c>
      <c r="I261" t="s">
        <v>139</v>
      </c>
    </row>
    <row r="262" spans="1:9" x14ac:dyDescent="0.2">
      <c r="A262">
        <v>260</v>
      </c>
      <c r="B262" t="s">
        <v>725</v>
      </c>
      <c r="C262" t="s">
        <v>726</v>
      </c>
      <c r="D262" t="s">
        <v>148</v>
      </c>
      <c r="E262" t="s">
        <v>167</v>
      </c>
      <c r="F262">
        <v>42846773</v>
      </c>
      <c r="G262" t="s">
        <v>149</v>
      </c>
      <c r="H262" t="s">
        <v>150</v>
      </c>
      <c r="I262" t="s">
        <v>145</v>
      </c>
    </row>
    <row r="263" spans="1:9" x14ac:dyDescent="0.2">
      <c r="A263">
        <v>261</v>
      </c>
      <c r="B263" t="s">
        <v>727</v>
      </c>
      <c r="C263" t="s">
        <v>728</v>
      </c>
      <c r="D263" t="s">
        <v>293</v>
      </c>
      <c r="E263" t="s">
        <v>143</v>
      </c>
      <c r="F263">
        <v>110499910</v>
      </c>
      <c r="G263" t="s">
        <v>144</v>
      </c>
      <c r="H263" t="s">
        <v>144</v>
      </c>
      <c r="I263" t="s">
        <v>145</v>
      </c>
    </row>
    <row r="264" spans="1:9" x14ac:dyDescent="0.2">
      <c r="A264">
        <v>262</v>
      </c>
      <c r="B264" t="s">
        <v>3218</v>
      </c>
      <c r="C264" t="s">
        <v>729</v>
      </c>
      <c r="D264" t="s">
        <v>208</v>
      </c>
      <c r="E264" t="s">
        <v>136</v>
      </c>
      <c r="F264">
        <v>8799849</v>
      </c>
      <c r="G264" t="s">
        <v>195</v>
      </c>
      <c r="H264" t="s">
        <v>195</v>
      </c>
      <c r="I264" t="s">
        <v>184</v>
      </c>
    </row>
    <row r="265" spans="1:9" x14ac:dyDescent="0.2">
      <c r="A265">
        <v>263</v>
      </c>
      <c r="B265" t="s">
        <v>3219</v>
      </c>
      <c r="C265" t="s">
        <v>730</v>
      </c>
      <c r="D265" t="s">
        <v>208</v>
      </c>
      <c r="E265" t="s">
        <v>136</v>
      </c>
      <c r="F265">
        <v>6108078</v>
      </c>
      <c r="G265" t="s">
        <v>195</v>
      </c>
      <c r="H265" t="s">
        <v>195</v>
      </c>
      <c r="I265" t="s">
        <v>184</v>
      </c>
    </row>
    <row r="266" spans="1:9" x14ac:dyDescent="0.2">
      <c r="A266">
        <v>264</v>
      </c>
      <c r="B266" t="s">
        <v>3220</v>
      </c>
      <c r="C266" t="s">
        <v>731</v>
      </c>
      <c r="D266" t="s">
        <v>208</v>
      </c>
      <c r="E266" t="s">
        <v>136</v>
      </c>
      <c r="F266">
        <v>8454381</v>
      </c>
      <c r="G266" t="s">
        <v>195</v>
      </c>
      <c r="H266" t="s">
        <v>195</v>
      </c>
      <c r="I266" t="s">
        <v>184</v>
      </c>
    </row>
    <row r="267" spans="1:9" x14ac:dyDescent="0.2">
      <c r="A267">
        <v>265</v>
      </c>
      <c r="B267" t="s">
        <v>3221</v>
      </c>
      <c r="C267" t="s">
        <v>732</v>
      </c>
      <c r="D267" t="s">
        <v>289</v>
      </c>
      <c r="E267" t="s">
        <v>167</v>
      </c>
      <c r="F267">
        <v>13680000</v>
      </c>
      <c r="G267" t="s">
        <v>290</v>
      </c>
      <c r="H267" t="s">
        <v>183</v>
      </c>
      <c r="I267" t="s">
        <v>184</v>
      </c>
    </row>
    <row r="268" spans="1:9" x14ac:dyDescent="0.2">
      <c r="A268">
        <v>266</v>
      </c>
      <c r="B268" t="s">
        <v>733</v>
      </c>
      <c r="C268" t="s">
        <v>734</v>
      </c>
      <c r="D268" t="s">
        <v>208</v>
      </c>
      <c r="E268" t="s">
        <v>143</v>
      </c>
      <c r="F268">
        <v>103633261</v>
      </c>
      <c r="G268" t="s">
        <v>195</v>
      </c>
      <c r="H268" t="s">
        <v>195</v>
      </c>
      <c r="I268" t="s">
        <v>184</v>
      </c>
    </row>
    <row r="269" spans="1:9" x14ac:dyDescent="0.2">
      <c r="A269">
        <v>267</v>
      </c>
      <c r="B269" t="s">
        <v>735</v>
      </c>
      <c r="C269" t="s">
        <v>736</v>
      </c>
      <c r="D269" t="s">
        <v>671</v>
      </c>
      <c r="E269" t="s">
        <v>143</v>
      </c>
      <c r="F269">
        <v>95653859</v>
      </c>
      <c r="G269" t="s">
        <v>672</v>
      </c>
      <c r="H269" t="s">
        <v>672</v>
      </c>
      <c r="I269" t="s">
        <v>139</v>
      </c>
    </row>
    <row r="270" spans="1:9" x14ac:dyDescent="0.2">
      <c r="A270">
        <v>268</v>
      </c>
      <c r="B270" t="s">
        <v>737</v>
      </c>
      <c r="C270" t="s">
        <v>738</v>
      </c>
      <c r="D270" t="s">
        <v>170</v>
      </c>
      <c r="E270" t="s">
        <v>143</v>
      </c>
      <c r="F270">
        <v>5369991748</v>
      </c>
      <c r="G270" t="s">
        <v>170</v>
      </c>
      <c r="H270" t="s">
        <v>170</v>
      </c>
      <c r="I270" t="s">
        <v>170</v>
      </c>
    </row>
    <row r="271" spans="1:9" x14ac:dyDescent="0.2">
      <c r="A271">
        <v>269</v>
      </c>
      <c r="B271" t="s">
        <v>739</v>
      </c>
      <c r="C271" t="s">
        <v>740</v>
      </c>
      <c r="D271" t="s">
        <v>208</v>
      </c>
      <c r="E271" t="s">
        <v>143</v>
      </c>
      <c r="F271">
        <v>62999997</v>
      </c>
      <c r="G271" t="s">
        <v>195</v>
      </c>
      <c r="H271" t="s">
        <v>195</v>
      </c>
      <c r="I271" t="s">
        <v>184</v>
      </c>
    </row>
    <row r="272" spans="1:9" x14ac:dyDescent="0.2">
      <c r="A272">
        <v>270</v>
      </c>
      <c r="B272" t="s">
        <v>3222</v>
      </c>
      <c r="C272" t="s">
        <v>741</v>
      </c>
      <c r="D272" t="s">
        <v>208</v>
      </c>
      <c r="E272" t="s">
        <v>136</v>
      </c>
      <c r="F272">
        <v>6958345</v>
      </c>
      <c r="G272" t="s">
        <v>195</v>
      </c>
      <c r="H272" t="s">
        <v>195</v>
      </c>
      <c r="I272" t="s">
        <v>184</v>
      </c>
    </row>
    <row r="273" spans="1:9" x14ac:dyDescent="0.2">
      <c r="A273">
        <v>271</v>
      </c>
      <c r="B273" t="s">
        <v>742</v>
      </c>
      <c r="C273" t="s">
        <v>743</v>
      </c>
      <c r="D273" t="s">
        <v>400</v>
      </c>
      <c r="E273" t="s">
        <v>167</v>
      </c>
      <c r="F273">
        <v>12099992</v>
      </c>
      <c r="G273" t="s">
        <v>348</v>
      </c>
      <c r="H273" t="s">
        <v>155</v>
      </c>
      <c r="I273" t="s">
        <v>139</v>
      </c>
    </row>
    <row r="274" spans="1:9" x14ac:dyDescent="0.2">
      <c r="A274">
        <v>272</v>
      </c>
      <c r="B274" t="s">
        <v>744</v>
      </c>
      <c r="C274" t="s">
        <v>745</v>
      </c>
      <c r="D274" t="s">
        <v>208</v>
      </c>
      <c r="E274" t="s">
        <v>143</v>
      </c>
      <c r="F274">
        <v>114385879</v>
      </c>
      <c r="G274" t="s">
        <v>195</v>
      </c>
      <c r="H274" t="s">
        <v>195</v>
      </c>
      <c r="I274" t="s">
        <v>184</v>
      </c>
    </row>
    <row r="275" spans="1:9" x14ac:dyDescent="0.2">
      <c r="A275">
        <v>273</v>
      </c>
      <c r="B275" t="s">
        <v>746</v>
      </c>
      <c r="C275" t="s">
        <v>747</v>
      </c>
      <c r="D275" t="s">
        <v>158</v>
      </c>
      <c r="E275" t="s">
        <v>143</v>
      </c>
      <c r="F275">
        <v>212693438</v>
      </c>
      <c r="G275" t="s">
        <v>159</v>
      </c>
      <c r="H275" t="s">
        <v>159</v>
      </c>
      <c r="I275" t="s">
        <v>160</v>
      </c>
    </row>
    <row r="276" spans="1:9" x14ac:dyDescent="0.2">
      <c r="A276">
        <v>274</v>
      </c>
      <c r="B276" t="s">
        <v>3223</v>
      </c>
      <c r="C276" t="s">
        <v>748</v>
      </c>
      <c r="D276" t="s">
        <v>289</v>
      </c>
      <c r="E276" t="s">
        <v>167</v>
      </c>
      <c r="F276">
        <v>4697351</v>
      </c>
      <c r="G276" t="s">
        <v>290</v>
      </c>
      <c r="H276" t="s">
        <v>183</v>
      </c>
      <c r="I276" t="s">
        <v>184</v>
      </c>
    </row>
    <row r="277" spans="1:9" x14ac:dyDescent="0.2">
      <c r="A277">
        <v>275</v>
      </c>
      <c r="B277" t="s">
        <v>749</v>
      </c>
      <c r="C277" t="s">
        <v>750</v>
      </c>
      <c r="D277" t="s">
        <v>383</v>
      </c>
      <c r="E277" t="s">
        <v>136</v>
      </c>
      <c r="F277">
        <v>28000000</v>
      </c>
      <c r="G277" t="s">
        <v>311</v>
      </c>
      <c r="H277" t="s">
        <v>312</v>
      </c>
      <c r="I277" t="s">
        <v>313</v>
      </c>
    </row>
    <row r="278" spans="1:9" x14ac:dyDescent="0.2">
      <c r="A278">
        <v>276</v>
      </c>
      <c r="B278" t="s">
        <v>3224</v>
      </c>
      <c r="C278" t="s">
        <v>751</v>
      </c>
      <c r="D278" t="s">
        <v>208</v>
      </c>
      <c r="E278" t="s">
        <v>136</v>
      </c>
      <c r="F278">
        <v>78907276</v>
      </c>
      <c r="G278" t="s">
        <v>195</v>
      </c>
      <c r="H278" t="s">
        <v>195</v>
      </c>
      <c r="I278" t="s">
        <v>184</v>
      </c>
    </row>
    <row r="279" spans="1:9" x14ac:dyDescent="0.2">
      <c r="A279">
        <v>277</v>
      </c>
      <c r="B279" t="s">
        <v>752</v>
      </c>
      <c r="C279" t="s">
        <v>753</v>
      </c>
      <c r="D279" t="s">
        <v>268</v>
      </c>
      <c r="E279" t="s">
        <v>136</v>
      </c>
      <c r="F279">
        <v>29699991</v>
      </c>
      <c r="G279" t="s">
        <v>269</v>
      </c>
      <c r="H279" t="s">
        <v>241</v>
      </c>
      <c r="I279" t="s">
        <v>242</v>
      </c>
    </row>
    <row r="280" spans="1:9" x14ac:dyDescent="0.2">
      <c r="A280">
        <v>278</v>
      </c>
      <c r="B280" t="s">
        <v>3225</v>
      </c>
      <c r="C280" t="s">
        <v>754</v>
      </c>
      <c r="D280" t="s">
        <v>194</v>
      </c>
      <c r="E280" t="s">
        <v>143</v>
      </c>
      <c r="F280">
        <v>36690887</v>
      </c>
      <c r="G280" t="s">
        <v>195</v>
      </c>
      <c r="H280" t="s">
        <v>195</v>
      </c>
      <c r="I280" t="s">
        <v>184</v>
      </c>
    </row>
    <row r="281" spans="1:9" x14ac:dyDescent="0.2">
      <c r="A281">
        <v>279</v>
      </c>
      <c r="B281" t="s">
        <v>3226</v>
      </c>
      <c r="C281" t="s">
        <v>755</v>
      </c>
      <c r="D281" t="s">
        <v>208</v>
      </c>
      <c r="E281" t="s">
        <v>167</v>
      </c>
      <c r="F281">
        <v>2553771</v>
      </c>
      <c r="G281" t="s">
        <v>195</v>
      </c>
      <c r="H281" t="s">
        <v>195</v>
      </c>
      <c r="I281" t="s">
        <v>184</v>
      </c>
    </row>
    <row r="282" spans="1:9" x14ac:dyDescent="0.2">
      <c r="A282">
        <v>280</v>
      </c>
      <c r="B282" t="s">
        <v>3227</v>
      </c>
      <c r="C282" t="s">
        <v>756</v>
      </c>
      <c r="D282" t="s">
        <v>194</v>
      </c>
      <c r="E282" t="s">
        <v>136</v>
      </c>
      <c r="F282">
        <v>1990530</v>
      </c>
      <c r="G282" t="s">
        <v>195</v>
      </c>
      <c r="H282" t="s">
        <v>195</v>
      </c>
      <c r="I282" t="s">
        <v>184</v>
      </c>
    </row>
    <row r="283" spans="1:9" x14ac:dyDescent="0.2">
      <c r="A283">
        <v>281</v>
      </c>
      <c r="B283" t="s">
        <v>757</v>
      </c>
      <c r="C283" t="s">
        <v>758</v>
      </c>
      <c r="D283" t="s">
        <v>166</v>
      </c>
      <c r="E283" t="s">
        <v>167</v>
      </c>
      <c r="F283">
        <v>7338138</v>
      </c>
      <c r="G283" t="s">
        <v>166</v>
      </c>
      <c r="H283" t="s">
        <v>166</v>
      </c>
      <c r="I283" t="s">
        <v>160</v>
      </c>
    </row>
    <row r="284" spans="1:9" x14ac:dyDescent="0.2">
      <c r="A284">
        <v>282</v>
      </c>
      <c r="B284" t="s">
        <v>759</v>
      </c>
      <c r="C284" t="s">
        <v>760</v>
      </c>
      <c r="D284" t="s">
        <v>166</v>
      </c>
      <c r="E284" t="s">
        <v>143</v>
      </c>
      <c r="F284">
        <v>30304758</v>
      </c>
      <c r="G284" t="s">
        <v>166</v>
      </c>
      <c r="H284" t="s">
        <v>166</v>
      </c>
      <c r="I284" t="s">
        <v>160</v>
      </c>
    </row>
    <row r="285" spans="1:9" x14ac:dyDescent="0.2">
      <c r="A285">
        <v>283</v>
      </c>
      <c r="B285" t="s">
        <v>3228</v>
      </c>
      <c r="C285" t="s">
        <v>761</v>
      </c>
      <c r="D285" t="s">
        <v>194</v>
      </c>
      <c r="E285" t="s">
        <v>136</v>
      </c>
      <c r="F285">
        <v>1004974</v>
      </c>
      <c r="G285" t="s">
        <v>195</v>
      </c>
      <c r="H285" t="s">
        <v>195</v>
      </c>
      <c r="I285" t="s">
        <v>184</v>
      </c>
    </row>
    <row r="286" spans="1:9" x14ac:dyDescent="0.2">
      <c r="A286">
        <v>284</v>
      </c>
      <c r="B286" t="s">
        <v>762</v>
      </c>
      <c r="C286" t="s">
        <v>763</v>
      </c>
      <c r="D286" t="s">
        <v>215</v>
      </c>
      <c r="E286" t="s">
        <v>167</v>
      </c>
      <c r="F286">
        <v>5000000</v>
      </c>
      <c r="G286" t="s">
        <v>216</v>
      </c>
      <c r="H286" t="s">
        <v>216</v>
      </c>
      <c r="I286" t="s">
        <v>217</v>
      </c>
    </row>
    <row r="287" spans="1:9" x14ac:dyDescent="0.2">
      <c r="A287">
        <v>285</v>
      </c>
      <c r="B287" t="s">
        <v>764</v>
      </c>
      <c r="C287" t="s">
        <v>765</v>
      </c>
      <c r="D287" t="s">
        <v>215</v>
      </c>
      <c r="E287" t="s">
        <v>167</v>
      </c>
      <c r="F287">
        <v>1925658</v>
      </c>
      <c r="G287" t="s">
        <v>216</v>
      </c>
      <c r="H287" t="s">
        <v>216</v>
      </c>
      <c r="I287" t="s">
        <v>217</v>
      </c>
    </row>
    <row r="288" spans="1:9" x14ac:dyDescent="0.2">
      <c r="A288">
        <v>286</v>
      </c>
      <c r="B288" t="s">
        <v>766</v>
      </c>
      <c r="C288" t="s">
        <v>767</v>
      </c>
      <c r="D288" t="s">
        <v>142</v>
      </c>
      <c r="E288" t="s">
        <v>136</v>
      </c>
      <c r="F288">
        <v>60314112</v>
      </c>
      <c r="G288" t="s">
        <v>144</v>
      </c>
      <c r="H288" t="s">
        <v>144</v>
      </c>
      <c r="I288" t="s">
        <v>145</v>
      </c>
    </row>
    <row r="289" spans="1:9" x14ac:dyDescent="0.2">
      <c r="A289">
        <v>287</v>
      </c>
      <c r="B289" t="s">
        <v>768</v>
      </c>
      <c r="C289" t="s">
        <v>769</v>
      </c>
      <c r="D289" t="s">
        <v>376</v>
      </c>
      <c r="E289" t="s">
        <v>143</v>
      </c>
      <c r="F289">
        <v>84200000</v>
      </c>
      <c r="G289" t="s">
        <v>326</v>
      </c>
      <c r="H289" t="s">
        <v>327</v>
      </c>
      <c r="I289" t="s">
        <v>217</v>
      </c>
    </row>
    <row r="290" spans="1:9" x14ac:dyDescent="0.2">
      <c r="A290">
        <v>288</v>
      </c>
      <c r="B290" t="s">
        <v>770</v>
      </c>
      <c r="C290" t="s">
        <v>771</v>
      </c>
      <c r="D290" t="s">
        <v>240</v>
      </c>
      <c r="E290" t="s">
        <v>136</v>
      </c>
      <c r="F290">
        <v>20938000</v>
      </c>
      <c r="G290" t="s">
        <v>240</v>
      </c>
      <c r="H290" t="s">
        <v>241</v>
      </c>
      <c r="I290" t="s">
        <v>242</v>
      </c>
    </row>
    <row r="291" spans="1:9" x14ac:dyDescent="0.2">
      <c r="A291">
        <v>289</v>
      </c>
      <c r="B291" t="s">
        <v>3229</v>
      </c>
      <c r="C291" t="s">
        <v>772</v>
      </c>
      <c r="D291" t="s">
        <v>671</v>
      </c>
      <c r="E291" t="s">
        <v>136</v>
      </c>
      <c r="F291">
        <v>4200000</v>
      </c>
      <c r="G291" t="s">
        <v>672</v>
      </c>
      <c r="H291" t="s">
        <v>672</v>
      </c>
      <c r="I291" t="s">
        <v>139</v>
      </c>
    </row>
    <row r="292" spans="1:9" x14ac:dyDescent="0.2">
      <c r="A292">
        <v>290</v>
      </c>
      <c r="B292" t="s">
        <v>774</v>
      </c>
      <c r="C292" t="s">
        <v>775</v>
      </c>
      <c r="D292" t="s">
        <v>153</v>
      </c>
      <c r="E292" t="s">
        <v>143</v>
      </c>
      <c r="F292">
        <v>69228341</v>
      </c>
      <c r="G292" t="s">
        <v>154</v>
      </c>
      <c r="H292" t="s">
        <v>155</v>
      </c>
      <c r="I292" t="s">
        <v>139</v>
      </c>
    </row>
    <row r="293" spans="1:9" x14ac:dyDescent="0.2">
      <c r="A293">
        <v>291</v>
      </c>
      <c r="B293" t="s">
        <v>776</v>
      </c>
      <c r="C293" t="s">
        <v>777</v>
      </c>
      <c r="D293" t="s">
        <v>153</v>
      </c>
      <c r="E293" t="s">
        <v>143</v>
      </c>
      <c r="F293">
        <v>334669145</v>
      </c>
      <c r="G293" t="s">
        <v>154</v>
      </c>
      <c r="H293" t="s">
        <v>155</v>
      </c>
      <c r="I293" t="s">
        <v>139</v>
      </c>
    </row>
    <row r="294" spans="1:9" x14ac:dyDescent="0.2">
      <c r="A294">
        <v>292</v>
      </c>
      <c r="B294" t="s">
        <v>778</v>
      </c>
      <c r="C294" t="s">
        <v>779</v>
      </c>
      <c r="D294" t="s">
        <v>240</v>
      </c>
      <c r="E294" t="s">
        <v>143</v>
      </c>
      <c r="F294">
        <v>93593847</v>
      </c>
      <c r="G294" t="s">
        <v>240</v>
      </c>
      <c r="H294" t="s">
        <v>241</v>
      </c>
      <c r="I294" t="s">
        <v>242</v>
      </c>
    </row>
    <row r="295" spans="1:9" x14ac:dyDescent="0.2">
      <c r="A295">
        <v>293</v>
      </c>
      <c r="B295" t="s">
        <v>780</v>
      </c>
      <c r="C295" t="s">
        <v>781</v>
      </c>
      <c r="D295" t="s">
        <v>240</v>
      </c>
      <c r="E295" t="s">
        <v>136</v>
      </c>
      <c r="F295">
        <v>1941588</v>
      </c>
      <c r="G295" t="s">
        <v>240</v>
      </c>
      <c r="H295" t="s">
        <v>241</v>
      </c>
      <c r="I295" t="s">
        <v>242</v>
      </c>
    </row>
    <row r="296" spans="1:9" x14ac:dyDescent="0.2">
      <c r="A296">
        <v>294</v>
      </c>
      <c r="B296" t="s">
        <v>782</v>
      </c>
      <c r="C296" t="s">
        <v>783</v>
      </c>
      <c r="D296" t="s">
        <v>240</v>
      </c>
      <c r="E296" t="s">
        <v>143</v>
      </c>
      <c r="F296">
        <v>20530650</v>
      </c>
      <c r="G296" t="s">
        <v>240</v>
      </c>
      <c r="H296" t="s">
        <v>241</v>
      </c>
      <c r="I296" t="s">
        <v>242</v>
      </c>
    </row>
    <row r="297" spans="1:9" x14ac:dyDescent="0.2">
      <c r="A297">
        <v>295</v>
      </c>
      <c r="B297" t="s">
        <v>3230</v>
      </c>
      <c r="C297" t="s">
        <v>784</v>
      </c>
      <c r="D297" t="s">
        <v>208</v>
      </c>
      <c r="E297" t="s">
        <v>136</v>
      </c>
      <c r="F297">
        <v>4504337</v>
      </c>
      <c r="G297" t="s">
        <v>195</v>
      </c>
      <c r="H297" t="s">
        <v>195</v>
      </c>
      <c r="I297" t="s">
        <v>184</v>
      </c>
    </row>
    <row r="298" spans="1:9" x14ac:dyDescent="0.2">
      <c r="A298">
        <v>296</v>
      </c>
      <c r="B298" t="s">
        <v>3231</v>
      </c>
      <c r="C298" t="s">
        <v>785</v>
      </c>
      <c r="D298" t="s">
        <v>208</v>
      </c>
      <c r="E298" t="s">
        <v>167</v>
      </c>
      <c r="F298">
        <v>11304699</v>
      </c>
      <c r="G298" t="s">
        <v>195</v>
      </c>
      <c r="H298" t="s">
        <v>195</v>
      </c>
      <c r="I298" t="s">
        <v>184</v>
      </c>
    </row>
    <row r="299" spans="1:9" x14ac:dyDescent="0.2">
      <c r="A299">
        <v>297</v>
      </c>
      <c r="B299" t="s">
        <v>3232</v>
      </c>
      <c r="C299" t="s">
        <v>786</v>
      </c>
      <c r="D299" t="s">
        <v>208</v>
      </c>
      <c r="E299" t="s">
        <v>143</v>
      </c>
      <c r="F299">
        <v>95285704</v>
      </c>
      <c r="G299" t="s">
        <v>195</v>
      </c>
      <c r="H299" t="s">
        <v>195</v>
      </c>
      <c r="I299" t="s">
        <v>184</v>
      </c>
    </row>
    <row r="300" spans="1:9" x14ac:dyDescent="0.2">
      <c r="A300">
        <v>298</v>
      </c>
      <c r="B300" t="s">
        <v>3233</v>
      </c>
      <c r="C300" t="s">
        <v>787</v>
      </c>
      <c r="D300" t="s">
        <v>208</v>
      </c>
      <c r="E300" t="s">
        <v>136</v>
      </c>
      <c r="F300">
        <v>42998891</v>
      </c>
      <c r="G300" t="s">
        <v>195</v>
      </c>
      <c r="H300" t="s">
        <v>195</v>
      </c>
      <c r="I300" t="s">
        <v>184</v>
      </c>
    </row>
    <row r="301" spans="1:9" x14ac:dyDescent="0.2">
      <c r="A301">
        <v>299</v>
      </c>
      <c r="B301" t="s">
        <v>788</v>
      </c>
      <c r="C301" t="s">
        <v>789</v>
      </c>
      <c r="D301" t="s">
        <v>163</v>
      </c>
      <c r="E301" t="s">
        <v>136</v>
      </c>
      <c r="F301">
        <v>6825000</v>
      </c>
      <c r="G301" t="s">
        <v>137</v>
      </c>
      <c r="H301" t="s">
        <v>138</v>
      </c>
      <c r="I301" t="s">
        <v>139</v>
      </c>
    </row>
    <row r="302" spans="1:9" x14ac:dyDescent="0.2">
      <c r="A302">
        <v>300</v>
      </c>
      <c r="B302" t="s">
        <v>790</v>
      </c>
      <c r="C302" t="s">
        <v>791</v>
      </c>
      <c r="D302" t="s">
        <v>415</v>
      </c>
      <c r="E302" t="s">
        <v>136</v>
      </c>
      <c r="F302">
        <v>2880000</v>
      </c>
      <c r="G302" t="s">
        <v>166</v>
      </c>
      <c r="H302" t="s">
        <v>166</v>
      </c>
      <c r="I302" t="s">
        <v>160</v>
      </c>
    </row>
    <row r="303" spans="1:9" x14ac:dyDescent="0.2">
      <c r="A303">
        <v>301</v>
      </c>
      <c r="B303" t="s">
        <v>792</v>
      </c>
      <c r="C303" t="s">
        <v>793</v>
      </c>
      <c r="D303" t="s">
        <v>240</v>
      </c>
      <c r="E303" t="s">
        <v>143</v>
      </c>
      <c r="F303">
        <v>73041030</v>
      </c>
      <c r="G303" t="s">
        <v>240</v>
      </c>
      <c r="H303" t="s">
        <v>241</v>
      </c>
      <c r="I303" t="s">
        <v>242</v>
      </c>
    </row>
    <row r="304" spans="1:9" x14ac:dyDescent="0.2">
      <c r="A304">
        <v>302</v>
      </c>
      <c r="B304" t="s">
        <v>794</v>
      </c>
      <c r="C304" t="s">
        <v>795</v>
      </c>
      <c r="D304" t="s">
        <v>293</v>
      </c>
      <c r="E304" t="s">
        <v>143</v>
      </c>
      <c r="F304">
        <v>529400000</v>
      </c>
      <c r="G304" t="s">
        <v>144</v>
      </c>
      <c r="H304" t="s">
        <v>144</v>
      </c>
      <c r="I304" t="s">
        <v>145</v>
      </c>
    </row>
    <row r="305" spans="1:9" x14ac:dyDescent="0.2">
      <c r="A305">
        <v>303</v>
      </c>
      <c r="B305" t="s">
        <v>3234</v>
      </c>
      <c r="C305" t="s">
        <v>796</v>
      </c>
      <c r="D305" t="s">
        <v>194</v>
      </c>
      <c r="E305" t="s">
        <v>136</v>
      </c>
      <c r="F305">
        <v>6500000</v>
      </c>
      <c r="G305" t="s">
        <v>195</v>
      </c>
      <c r="H305" t="s">
        <v>195</v>
      </c>
      <c r="I305" t="s">
        <v>184</v>
      </c>
    </row>
    <row r="306" spans="1:9" x14ac:dyDescent="0.2">
      <c r="A306">
        <v>304</v>
      </c>
      <c r="B306" t="s">
        <v>797</v>
      </c>
      <c r="C306" t="s">
        <v>798</v>
      </c>
      <c r="D306" t="s">
        <v>799</v>
      </c>
      <c r="E306" t="s">
        <v>136</v>
      </c>
      <c r="F306">
        <v>60310988</v>
      </c>
      <c r="G306" t="s">
        <v>800</v>
      </c>
      <c r="H306" t="s">
        <v>138</v>
      </c>
      <c r="I306" t="s">
        <v>139</v>
      </c>
    </row>
    <row r="307" spans="1:9" x14ac:dyDescent="0.2">
      <c r="A307">
        <v>305</v>
      </c>
      <c r="B307" t="s">
        <v>3235</v>
      </c>
      <c r="C307" t="s">
        <v>801</v>
      </c>
      <c r="D307" t="s">
        <v>194</v>
      </c>
      <c r="E307" t="s">
        <v>136</v>
      </c>
      <c r="F307">
        <v>27223647</v>
      </c>
      <c r="G307" t="s">
        <v>195</v>
      </c>
      <c r="H307" t="s">
        <v>195</v>
      </c>
      <c r="I307" t="s">
        <v>184</v>
      </c>
    </row>
    <row r="308" spans="1:9" x14ac:dyDescent="0.2">
      <c r="A308">
        <v>306</v>
      </c>
      <c r="B308" t="s">
        <v>3236</v>
      </c>
      <c r="C308" t="s">
        <v>3237</v>
      </c>
      <c r="D308" t="s">
        <v>194</v>
      </c>
      <c r="E308" t="s">
        <v>136</v>
      </c>
      <c r="F308">
        <v>12000000</v>
      </c>
      <c r="G308" t="s">
        <v>195</v>
      </c>
      <c r="H308" t="s">
        <v>195</v>
      </c>
      <c r="I308" t="s">
        <v>184</v>
      </c>
    </row>
    <row r="309" spans="1:9" x14ac:dyDescent="0.2">
      <c r="A309">
        <v>307</v>
      </c>
      <c r="B309" t="s">
        <v>802</v>
      </c>
      <c r="C309" t="s">
        <v>803</v>
      </c>
      <c r="D309" t="s">
        <v>310</v>
      </c>
      <c r="E309" t="s">
        <v>167</v>
      </c>
      <c r="F309">
        <v>59839886</v>
      </c>
      <c r="G309" t="s">
        <v>311</v>
      </c>
      <c r="H309" t="s">
        <v>312</v>
      </c>
      <c r="I309" t="s">
        <v>313</v>
      </c>
    </row>
    <row r="310" spans="1:9" x14ac:dyDescent="0.2">
      <c r="A310">
        <v>308</v>
      </c>
      <c r="B310" t="s">
        <v>3238</v>
      </c>
      <c r="C310" t="s">
        <v>804</v>
      </c>
      <c r="D310" t="s">
        <v>211</v>
      </c>
      <c r="E310" t="s">
        <v>136</v>
      </c>
      <c r="F310">
        <v>3600000</v>
      </c>
      <c r="G310" t="s">
        <v>212</v>
      </c>
      <c r="H310" t="s">
        <v>183</v>
      </c>
      <c r="I310" t="s">
        <v>184</v>
      </c>
    </row>
    <row r="311" spans="1:9" x14ac:dyDescent="0.2">
      <c r="A311">
        <v>309</v>
      </c>
      <c r="B311" t="s">
        <v>3239</v>
      </c>
      <c r="C311" t="s">
        <v>805</v>
      </c>
      <c r="D311" t="s">
        <v>806</v>
      </c>
      <c r="E311" t="s">
        <v>136</v>
      </c>
      <c r="F311">
        <v>12244495</v>
      </c>
      <c r="G311" t="s">
        <v>212</v>
      </c>
      <c r="H311" t="s">
        <v>183</v>
      </c>
      <c r="I311" t="s">
        <v>184</v>
      </c>
    </row>
    <row r="312" spans="1:9" x14ac:dyDescent="0.2">
      <c r="A312">
        <v>310</v>
      </c>
      <c r="B312" t="s">
        <v>807</v>
      </c>
      <c r="C312" t="s">
        <v>808</v>
      </c>
      <c r="D312" t="s">
        <v>240</v>
      </c>
      <c r="E312" t="s">
        <v>136</v>
      </c>
      <c r="F312">
        <v>16116383</v>
      </c>
      <c r="G312" t="s">
        <v>240</v>
      </c>
      <c r="H312" t="s">
        <v>241</v>
      </c>
      <c r="I312" t="s">
        <v>242</v>
      </c>
    </row>
    <row r="313" spans="1:9" x14ac:dyDescent="0.2">
      <c r="A313">
        <v>311</v>
      </c>
      <c r="B313" t="s">
        <v>809</v>
      </c>
      <c r="C313" t="s">
        <v>810</v>
      </c>
      <c r="D313" t="s">
        <v>293</v>
      </c>
      <c r="E313" t="s">
        <v>136</v>
      </c>
      <c r="F313">
        <v>146109900</v>
      </c>
      <c r="G313" t="s">
        <v>144</v>
      </c>
      <c r="H313" t="s">
        <v>144</v>
      </c>
      <c r="I313" t="s">
        <v>145</v>
      </c>
    </row>
    <row r="314" spans="1:9" x14ac:dyDescent="0.2">
      <c r="A314">
        <v>312</v>
      </c>
      <c r="B314" t="s">
        <v>811</v>
      </c>
      <c r="C314" t="s">
        <v>812</v>
      </c>
      <c r="D314" t="s">
        <v>355</v>
      </c>
      <c r="E314" t="s">
        <v>136</v>
      </c>
      <c r="F314">
        <v>11400000</v>
      </c>
      <c r="G314" t="s">
        <v>356</v>
      </c>
      <c r="H314" t="s">
        <v>150</v>
      </c>
      <c r="I314" t="s">
        <v>145</v>
      </c>
    </row>
    <row r="315" spans="1:9" x14ac:dyDescent="0.2">
      <c r="A315">
        <v>313</v>
      </c>
      <c r="B315" t="s">
        <v>3240</v>
      </c>
      <c r="C315" t="s">
        <v>813</v>
      </c>
      <c r="D315" t="s">
        <v>208</v>
      </c>
      <c r="E315" t="s">
        <v>136</v>
      </c>
      <c r="F315">
        <v>80000000</v>
      </c>
      <c r="G315" t="s">
        <v>195</v>
      </c>
      <c r="H315" t="s">
        <v>195</v>
      </c>
      <c r="I315" t="s">
        <v>184</v>
      </c>
    </row>
    <row r="316" spans="1:9" x14ac:dyDescent="0.2">
      <c r="A316">
        <v>314</v>
      </c>
      <c r="B316" t="s">
        <v>814</v>
      </c>
      <c r="C316" t="s">
        <v>815</v>
      </c>
      <c r="D316" t="s">
        <v>293</v>
      </c>
      <c r="E316" t="s">
        <v>143</v>
      </c>
      <c r="F316">
        <v>379779286</v>
      </c>
      <c r="G316" t="s">
        <v>144</v>
      </c>
      <c r="H316" t="s">
        <v>144</v>
      </c>
      <c r="I316" t="s">
        <v>145</v>
      </c>
    </row>
    <row r="317" spans="1:9" x14ac:dyDescent="0.2">
      <c r="A317">
        <v>315</v>
      </c>
      <c r="B317" t="s">
        <v>3164</v>
      </c>
      <c r="C317" t="s">
        <v>816</v>
      </c>
      <c r="D317" t="s">
        <v>208</v>
      </c>
      <c r="E317" t="s">
        <v>136</v>
      </c>
      <c r="F317">
        <v>79000000</v>
      </c>
      <c r="G317" t="s">
        <v>195</v>
      </c>
      <c r="H317" t="s">
        <v>195</v>
      </c>
      <c r="I317" t="s">
        <v>184</v>
      </c>
    </row>
    <row r="318" spans="1:9" x14ac:dyDescent="0.2">
      <c r="A318">
        <v>316</v>
      </c>
      <c r="B318" t="s">
        <v>817</v>
      </c>
      <c r="C318" t="s">
        <v>818</v>
      </c>
      <c r="D318" t="s">
        <v>316</v>
      </c>
      <c r="E318" t="s">
        <v>143</v>
      </c>
      <c r="F318">
        <v>219320169</v>
      </c>
      <c r="G318" t="s">
        <v>229</v>
      </c>
      <c r="H318" t="s">
        <v>229</v>
      </c>
      <c r="I318" t="s">
        <v>217</v>
      </c>
    </row>
    <row r="319" spans="1:9" x14ac:dyDescent="0.2">
      <c r="A319">
        <v>317</v>
      </c>
      <c r="B319" t="s">
        <v>3241</v>
      </c>
      <c r="C319" t="s">
        <v>819</v>
      </c>
      <c r="D319" t="s">
        <v>194</v>
      </c>
      <c r="E319" t="s">
        <v>143</v>
      </c>
      <c r="F319">
        <v>15119946</v>
      </c>
      <c r="G319" t="s">
        <v>195</v>
      </c>
      <c r="H319" t="s">
        <v>195</v>
      </c>
      <c r="I319" t="s">
        <v>184</v>
      </c>
    </row>
    <row r="320" spans="1:9" x14ac:dyDescent="0.2">
      <c r="A320">
        <v>318</v>
      </c>
      <c r="B320" t="s">
        <v>820</v>
      </c>
      <c r="C320" t="s">
        <v>821</v>
      </c>
      <c r="D320" t="s">
        <v>293</v>
      </c>
      <c r="E320" t="s">
        <v>136</v>
      </c>
      <c r="F320">
        <v>272200000</v>
      </c>
      <c r="G320" t="s">
        <v>144</v>
      </c>
      <c r="H320" t="s">
        <v>144</v>
      </c>
      <c r="I320" t="s">
        <v>145</v>
      </c>
    </row>
    <row r="321" spans="1:9" x14ac:dyDescent="0.2">
      <c r="A321">
        <v>319</v>
      </c>
      <c r="B321" t="s">
        <v>822</v>
      </c>
      <c r="C321" t="s">
        <v>823</v>
      </c>
      <c r="D321" t="s">
        <v>564</v>
      </c>
      <c r="E321" t="s">
        <v>143</v>
      </c>
      <c r="F321">
        <v>96591206</v>
      </c>
      <c r="G321" t="s">
        <v>201</v>
      </c>
      <c r="H321" t="s">
        <v>150</v>
      </c>
      <c r="I321" t="s">
        <v>145</v>
      </c>
    </row>
    <row r="322" spans="1:9" x14ac:dyDescent="0.2">
      <c r="A322">
        <v>320</v>
      </c>
      <c r="B322" t="s">
        <v>824</v>
      </c>
      <c r="C322" t="s">
        <v>825</v>
      </c>
      <c r="D322" t="s">
        <v>240</v>
      </c>
      <c r="E322" t="s">
        <v>136</v>
      </c>
      <c r="F322">
        <v>35995929</v>
      </c>
      <c r="G322" t="s">
        <v>240</v>
      </c>
      <c r="H322" t="s">
        <v>241</v>
      </c>
      <c r="I322" t="s">
        <v>242</v>
      </c>
    </row>
    <row r="323" spans="1:9" x14ac:dyDescent="0.2">
      <c r="A323">
        <v>321</v>
      </c>
      <c r="B323" t="s">
        <v>826</v>
      </c>
      <c r="C323" t="s">
        <v>827</v>
      </c>
      <c r="D323" t="s">
        <v>240</v>
      </c>
      <c r="E323" t="s">
        <v>143</v>
      </c>
      <c r="F323">
        <v>130746071</v>
      </c>
      <c r="G323" t="s">
        <v>240</v>
      </c>
      <c r="H323" t="s">
        <v>241</v>
      </c>
      <c r="I323" t="s">
        <v>242</v>
      </c>
    </row>
    <row r="324" spans="1:9" x14ac:dyDescent="0.2">
      <c r="A324">
        <v>322</v>
      </c>
      <c r="B324" t="s">
        <v>828</v>
      </c>
      <c r="C324" t="s">
        <v>829</v>
      </c>
      <c r="D324" t="s">
        <v>149</v>
      </c>
      <c r="E324" t="s">
        <v>143</v>
      </c>
      <c r="F324">
        <v>34535699</v>
      </c>
      <c r="G324" t="s">
        <v>149</v>
      </c>
      <c r="H324" t="s">
        <v>150</v>
      </c>
      <c r="I324" t="s">
        <v>145</v>
      </c>
    </row>
    <row r="325" spans="1:9" x14ac:dyDescent="0.2">
      <c r="A325">
        <v>323</v>
      </c>
      <c r="B325" t="s">
        <v>830</v>
      </c>
      <c r="C325" t="s">
        <v>831</v>
      </c>
      <c r="D325" t="s">
        <v>240</v>
      </c>
      <c r="E325" t="s">
        <v>136</v>
      </c>
      <c r="F325">
        <v>6290900</v>
      </c>
      <c r="G325" t="s">
        <v>240</v>
      </c>
      <c r="H325" t="s">
        <v>241</v>
      </c>
      <c r="I325" t="s">
        <v>242</v>
      </c>
    </row>
    <row r="326" spans="1:9" x14ac:dyDescent="0.2">
      <c r="A326">
        <v>324</v>
      </c>
      <c r="B326" t="s">
        <v>3242</v>
      </c>
      <c r="C326" t="s">
        <v>832</v>
      </c>
      <c r="D326" t="s">
        <v>259</v>
      </c>
      <c r="E326" t="s">
        <v>167</v>
      </c>
      <c r="F326">
        <v>9492200</v>
      </c>
      <c r="G326" t="s">
        <v>260</v>
      </c>
      <c r="H326" t="s">
        <v>183</v>
      </c>
      <c r="I326" t="s">
        <v>184</v>
      </c>
    </row>
    <row r="327" spans="1:9" x14ac:dyDescent="0.2">
      <c r="A327">
        <v>325</v>
      </c>
      <c r="B327" t="s">
        <v>833</v>
      </c>
      <c r="C327" t="s">
        <v>834</v>
      </c>
      <c r="D327" t="s">
        <v>835</v>
      </c>
      <c r="E327" t="s">
        <v>167</v>
      </c>
      <c r="F327">
        <v>82341773</v>
      </c>
      <c r="G327" t="s">
        <v>228</v>
      </c>
      <c r="H327" t="s">
        <v>229</v>
      </c>
      <c r="I327" t="s">
        <v>217</v>
      </c>
    </row>
    <row r="328" spans="1:9" x14ac:dyDescent="0.2">
      <c r="A328">
        <v>326</v>
      </c>
      <c r="B328" t="s">
        <v>3243</v>
      </c>
      <c r="C328" t="s">
        <v>836</v>
      </c>
      <c r="D328" t="s">
        <v>194</v>
      </c>
      <c r="E328" t="s">
        <v>136</v>
      </c>
      <c r="F328">
        <v>26585840</v>
      </c>
      <c r="G328" t="s">
        <v>195</v>
      </c>
      <c r="H328" t="s">
        <v>195</v>
      </c>
      <c r="I328" t="s">
        <v>184</v>
      </c>
    </row>
    <row r="329" spans="1:9" x14ac:dyDescent="0.2">
      <c r="A329">
        <v>327</v>
      </c>
      <c r="B329" t="s">
        <v>3244</v>
      </c>
      <c r="C329" t="s">
        <v>837</v>
      </c>
      <c r="D329" t="s">
        <v>194</v>
      </c>
      <c r="E329" t="s">
        <v>136</v>
      </c>
      <c r="F329">
        <v>15622552</v>
      </c>
      <c r="G329" t="s">
        <v>195</v>
      </c>
      <c r="H329" t="s">
        <v>195</v>
      </c>
      <c r="I329" t="s">
        <v>184</v>
      </c>
    </row>
    <row r="330" spans="1:9" x14ac:dyDescent="0.2">
      <c r="A330">
        <v>328</v>
      </c>
      <c r="B330" t="s">
        <v>838</v>
      </c>
      <c r="C330" t="s">
        <v>839</v>
      </c>
      <c r="D330" t="s">
        <v>166</v>
      </c>
      <c r="E330" t="s">
        <v>143</v>
      </c>
      <c r="F330">
        <v>646431191</v>
      </c>
      <c r="G330" t="s">
        <v>166</v>
      </c>
      <c r="H330" t="s">
        <v>166</v>
      </c>
      <c r="I330" t="s">
        <v>160</v>
      </c>
    </row>
    <row r="331" spans="1:9" x14ac:dyDescent="0.2">
      <c r="A331">
        <v>329</v>
      </c>
      <c r="B331" t="s">
        <v>3245</v>
      </c>
      <c r="C331" t="s">
        <v>840</v>
      </c>
      <c r="D331" t="s">
        <v>208</v>
      </c>
      <c r="E331" t="s">
        <v>167</v>
      </c>
      <c r="F331">
        <v>6894164</v>
      </c>
      <c r="G331" t="s">
        <v>195</v>
      </c>
      <c r="H331" t="s">
        <v>195</v>
      </c>
      <c r="I331" t="s">
        <v>184</v>
      </c>
    </row>
    <row r="332" spans="1:9" x14ac:dyDescent="0.2">
      <c r="A332">
        <v>330</v>
      </c>
      <c r="B332" t="s">
        <v>841</v>
      </c>
      <c r="C332" t="s">
        <v>842</v>
      </c>
      <c r="D332" t="s">
        <v>513</v>
      </c>
      <c r="E332" t="s">
        <v>136</v>
      </c>
      <c r="F332">
        <v>2288540</v>
      </c>
      <c r="G332" t="s">
        <v>229</v>
      </c>
      <c r="H332" t="s">
        <v>229</v>
      </c>
      <c r="I332" t="s">
        <v>217</v>
      </c>
    </row>
    <row r="333" spans="1:9" x14ac:dyDescent="0.2">
      <c r="A333">
        <v>331</v>
      </c>
      <c r="B333" t="s">
        <v>3246</v>
      </c>
      <c r="C333" t="s">
        <v>3247</v>
      </c>
      <c r="D333" t="s">
        <v>194</v>
      </c>
      <c r="E333" t="s">
        <v>136</v>
      </c>
      <c r="F333">
        <v>14375000</v>
      </c>
      <c r="G333" t="s">
        <v>195</v>
      </c>
      <c r="H333" t="s">
        <v>195</v>
      </c>
      <c r="I333" t="s">
        <v>184</v>
      </c>
    </row>
    <row r="334" spans="1:9" x14ac:dyDescent="0.2">
      <c r="A334">
        <v>332</v>
      </c>
      <c r="B334" t="s">
        <v>3248</v>
      </c>
      <c r="C334" t="s">
        <v>3249</v>
      </c>
      <c r="D334" t="s">
        <v>383</v>
      </c>
      <c r="E334" t="s">
        <v>136</v>
      </c>
      <c r="F334">
        <v>4378120</v>
      </c>
      <c r="G334" t="s">
        <v>311</v>
      </c>
      <c r="H334" t="s">
        <v>312</v>
      </c>
      <c r="I334" t="s">
        <v>313</v>
      </c>
    </row>
    <row r="335" spans="1:9" x14ac:dyDescent="0.2">
      <c r="A335">
        <v>333</v>
      </c>
      <c r="B335" t="s">
        <v>3250</v>
      </c>
      <c r="C335" t="s">
        <v>843</v>
      </c>
      <c r="D335" t="s">
        <v>211</v>
      </c>
      <c r="E335" t="s">
        <v>167</v>
      </c>
      <c r="F335">
        <v>106236094</v>
      </c>
      <c r="G335" t="s">
        <v>212</v>
      </c>
      <c r="H335" t="s">
        <v>183</v>
      </c>
      <c r="I335" t="s">
        <v>184</v>
      </c>
    </row>
    <row r="336" spans="1:9" x14ac:dyDescent="0.2">
      <c r="A336">
        <v>334</v>
      </c>
      <c r="B336" t="s">
        <v>844</v>
      </c>
      <c r="C336" t="s">
        <v>845</v>
      </c>
      <c r="D336" t="s">
        <v>376</v>
      </c>
      <c r="E336" t="s">
        <v>136</v>
      </c>
      <c r="F336">
        <v>9307415</v>
      </c>
      <c r="G336" t="s">
        <v>326</v>
      </c>
      <c r="H336" t="s">
        <v>327</v>
      </c>
      <c r="I336" t="s">
        <v>217</v>
      </c>
    </row>
    <row r="337" spans="1:9" x14ac:dyDescent="0.2">
      <c r="A337">
        <v>335</v>
      </c>
      <c r="B337" t="s">
        <v>846</v>
      </c>
      <c r="C337" t="s">
        <v>847</v>
      </c>
      <c r="D337" t="s">
        <v>208</v>
      </c>
      <c r="E337" t="s">
        <v>143</v>
      </c>
      <c r="F337">
        <v>299309720</v>
      </c>
      <c r="G337" t="s">
        <v>195</v>
      </c>
      <c r="H337" t="s">
        <v>195</v>
      </c>
      <c r="I337" t="s">
        <v>184</v>
      </c>
    </row>
    <row r="338" spans="1:9" x14ac:dyDescent="0.2">
      <c r="A338">
        <v>336</v>
      </c>
      <c r="B338" t="s">
        <v>3251</v>
      </c>
      <c r="C338" t="s">
        <v>848</v>
      </c>
      <c r="D338" t="s">
        <v>208</v>
      </c>
      <c r="E338" t="s">
        <v>136</v>
      </c>
      <c r="F338">
        <v>4500000</v>
      </c>
      <c r="G338" t="s">
        <v>195</v>
      </c>
      <c r="H338" t="s">
        <v>195</v>
      </c>
      <c r="I338" t="s">
        <v>184</v>
      </c>
    </row>
    <row r="339" spans="1:9" x14ac:dyDescent="0.2">
      <c r="A339">
        <v>337</v>
      </c>
      <c r="B339" t="s">
        <v>849</v>
      </c>
      <c r="C339" t="s">
        <v>850</v>
      </c>
      <c r="D339" t="s">
        <v>430</v>
      </c>
      <c r="E339" t="s">
        <v>136</v>
      </c>
      <c r="F339">
        <v>2500056</v>
      </c>
      <c r="G339" t="s">
        <v>326</v>
      </c>
      <c r="H339" t="s">
        <v>327</v>
      </c>
      <c r="I339" t="s">
        <v>217</v>
      </c>
    </row>
    <row r="340" spans="1:9" x14ac:dyDescent="0.2">
      <c r="A340">
        <v>338</v>
      </c>
      <c r="B340" t="s">
        <v>851</v>
      </c>
      <c r="C340" t="s">
        <v>852</v>
      </c>
      <c r="D340" t="s">
        <v>163</v>
      </c>
      <c r="E340" t="s">
        <v>136</v>
      </c>
      <c r="F340">
        <v>15411100</v>
      </c>
      <c r="G340" t="s">
        <v>137</v>
      </c>
      <c r="H340" t="s">
        <v>138</v>
      </c>
      <c r="I340" t="s">
        <v>139</v>
      </c>
    </row>
    <row r="341" spans="1:9" x14ac:dyDescent="0.2">
      <c r="A341">
        <v>339</v>
      </c>
      <c r="B341" t="s">
        <v>853</v>
      </c>
      <c r="C341" t="s">
        <v>854</v>
      </c>
      <c r="D341" t="s">
        <v>240</v>
      </c>
      <c r="E341" t="s">
        <v>143</v>
      </c>
      <c r="F341">
        <v>34727465</v>
      </c>
      <c r="G341" t="s">
        <v>240</v>
      </c>
      <c r="H341" t="s">
        <v>241</v>
      </c>
      <c r="I341" t="s">
        <v>242</v>
      </c>
    </row>
    <row r="342" spans="1:9" x14ac:dyDescent="0.2">
      <c r="A342">
        <v>340</v>
      </c>
      <c r="B342" t="s">
        <v>855</v>
      </c>
      <c r="C342" t="s">
        <v>856</v>
      </c>
      <c r="D342" t="s">
        <v>153</v>
      </c>
      <c r="E342" t="s">
        <v>136</v>
      </c>
      <c r="F342">
        <v>12500000</v>
      </c>
      <c r="G342" t="s">
        <v>154</v>
      </c>
      <c r="H342" t="s">
        <v>155</v>
      </c>
      <c r="I342" t="s">
        <v>139</v>
      </c>
    </row>
    <row r="343" spans="1:9" x14ac:dyDescent="0.2">
      <c r="A343">
        <v>341</v>
      </c>
      <c r="B343" t="s">
        <v>857</v>
      </c>
      <c r="C343" t="s">
        <v>858</v>
      </c>
      <c r="D343" t="s">
        <v>310</v>
      </c>
      <c r="E343" t="s">
        <v>136</v>
      </c>
      <c r="F343">
        <v>4000000</v>
      </c>
      <c r="G343" t="s">
        <v>311</v>
      </c>
      <c r="H343" t="s">
        <v>312</v>
      </c>
      <c r="I343" t="s">
        <v>313</v>
      </c>
    </row>
    <row r="344" spans="1:9" x14ac:dyDescent="0.2">
      <c r="A344">
        <v>342</v>
      </c>
      <c r="B344" t="s">
        <v>859</v>
      </c>
      <c r="C344" t="s">
        <v>860</v>
      </c>
      <c r="D344" t="s">
        <v>383</v>
      </c>
      <c r="E344" t="s">
        <v>136</v>
      </c>
      <c r="F344">
        <v>56329567</v>
      </c>
      <c r="G344" t="s">
        <v>311</v>
      </c>
      <c r="H344" t="s">
        <v>312</v>
      </c>
      <c r="I344" t="s">
        <v>313</v>
      </c>
    </row>
    <row r="345" spans="1:9" x14ac:dyDescent="0.2">
      <c r="A345">
        <v>343</v>
      </c>
      <c r="B345" t="s">
        <v>861</v>
      </c>
      <c r="C345" t="s">
        <v>862</v>
      </c>
      <c r="D345" t="s">
        <v>330</v>
      </c>
      <c r="E345" t="s">
        <v>167</v>
      </c>
      <c r="F345">
        <v>8027780</v>
      </c>
      <c r="G345" t="s">
        <v>330</v>
      </c>
      <c r="H345" t="s">
        <v>312</v>
      </c>
      <c r="I345" t="s">
        <v>313</v>
      </c>
    </row>
    <row r="346" spans="1:9" x14ac:dyDescent="0.2">
      <c r="A346">
        <v>344</v>
      </c>
      <c r="B346" t="s">
        <v>3252</v>
      </c>
      <c r="C346" t="s">
        <v>863</v>
      </c>
      <c r="D346" t="s">
        <v>194</v>
      </c>
      <c r="E346" t="s">
        <v>136</v>
      </c>
      <c r="F346">
        <v>12834000</v>
      </c>
      <c r="G346" t="s">
        <v>195</v>
      </c>
      <c r="H346" t="s">
        <v>195</v>
      </c>
      <c r="I346" t="s">
        <v>184</v>
      </c>
    </row>
    <row r="347" spans="1:9" x14ac:dyDescent="0.2">
      <c r="A347">
        <v>345</v>
      </c>
      <c r="B347" t="s">
        <v>3253</v>
      </c>
      <c r="C347" t="s">
        <v>864</v>
      </c>
      <c r="D347" t="s">
        <v>437</v>
      </c>
      <c r="E347" t="s">
        <v>136</v>
      </c>
      <c r="F347">
        <v>5773600</v>
      </c>
      <c r="G347" t="s">
        <v>182</v>
      </c>
      <c r="H347" t="s">
        <v>183</v>
      </c>
      <c r="I347" t="s">
        <v>184</v>
      </c>
    </row>
    <row r="348" spans="1:9" x14ac:dyDescent="0.2">
      <c r="A348">
        <v>346</v>
      </c>
      <c r="B348" t="s">
        <v>865</v>
      </c>
      <c r="C348" t="s">
        <v>866</v>
      </c>
      <c r="D348" t="s">
        <v>330</v>
      </c>
      <c r="E348" t="s">
        <v>136</v>
      </c>
      <c r="F348">
        <v>422400000</v>
      </c>
      <c r="G348" t="s">
        <v>330</v>
      </c>
      <c r="H348" t="s">
        <v>312</v>
      </c>
      <c r="I348" t="s">
        <v>313</v>
      </c>
    </row>
    <row r="349" spans="1:9" x14ac:dyDescent="0.2">
      <c r="A349">
        <v>347</v>
      </c>
      <c r="B349" t="s">
        <v>3254</v>
      </c>
      <c r="C349" t="s">
        <v>867</v>
      </c>
      <c r="D349" t="s">
        <v>211</v>
      </c>
      <c r="E349" t="s">
        <v>136</v>
      </c>
      <c r="F349">
        <v>4310000</v>
      </c>
      <c r="G349" t="s">
        <v>212</v>
      </c>
      <c r="H349" t="s">
        <v>183</v>
      </c>
      <c r="I349" t="s">
        <v>184</v>
      </c>
    </row>
    <row r="350" spans="1:9" x14ac:dyDescent="0.2">
      <c r="A350">
        <v>348</v>
      </c>
      <c r="B350" t="s">
        <v>868</v>
      </c>
      <c r="C350" t="s">
        <v>869</v>
      </c>
      <c r="D350" t="s">
        <v>870</v>
      </c>
      <c r="E350" t="s">
        <v>136</v>
      </c>
      <c r="F350">
        <v>5253070</v>
      </c>
      <c r="G350" t="s">
        <v>269</v>
      </c>
      <c r="H350" t="s">
        <v>241</v>
      </c>
      <c r="I350" t="s">
        <v>242</v>
      </c>
    </row>
    <row r="351" spans="1:9" x14ac:dyDescent="0.2">
      <c r="A351">
        <v>349</v>
      </c>
      <c r="B351" t="s">
        <v>871</v>
      </c>
      <c r="C351" t="s">
        <v>872</v>
      </c>
      <c r="D351" t="s">
        <v>383</v>
      </c>
      <c r="E351" t="s">
        <v>136</v>
      </c>
      <c r="F351">
        <v>57964061</v>
      </c>
      <c r="G351" t="s">
        <v>311</v>
      </c>
      <c r="H351" t="s">
        <v>312</v>
      </c>
      <c r="I351" t="s">
        <v>313</v>
      </c>
    </row>
    <row r="352" spans="1:9" x14ac:dyDescent="0.2">
      <c r="A352">
        <v>350</v>
      </c>
      <c r="B352" t="s">
        <v>3255</v>
      </c>
      <c r="C352" t="s">
        <v>873</v>
      </c>
      <c r="D352" t="s">
        <v>194</v>
      </c>
      <c r="E352" t="s">
        <v>167</v>
      </c>
      <c r="F352">
        <v>140974846</v>
      </c>
      <c r="G352" t="s">
        <v>195</v>
      </c>
      <c r="H352" t="s">
        <v>195</v>
      </c>
      <c r="I352" t="s">
        <v>184</v>
      </c>
    </row>
    <row r="353" spans="1:9" x14ac:dyDescent="0.2">
      <c r="A353">
        <v>351</v>
      </c>
      <c r="B353" t="s">
        <v>874</v>
      </c>
      <c r="C353" t="s">
        <v>875</v>
      </c>
      <c r="D353" t="s">
        <v>876</v>
      </c>
      <c r="E353" t="s">
        <v>136</v>
      </c>
      <c r="F353">
        <v>7459675</v>
      </c>
      <c r="G353" t="s">
        <v>326</v>
      </c>
      <c r="H353" t="s">
        <v>327</v>
      </c>
      <c r="I353" t="s">
        <v>217</v>
      </c>
    </row>
    <row r="354" spans="1:9" x14ac:dyDescent="0.2">
      <c r="A354">
        <v>352</v>
      </c>
      <c r="B354" t="s">
        <v>877</v>
      </c>
      <c r="C354" t="s">
        <v>878</v>
      </c>
      <c r="D354" t="s">
        <v>383</v>
      </c>
      <c r="E354" t="s">
        <v>136</v>
      </c>
      <c r="F354">
        <v>120000000</v>
      </c>
      <c r="G354" t="s">
        <v>311</v>
      </c>
      <c r="H354" t="s">
        <v>312</v>
      </c>
      <c r="I354" t="s">
        <v>313</v>
      </c>
    </row>
    <row r="355" spans="1:9" x14ac:dyDescent="0.2">
      <c r="A355">
        <v>353</v>
      </c>
      <c r="B355" t="s">
        <v>879</v>
      </c>
      <c r="C355" t="s">
        <v>880</v>
      </c>
      <c r="D355" t="s">
        <v>293</v>
      </c>
      <c r="E355" t="s">
        <v>136</v>
      </c>
      <c r="F355">
        <v>10000000</v>
      </c>
      <c r="G355" t="s">
        <v>144</v>
      </c>
      <c r="H355" t="s">
        <v>144</v>
      </c>
      <c r="I355" t="s">
        <v>145</v>
      </c>
    </row>
    <row r="356" spans="1:9" x14ac:dyDescent="0.2">
      <c r="A356">
        <v>354</v>
      </c>
      <c r="B356" t="s">
        <v>3256</v>
      </c>
      <c r="C356" t="s">
        <v>881</v>
      </c>
      <c r="D356" t="s">
        <v>882</v>
      </c>
      <c r="E356" t="s">
        <v>136</v>
      </c>
      <c r="F356">
        <v>4719950</v>
      </c>
      <c r="G356" t="s">
        <v>212</v>
      </c>
      <c r="H356" t="s">
        <v>183</v>
      </c>
      <c r="I356" t="s">
        <v>184</v>
      </c>
    </row>
    <row r="357" spans="1:9" x14ac:dyDescent="0.2">
      <c r="A357">
        <v>355</v>
      </c>
      <c r="B357" t="s">
        <v>883</v>
      </c>
      <c r="C357" t="s">
        <v>884</v>
      </c>
      <c r="D357" t="s">
        <v>240</v>
      </c>
      <c r="E357" t="s">
        <v>136</v>
      </c>
      <c r="F357">
        <v>20979000</v>
      </c>
      <c r="G357" t="s">
        <v>240</v>
      </c>
      <c r="H357" t="s">
        <v>241</v>
      </c>
      <c r="I357" t="s">
        <v>242</v>
      </c>
    </row>
    <row r="358" spans="1:9" x14ac:dyDescent="0.2">
      <c r="A358">
        <v>356</v>
      </c>
      <c r="B358" t="s">
        <v>885</v>
      </c>
      <c r="C358" t="s">
        <v>886</v>
      </c>
      <c r="D358" t="s">
        <v>240</v>
      </c>
      <c r="E358" t="s">
        <v>136</v>
      </c>
      <c r="F358">
        <v>20000000</v>
      </c>
      <c r="G358" t="s">
        <v>240</v>
      </c>
      <c r="H358" t="s">
        <v>241</v>
      </c>
      <c r="I358" t="s">
        <v>242</v>
      </c>
    </row>
    <row r="359" spans="1:9" x14ac:dyDescent="0.2">
      <c r="A359">
        <v>357</v>
      </c>
      <c r="B359" t="s">
        <v>887</v>
      </c>
      <c r="C359" t="s">
        <v>888</v>
      </c>
      <c r="D359" t="s">
        <v>240</v>
      </c>
      <c r="E359" t="s">
        <v>167</v>
      </c>
      <c r="F359">
        <v>21499933</v>
      </c>
      <c r="G359" t="s">
        <v>240</v>
      </c>
      <c r="H359" t="s">
        <v>241</v>
      </c>
      <c r="I359" t="s">
        <v>242</v>
      </c>
    </row>
    <row r="360" spans="1:9" x14ac:dyDescent="0.2">
      <c r="A360">
        <v>358</v>
      </c>
      <c r="B360" t="s">
        <v>3257</v>
      </c>
      <c r="C360" t="s">
        <v>889</v>
      </c>
      <c r="D360" t="s">
        <v>283</v>
      </c>
      <c r="E360" t="s">
        <v>136</v>
      </c>
      <c r="F360">
        <v>2237280</v>
      </c>
      <c r="G360" t="s">
        <v>284</v>
      </c>
      <c r="H360" t="s">
        <v>183</v>
      </c>
      <c r="I360" t="s">
        <v>184</v>
      </c>
    </row>
    <row r="361" spans="1:9" x14ac:dyDescent="0.2">
      <c r="A361">
        <v>359</v>
      </c>
      <c r="B361" t="s">
        <v>890</v>
      </c>
      <c r="C361" t="s">
        <v>891</v>
      </c>
      <c r="D361" t="s">
        <v>208</v>
      </c>
      <c r="E361" t="s">
        <v>143</v>
      </c>
      <c r="F361">
        <v>100799032</v>
      </c>
      <c r="G361" t="s">
        <v>195</v>
      </c>
      <c r="H361" t="s">
        <v>195</v>
      </c>
      <c r="I361" t="s">
        <v>184</v>
      </c>
    </row>
    <row r="362" spans="1:9" x14ac:dyDescent="0.2">
      <c r="A362">
        <v>360</v>
      </c>
      <c r="B362" t="s">
        <v>892</v>
      </c>
      <c r="C362" t="s">
        <v>893</v>
      </c>
      <c r="D362" t="s">
        <v>240</v>
      </c>
      <c r="E362" t="s">
        <v>136</v>
      </c>
      <c r="F362">
        <v>3000000</v>
      </c>
      <c r="G362" t="s">
        <v>240</v>
      </c>
      <c r="H362" t="s">
        <v>241</v>
      </c>
      <c r="I362" t="s">
        <v>242</v>
      </c>
    </row>
    <row r="363" spans="1:9" x14ac:dyDescent="0.2">
      <c r="A363">
        <v>361</v>
      </c>
      <c r="B363" t="s">
        <v>894</v>
      </c>
      <c r="C363" t="s">
        <v>895</v>
      </c>
      <c r="D363" t="s">
        <v>293</v>
      </c>
      <c r="E363" t="s">
        <v>143</v>
      </c>
      <c r="F363">
        <v>391400000</v>
      </c>
      <c r="G363" t="s">
        <v>144</v>
      </c>
      <c r="H363" t="s">
        <v>144</v>
      </c>
      <c r="I363" t="s">
        <v>145</v>
      </c>
    </row>
    <row r="364" spans="1:9" x14ac:dyDescent="0.2">
      <c r="A364">
        <v>362</v>
      </c>
      <c r="B364" t="s">
        <v>896</v>
      </c>
      <c r="C364" t="s">
        <v>897</v>
      </c>
      <c r="D364" t="s">
        <v>240</v>
      </c>
      <c r="E364" t="s">
        <v>136</v>
      </c>
      <c r="F364">
        <v>3000010</v>
      </c>
      <c r="G364" t="s">
        <v>240</v>
      </c>
      <c r="H364" t="s">
        <v>241</v>
      </c>
      <c r="I364" t="s">
        <v>242</v>
      </c>
    </row>
    <row r="365" spans="1:9" x14ac:dyDescent="0.2">
      <c r="A365">
        <v>363</v>
      </c>
      <c r="B365" t="s">
        <v>898</v>
      </c>
      <c r="C365" t="s">
        <v>899</v>
      </c>
      <c r="D365" t="s">
        <v>142</v>
      </c>
      <c r="E365" t="s">
        <v>143</v>
      </c>
      <c r="F365">
        <v>86885932</v>
      </c>
      <c r="G365" t="s">
        <v>144</v>
      </c>
      <c r="H365" t="s">
        <v>144</v>
      </c>
      <c r="I365" t="s">
        <v>145</v>
      </c>
    </row>
    <row r="366" spans="1:9" x14ac:dyDescent="0.2">
      <c r="A366">
        <v>364</v>
      </c>
      <c r="B366" t="s">
        <v>900</v>
      </c>
      <c r="C366" t="s">
        <v>901</v>
      </c>
      <c r="D366" t="s">
        <v>355</v>
      </c>
      <c r="E366" t="s">
        <v>136</v>
      </c>
      <c r="F366">
        <v>31085257</v>
      </c>
      <c r="G366" t="s">
        <v>356</v>
      </c>
      <c r="H366" t="s">
        <v>150</v>
      </c>
      <c r="I366" t="s">
        <v>145</v>
      </c>
    </row>
    <row r="367" spans="1:9" x14ac:dyDescent="0.2">
      <c r="A367">
        <v>365</v>
      </c>
      <c r="B367" t="s">
        <v>902</v>
      </c>
      <c r="C367" t="s">
        <v>903</v>
      </c>
      <c r="D367" t="s">
        <v>799</v>
      </c>
      <c r="E367" t="s">
        <v>143</v>
      </c>
      <c r="F367">
        <v>34359416</v>
      </c>
      <c r="G367" t="s">
        <v>800</v>
      </c>
      <c r="H367" t="s">
        <v>138</v>
      </c>
      <c r="I367" t="s">
        <v>139</v>
      </c>
    </row>
    <row r="368" spans="1:9" x14ac:dyDescent="0.2">
      <c r="A368">
        <v>366</v>
      </c>
      <c r="B368" t="s">
        <v>904</v>
      </c>
      <c r="C368" t="s">
        <v>905</v>
      </c>
      <c r="D368" t="s">
        <v>724</v>
      </c>
      <c r="E368" t="s">
        <v>143</v>
      </c>
      <c r="F368">
        <v>118792605</v>
      </c>
      <c r="G368" t="s">
        <v>672</v>
      </c>
      <c r="H368" t="s">
        <v>672</v>
      </c>
      <c r="I368" t="s">
        <v>139</v>
      </c>
    </row>
    <row r="369" spans="1:9" x14ac:dyDescent="0.2">
      <c r="A369">
        <v>367</v>
      </c>
      <c r="B369" t="s">
        <v>906</v>
      </c>
      <c r="C369" t="s">
        <v>907</v>
      </c>
      <c r="D369" t="s">
        <v>142</v>
      </c>
      <c r="E369" t="s">
        <v>136</v>
      </c>
      <c r="F369">
        <v>1658400</v>
      </c>
      <c r="G369" t="s">
        <v>144</v>
      </c>
      <c r="H369" t="s">
        <v>144</v>
      </c>
      <c r="I369" t="s">
        <v>145</v>
      </c>
    </row>
    <row r="370" spans="1:9" x14ac:dyDescent="0.2">
      <c r="A370">
        <v>368</v>
      </c>
      <c r="B370" t="s">
        <v>908</v>
      </c>
      <c r="C370" t="s">
        <v>909</v>
      </c>
      <c r="D370" t="s">
        <v>166</v>
      </c>
      <c r="E370" t="s">
        <v>143</v>
      </c>
      <c r="F370">
        <v>124353866</v>
      </c>
      <c r="G370" t="s">
        <v>166</v>
      </c>
      <c r="H370" t="s">
        <v>166</v>
      </c>
      <c r="I370" t="s">
        <v>160</v>
      </c>
    </row>
    <row r="371" spans="1:9" x14ac:dyDescent="0.2">
      <c r="A371">
        <v>369</v>
      </c>
      <c r="B371" t="s">
        <v>910</v>
      </c>
      <c r="C371" t="s">
        <v>911</v>
      </c>
      <c r="D371" t="s">
        <v>142</v>
      </c>
      <c r="E371" t="s">
        <v>136</v>
      </c>
      <c r="F371">
        <v>73200000</v>
      </c>
      <c r="G371" t="s">
        <v>144</v>
      </c>
      <c r="H371" t="s">
        <v>144</v>
      </c>
      <c r="I371" t="s">
        <v>145</v>
      </c>
    </row>
    <row r="372" spans="1:9" x14ac:dyDescent="0.2">
      <c r="A372">
        <v>370</v>
      </c>
      <c r="B372" t="s">
        <v>912</v>
      </c>
      <c r="C372" t="s">
        <v>913</v>
      </c>
      <c r="D372" t="s">
        <v>330</v>
      </c>
      <c r="E372" t="s">
        <v>143</v>
      </c>
      <c r="F372">
        <v>9500000</v>
      </c>
      <c r="G372" t="s">
        <v>330</v>
      </c>
      <c r="H372" t="s">
        <v>312</v>
      </c>
      <c r="I372" t="s">
        <v>313</v>
      </c>
    </row>
    <row r="373" spans="1:9" x14ac:dyDescent="0.2">
      <c r="A373">
        <v>371</v>
      </c>
      <c r="B373" t="s">
        <v>3258</v>
      </c>
      <c r="C373" t="s">
        <v>914</v>
      </c>
      <c r="D373" t="s">
        <v>211</v>
      </c>
      <c r="E373" t="s">
        <v>167</v>
      </c>
      <c r="F373">
        <v>10669730</v>
      </c>
      <c r="G373" t="s">
        <v>212</v>
      </c>
      <c r="H373" t="s">
        <v>183</v>
      </c>
      <c r="I373" t="s">
        <v>184</v>
      </c>
    </row>
    <row r="374" spans="1:9" x14ac:dyDescent="0.2">
      <c r="A374">
        <v>372</v>
      </c>
      <c r="B374" t="s">
        <v>915</v>
      </c>
      <c r="C374" t="s">
        <v>916</v>
      </c>
      <c r="D374" t="s">
        <v>158</v>
      </c>
      <c r="E374" t="s">
        <v>143</v>
      </c>
      <c r="F374">
        <v>204838925</v>
      </c>
      <c r="G374" t="s">
        <v>159</v>
      </c>
      <c r="H374" t="s">
        <v>159</v>
      </c>
      <c r="I374" t="s">
        <v>160</v>
      </c>
    </row>
    <row r="375" spans="1:9" x14ac:dyDescent="0.2">
      <c r="A375">
        <v>373</v>
      </c>
      <c r="B375" t="s">
        <v>917</v>
      </c>
      <c r="C375" t="s">
        <v>918</v>
      </c>
      <c r="D375" t="s">
        <v>876</v>
      </c>
      <c r="E375" t="s">
        <v>136</v>
      </c>
      <c r="F375">
        <v>47100000</v>
      </c>
      <c r="G375" t="s">
        <v>326</v>
      </c>
      <c r="H375" t="s">
        <v>327</v>
      </c>
      <c r="I375" t="s">
        <v>217</v>
      </c>
    </row>
    <row r="376" spans="1:9" x14ac:dyDescent="0.2">
      <c r="A376">
        <v>374</v>
      </c>
      <c r="B376" t="s">
        <v>2983</v>
      </c>
      <c r="C376" t="s">
        <v>2984</v>
      </c>
      <c r="D376" t="s">
        <v>158</v>
      </c>
      <c r="E376" t="s">
        <v>143</v>
      </c>
      <c r="F376">
        <v>339900000</v>
      </c>
      <c r="G376" t="s">
        <v>159</v>
      </c>
      <c r="H376" t="s">
        <v>159</v>
      </c>
      <c r="I376" t="s">
        <v>160</v>
      </c>
    </row>
    <row r="377" spans="1:9" x14ac:dyDescent="0.2">
      <c r="A377">
        <v>375</v>
      </c>
      <c r="B377" t="s">
        <v>3259</v>
      </c>
      <c r="C377" t="s">
        <v>919</v>
      </c>
      <c r="D377" t="s">
        <v>194</v>
      </c>
      <c r="E377" t="s">
        <v>136</v>
      </c>
      <c r="F377">
        <v>30000000</v>
      </c>
      <c r="G377" t="s">
        <v>195</v>
      </c>
      <c r="H377" t="s">
        <v>195</v>
      </c>
      <c r="I377" t="s">
        <v>184</v>
      </c>
    </row>
    <row r="378" spans="1:9" x14ac:dyDescent="0.2">
      <c r="A378">
        <v>376</v>
      </c>
      <c r="B378" t="s">
        <v>3260</v>
      </c>
      <c r="C378" t="s">
        <v>3261</v>
      </c>
      <c r="D378" t="s">
        <v>208</v>
      </c>
      <c r="E378" t="s">
        <v>136</v>
      </c>
      <c r="F378">
        <v>10000000</v>
      </c>
      <c r="G378" t="s">
        <v>195</v>
      </c>
      <c r="H378" t="s">
        <v>195</v>
      </c>
      <c r="I378" t="s">
        <v>184</v>
      </c>
    </row>
    <row r="379" spans="1:9" x14ac:dyDescent="0.2">
      <c r="A379">
        <v>377</v>
      </c>
      <c r="B379" t="s">
        <v>920</v>
      </c>
      <c r="C379" t="s">
        <v>921</v>
      </c>
      <c r="D379" t="s">
        <v>876</v>
      </c>
      <c r="E379" t="s">
        <v>143</v>
      </c>
      <c r="F379">
        <v>12083009</v>
      </c>
      <c r="G379" t="s">
        <v>326</v>
      </c>
      <c r="H379" t="s">
        <v>327</v>
      </c>
      <c r="I379" t="s">
        <v>217</v>
      </c>
    </row>
    <row r="380" spans="1:9" x14ac:dyDescent="0.2">
      <c r="A380">
        <v>378</v>
      </c>
      <c r="B380" t="s">
        <v>922</v>
      </c>
      <c r="C380" t="s">
        <v>923</v>
      </c>
      <c r="D380" t="s">
        <v>430</v>
      </c>
      <c r="E380" t="s">
        <v>136</v>
      </c>
      <c r="F380">
        <v>118684000</v>
      </c>
      <c r="G380" t="s">
        <v>326</v>
      </c>
      <c r="H380" t="s">
        <v>327</v>
      </c>
      <c r="I380" t="s">
        <v>217</v>
      </c>
    </row>
    <row r="381" spans="1:9" x14ac:dyDescent="0.2">
      <c r="A381">
        <v>379</v>
      </c>
      <c r="B381" t="s">
        <v>924</v>
      </c>
      <c r="C381" t="s">
        <v>925</v>
      </c>
      <c r="D381" t="s">
        <v>215</v>
      </c>
      <c r="E381" t="s">
        <v>167</v>
      </c>
      <c r="F381">
        <v>32300000</v>
      </c>
      <c r="G381" t="s">
        <v>216</v>
      </c>
      <c r="H381" t="s">
        <v>216</v>
      </c>
      <c r="I381" t="s">
        <v>217</v>
      </c>
    </row>
    <row r="382" spans="1:9" x14ac:dyDescent="0.2">
      <c r="A382">
        <v>380</v>
      </c>
      <c r="B382" t="s">
        <v>926</v>
      </c>
      <c r="C382" t="s">
        <v>927</v>
      </c>
      <c r="D382" t="s">
        <v>166</v>
      </c>
      <c r="E382" t="s">
        <v>143</v>
      </c>
      <c r="F382">
        <v>18059832</v>
      </c>
      <c r="G382" t="s">
        <v>166</v>
      </c>
      <c r="H382" t="s">
        <v>166</v>
      </c>
      <c r="I382" t="s">
        <v>160</v>
      </c>
    </row>
    <row r="383" spans="1:9" x14ac:dyDescent="0.2">
      <c r="A383">
        <v>381</v>
      </c>
      <c r="B383" t="s">
        <v>3262</v>
      </c>
      <c r="C383" t="s">
        <v>928</v>
      </c>
      <c r="D383" t="s">
        <v>194</v>
      </c>
      <c r="E383" t="s">
        <v>136</v>
      </c>
      <c r="F383">
        <v>10000000</v>
      </c>
      <c r="G383" t="s">
        <v>195</v>
      </c>
      <c r="H383" t="s">
        <v>195</v>
      </c>
      <c r="I383" t="s">
        <v>184</v>
      </c>
    </row>
    <row r="384" spans="1:9" x14ac:dyDescent="0.2">
      <c r="A384">
        <v>382</v>
      </c>
      <c r="B384" t="s">
        <v>929</v>
      </c>
      <c r="C384" t="s">
        <v>930</v>
      </c>
      <c r="D384" t="s">
        <v>166</v>
      </c>
      <c r="E384" t="s">
        <v>167</v>
      </c>
      <c r="F384">
        <v>66686055</v>
      </c>
      <c r="G384" t="s">
        <v>166</v>
      </c>
      <c r="H384" t="s">
        <v>166</v>
      </c>
      <c r="I384" t="s">
        <v>160</v>
      </c>
    </row>
    <row r="385" spans="1:9" x14ac:dyDescent="0.2">
      <c r="A385">
        <v>383</v>
      </c>
      <c r="B385" t="s">
        <v>931</v>
      </c>
      <c r="C385" t="s">
        <v>932</v>
      </c>
      <c r="D385" t="s">
        <v>330</v>
      </c>
      <c r="E385" t="s">
        <v>136</v>
      </c>
      <c r="F385">
        <v>50725887</v>
      </c>
      <c r="G385" t="s">
        <v>330</v>
      </c>
      <c r="H385" t="s">
        <v>312</v>
      </c>
      <c r="I385" t="s">
        <v>313</v>
      </c>
    </row>
    <row r="386" spans="1:9" x14ac:dyDescent="0.2">
      <c r="A386">
        <v>384</v>
      </c>
      <c r="B386" t="s">
        <v>933</v>
      </c>
      <c r="C386" t="s">
        <v>934</v>
      </c>
      <c r="D386" t="s">
        <v>240</v>
      </c>
      <c r="E386" t="s">
        <v>167</v>
      </c>
      <c r="F386">
        <v>8352573</v>
      </c>
      <c r="G386" t="s">
        <v>240</v>
      </c>
      <c r="H386" t="s">
        <v>241</v>
      </c>
      <c r="I386" t="s">
        <v>242</v>
      </c>
    </row>
    <row r="387" spans="1:9" x14ac:dyDescent="0.2">
      <c r="A387">
        <v>385</v>
      </c>
      <c r="B387" t="s">
        <v>935</v>
      </c>
      <c r="C387" t="s">
        <v>936</v>
      </c>
      <c r="D387" t="s">
        <v>268</v>
      </c>
      <c r="E387" t="s">
        <v>136</v>
      </c>
      <c r="F387">
        <v>7471614</v>
      </c>
      <c r="G387" t="s">
        <v>269</v>
      </c>
      <c r="H387" t="s">
        <v>241</v>
      </c>
      <c r="I387" t="s">
        <v>242</v>
      </c>
    </row>
    <row r="388" spans="1:9" x14ac:dyDescent="0.2">
      <c r="A388">
        <v>386</v>
      </c>
      <c r="B388" t="s">
        <v>937</v>
      </c>
      <c r="C388" t="s">
        <v>938</v>
      </c>
      <c r="D388" t="s">
        <v>376</v>
      </c>
      <c r="E388" t="s">
        <v>136</v>
      </c>
      <c r="F388">
        <v>13488800</v>
      </c>
      <c r="G388" t="s">
        <v>326</v>
      </c>
      <c r="H388" t="s">
        <v>327</v>
      </c>
      <c r="I388" t="s">
        <v>217</v>
      </c>
    </row>
    <row r="389" spans="1:9" x14ac:dyDescent="0.2">
      <c r="A389">
        <v>387</v>
      </c>
      <c r="B389" t="s">
        <v>939</v>
      </c>
      <c r="C389" t="s">
        <v>940</v>
      </c>
      <c r="D389" t="s">
        <v>330</v>
      </c>
      <c r="E389" t="s">
        <v>167</v>
      </c>
      <c r="F389">
        <v>682767475</v>
      </c>
      <c r="G389" t="s">
        <v>330</v>
      </c>
      <c r="H389" t="s">
        <v>312</v>
      </c>
      <c r="I389" t="s">
        <v>313</v>
      </c>
    </row>
    <row r="390" spans="1:9" x14ac:dyDescent="0.2">
      <c r="A390">
        <v>388</v>
      </c>
      <c r="B390" t="s">
        <v>941</v>
      </c>
      <c r="C390" t="s">
        <v>942</v>
      </c>
      <c r="D390" t="s">
        <v>355</v>
      </c>
      <c r="E390" t="s">
        <v>143</v>
      </c>
      <c r="F390">
        <v>61435604</v>
      </c>
      <c r="G390" t="s">
        <v>356</v>
      </c>
      <c r="H390" t="s">
        <v>150</v>
      </c>
      <c r="I390" t="s">
        <v>145</v>
      </c>
    </row>
    <row r="391" spans="1:9" x14ac:dyDescent="0.2">
      <c r="A391">
        <v>389</v>
      </c>
      <c r="B391" t="s">
        <v>943</v>
      </c>
      <c r="C391" t="s">
        <v>944</v>
      </c>
      <c r="D391" t="s">
        <v>240</v>
      </c>
      <c r="E391" t="s">
        <v>136</v>
      </c>
      <c r="F391">
        <v>16229042</v>
      </c>
      <c r="G391" t="s">
        <v>240</v>
      </c>
      <c r="H391" t="s">
        <v>241</v>
      </c>
      <c r="I391" t="s">
        <v>242</v>
      </c>
    </row>
    <row r="392" spans="1:9" x14ac:dyDescent="0.2">
      <c r="A392">
        <v>390</v>
      </c>
      <c r="B392" t="s">
        <v>945</v>
      </c>
      <c r="C392" t="s">
        <v>946</v>
      </c>
      <c r="D392" t="s">
        <v>142</v>
      </c>
      <c r="E392" t="s">
        <v>143</v>
      </c>
      <c r="F392">
        <v>8151820</v>
      </c>
      <c r="G392" t="s">
        <v>144</v>
      </c>
      <c r="H392" t="s">
        <v>144</v>
      </c>
      <c r="I392" t="s">
        <v>145</v>
      </c>
    </row>
    <row r="393" spans="1:9" x14ac:dyDescent="0.2">
      <c r="A393">
        <v>391</v>
      </c>
      <c r="B393" t="s">
        <v>3263</v>
      </c>
      <c r="C393" t="s">
        <v>947</v>
      </c>
      <c r="D393" t="s">
        <v>437</v>
      </c>
      <c r="E393" t="s">
        <v>136</v>
      </c>
      <c r="F393">
        <v>5614300</v>
      </c>
      <c r="G393" t="s">
        <v>182</v>
      </c>
      <c r="H393" t="s">
        <v>183</v>
      </c>
      <c r="I393" t="s">
        <v>184</v>
      </c>
    </row>
    <row r="394" spans="1:9" x14ac:dyDescent="0.2">
      <c r="A394">
        <v>392</v>
      </c>
      <c r="B394" t="s">
        <v>948</v>
      </c>
      <c r="C394" t="s">
        <v>949</v>
      </c>
      <c r="D394" t="s">
        <v>310</v>
      </c>
      <c r="E394" t="s">
        <v>136</v>
      </c>
      <c r="F394">
        <v>10793670</v>
      </c>
      <c r="G394" t="s">
        <v>311</v>
      </c>
      <c r="H394" t="s">
        <v>312</v>
      </c>
      <c r="I394" t="s">
        <v>313</v>
      </c>
    </row>
    <row r="395" spans="1:9" x14ac:dyDescent="0.2">
      <c r="A395">
        <v>393</v>
      </c>
      <c r="B395" t="s">
        <v>3264</v>
      </c>
      <c r="C395" t="s">
        <v>950</v>
      </c>
      <c r="D395" t="s">
        <v>194</v>
      </c>
      <c r="E395" t="s">
        <v>136</v>
      </c>
      <c r="F395">
        <v>28000000</v>
      </c>
      <c r="G395" t="s">
        <v>195</v>
      </c>
      <c r="H395" t="s">
        <v>195</v>
      </c>
      <c r="I395" t="s">
        <v>184</v>
      </c>
    </row>
    <row r="396" spans="1:9" x14ac:dyDescent="0.2">
      <c r="A396">
        <v>394</v>
      </c>
      <c r="B396" t="s">
        <v>951</v>
      </c>
      <c r="C396" t="s">
        <v>952</v>
      </c>
      <c r="D396" t="s">
        <v>240</v>
      </c>
      <c r="E396" t="s">
        <v>167</v>
      </c>
      <c r="F396">
        <v>42779916</v>
      </c>
      <c r="G396" t="s">
        <v>240</v>
      </c>
      <c r="H396" t="s">
        <v>241</v>
      </c>
      <c r="I396" t="s">
        <v>242</v>
      </c>
    </row>
    <row r="397" spans="1:9" x14ac:dyDescent="0.2">
      <c r="A397">
        <v>395</v>
      </c>
      <c r="B397" t="s">
        <v>953</v>
      </c>
      <c r="C397" t="s">
        <v>954</v>
      </c>
      <c r="D397" t="s">
        <v>240</v>
      </c>
      <c r="E397" t="s">
        <v>136</v>
      </c>
      <c r="F397">
        <v>237000000</v>
      </c>
      <c r="G397" t="s">
        <v>240</v>
      </c>
      <c r="H397" t="s">
        <v>241</v>
      </c>
      <c r="I397" t="s">
        <v>242</v>
      </c>
    </row>
    <row r="398" spans="1:9" x14ac:dyDescent="0.2">
      <c r="A398">
        <v>396</v>
      </c>
      <c r="B398" t="s">
        <v>3160</v>
      </c>
      <c r="C398" t="s">
        <v>955</v>
      </c>
      <c r="D398" t="s">
        <v>211</v>
      </c>
      <c r="E398" t="s">
        <v>143</v>
      </c>
      <c r="F398">
        <v>40000000</v>
      </c>
      <c r="G398" t="s">
        <v>212</v>
      </c>
      <c r="H398" t="s">
        <v>183</v>
      </c>
      <c r="I398" t="s">
        <v>184</v>
      </c>
    </row>
    <row r="399" spans="1:9" x14ac:dyDescent="0.2">
      <c r="A399">
        <v>397</v>
      </c>
      <c r="B399" t="s">
        <v>3265</v>
      </c>
      <c r="C399" t="s">
        <v>3266</v>
      </c>
      <c r="D399" t="s">
        <v>567</v>
      </c>
      <c r="E399" t="s">
        <v>136</v>
      </c>
      <c r="F399">
        <v>279300</v>
      </c>
      <c r="G399" t="s">
        <v>182</v>
      </c>
      <c r="H399" t="s">
        <v>183</v>
      </c>
      <c r="I399" t="s">
        <v>184</v>
      </c>
    </row>
    <row r="400" spans="1:9" x14ac:dyDescent="0.2">
      <c r="A400">
        <v>398</v>
      </c>
      <c r="B400" t="s">
        <v>3267</v>
      </c>
      <c r="C400" t="s">
        <v>956</v>
      </c>
      <c r="D400" t="s">
        <v>208</v>
      </c>
      <c r="E400" t="s">
        <v>136</v>
      </c>
      <c r="F400">
        <v>2345000</v>
      </c>
      <c r="G400" t="s">
        <v>195</v>
      </c>
      <c r="H400" t="s">
        <v>195</v>
      </c>
      <c r="I400" t="s">
        <v>184</v>
      </c>
    </row>
    <row r="401" spans="1:9" x14ac:dyDescent="0.2">
      <c r="A401">
        <v>399</v>
      </c>
      <c r="B401" t="s">
        <v>957</v>
      </c>
      <c r="C401" t="s">
        <v>958</v>
      </c>
      <c r="D401" t="s">
        <v>383</v>
      </c>
      <c r="E401" t="s">
        <v>136</v>
      </c>
      <c r="F401">
        <v>20172800</v>
      </c>
      <c r="G401" t="s">
        <v>311</v>
      </c>
      <c r="H401" t="s">
        <v>312</v>
      </c>
      <c r="I401" t="s">
        <v>313</v>
      </c>
    </row>
    <row r="402" spans="1:9" x14ac:dyDescent="0.2">
      <c r="A402">
        <v>400</v>
      </c>
      <c r="B402" t="s">
        <v>959</v>
      </c>
      <c r="C402" t="s">
        <v>960</v>
      </c>
      <c r="D402" t="s">
        <v>383</v>
      </c>
      <c r="E402" t="s">
        <v>136</v>
      </c>
      <c r="F402">
        <v>25918130</v>
      </c>
      <c r="G402" t="s">
        <v>311</v>
      </c>
      <c r="H402" t="s">
        <v>312</v>
      </c>
      <c r="I402" t="s">
        <v>313</v>
      </c>
    </row>
    <row r="403" spans="1:9" x14ac:dyDescent="0.2">
      <c r="A403">
        <v>401</v>
      </c>
      <c r="B403" t="s">
        <v>961</v>
      </c>
      <c r="C403" t="s">
        <v>962</v>
      </c>
      <c r="D403" t="s">
        <v>166</v>
      </c>
      <c r="E403" t="s">
        <v>143</v>
      </c>
      <c r="F403">
        <v>1020631675</v>
      </c>
      <c r="G403" t="s">
        <v>166</v>
      </c>
      <c r="H403" t="s">
        <v>166</v>
      </c>
      <c r="I403" t="s">
        <v>160</v>
      </c>
    </row>
    <row r="404" spans="1:9" x14ac:dyDescent="0.2">
      <c r="A404">
        <v>402</v>
      </c>
      <c r="B404" t="s">
        <v>963</v>
      </c>
      <c r="C404" t="s">
        <v>964</v>
      </c>
      <c r="D404" t="s">
        <v>376</v>
      </c>
      <c r="E404" t="s">
        <v>136</v>
      </c>
      <c r="F404">
        <v>3957900</v>
      </c>
      <c r="G404" t="s">
        <v>326</v>
      </c>
      <c r="H404" t="s">
        <v>327</v>
      </c>
      <c r="I404" t="s">
        <v>217</v>
      </c>
    </row>
    <row r="405" spans="1:9" x14ac:dyDescent="0.2">
      <c r="A405">
        <v>403</v>
      </c>
      <c r="B405" t="s">
        <v>3268</v>
      </c>
      <c r="C405" t="s">
        <v>965</v>
      </c>
      <c r="D405" t="s">
        <v>211</v>
      </c>
      <c r="E405" t="s">
        <v>167</v>
      </c>
      <c r="F405">
        <v>59910133</v>
      </c>
      <c r="G405" t="s">
        <v>212</v>
      </c>
      <c r="H405" t="s">
        <v>183</v>
      </c>
      <c r="I405" t="s">
        <v>184</v>
      </c>
    </row>
    <row r="406" spans="1:9" x14ac:dyDescent="0.2">
      <c r="A406">
        <v>404</v>
      </c>
      <c r="B406" t="s">
        <v>966</v>
      </c>
      <c r="C406" t="s">
        <v>967</v>
      </c>
      <c r="D406" t="s">
        <v>415</v>
      </c>
      <c r="E406" t="s">
        <v>143</v>
      </c>
      <c r="F406">
        <v>579103124</v>
      </c>
      <c r="G406" t="s">
        <v>166</v>
      </c>
      <c r="H406" t="s">
        <v>166</v>
      </c>
      <c r="I406" t="s">
        <v>160</v>
      </c>
    </row>
    <row r="407" spans="1:9" x14ac:dyDescent="0.2">
      <c r="A407">
        <v>405</v>
      </c>
      <c r="B407" t="s">
        <v>3269</v>
      </c>
      <c r="C407" t="s">
        <v>968</v>
      </c>
      <c r="D407" t="s">
        <v>194</v>
      </c>
      <c r="E407" t="s">
        <v>143</v>
      </c>
      <c r="F407">
        <v>9900000</v>
      </c>
      <c r="G407" t="s">
        <v>195</v>
      </c>
      <c r="H407" t="s">
        <v>195</v>
      </c>
      <c r="I407" t="s">
        <v>184</v>
      </c>
    </row>
    <row r="408" spans="1:9" x14ac:dyDescent="0.2">
      <c r="A408">
        <v>406</v>
      </c>
      <c r="B408" t="s">
        <v>3270</v>
      </c>
      <c r="C408" t="s">
        <v>969</v>
      </c>
      <c r="D408" t="s">
        <v>289</v>
      </c>
      <c r="E408" t="s">
        <v>136</v>
      </c>
      <c r="F408">
        <v>5395985</v>
      </c>
      <c r="G408" t="s">
        <v>290</v>
      </c>
      <c r="H408" t="s">
        <v>183</v>
      </c>
      <c r="I408" t="s">
        <v>184</v>
      </c>
    </row>
    <row r="409" spans="1:9" x14ac:dyDescent="0.2">
      <c r="A409">
        <v>407</v>
      </c>
      <c r="B409" t="s">
        <v>3271</v>
      </c>
      <c r="C409" t="s">
        <v>970</v>
      </c>
      <c r="D409" t="s">
        <v>208</v>
      </c>
      <c r="E409" t="s">
        <v>136</v>
      </c>
      <c r="F409">
        <v>1200000</v>
      </c>
      <c r="G409" t="s">
        <v>195</v>
      </c>
      <c r="H409" t="s">
        <v>195</v>
      </c>
      <c r="I409" t="s">
        <v>184</v>
      </c>
    </row>
    <row r="410" spans="1:9" x14ac:dyDescent="0.2">
      <c r="A410">
        <v>408</v>
      </c>
      <c r="B410" t="s">
        <v>971</v>
      </c>
      <c r="C410" t="s">
        <v>972</v>
      </c>
      <c r="D410" t="s">
        <v>973</v>
      </c>
      <c r="E410" t="s">
        <v>143</v>
      </c>
      <c r="F410">
        <v>198300000</v>
      </c>
      <c r="G410" t="s">
        <v>125</v>
      </c>
      <c r="H410" t="s">
        <v>125</v>
      </c>
      <c r="I410" t="s">
        <v>125</v>
      </c>
    </row>
    <row r="411" spans="1:9" x14ac:dyDescent="0.2">
      <c r="A411">
        <v>409</v>
      </c>
      <c r="B411" t="s">
        <v>3272</v>
      </c>
      <c r="C411" t="s">
        <v>974</v>
      </c>
      <c r="D411" t="s">
        <v>208</v>
      </c>
      <c r="E411" t="s">
        <v>136</v>
      </c>
      <c r="F411">
        <v>5000000</v>
      </c>
      <c r="G411" t="s">
        <v>195</v>
      </c>
      <c r="H411" t="s">
        <v>195</v>
      </c>
      <c r="I411" t="s">
        <v>184</v>
      </c>
    </row>
    <row r="412" spans="1:9" x14ac:dyDescent="0.2">
      <c r="A412">
        <v>410</v>
      </c>
      <c r="B412" t="s">
        <v>975</v>
      </c>
      <c r="C412" t="s">
        <v>976</v>
      </c>
      <c r="D412" t="s">
        <v>215</v>
      </c>
      <c r="E412" t="s">
        <v>167</v>
      </c>
      <c r="F412">
        <v>10219484</v>
      </c>
      <c r="G412" t="s">
        <v>216</v>
      </c>
      <c r="H412" t="s">
        <v>216</v>
      </c>
      <c r="I412" t="s">
        <v>217</v>
      </c>
    </row>
    <row r="413" spans="1:9" x14ac:dyDescent="0.2">
      <c r="A413">
        <v>411</v>
      </c>
      <c r="B413" t="s">
        <v>977</v>
      </c>
      <c r="C413" t="s">
        <v>978</v>
      </c>
      <c r="D413" t="s">
        <v>215</v>
      </c>
      <c r="E413" t="s">
        <v>167</v>
      </c>
      <c r="F413">
        <v>1860000</v>
      </c>
      <c r="G413" t="s">
        <v>216</v>
      </c>
      <c r="H413" t="s">
        <v>216</v>
      </c>
      <c r="I413" t="s">
        <v>217</v>
      </c>
    </row>
    <row r="414" spans="1:9" x14ac:dyDescent="0.2">
      <c r="A414">
        <v>412</v>
      </c>
      <c r="B414" t="s">
        <v>3273</v>
      </c>
      <c r="C414" t="s">
        <v>3274</v>
      </c>
      <c r="D414" t="s">
        <v>142</v>
      </c>
      <c r="E414" t="s">
        <v>136</v>
      </c>
      <c r="F414">
        <v>20000000</v>
      </c>
      <c r="G414" t="s">
        <v>144</v>
      </c>
      <c r="H414" t="s">
        <v>144</v>
      </c>
      <c r="I414" t="s">
        <v>145</v>
      </c>
    </row>
    <row r="415" spans="1:9" x14ac:dyDescent="0.2">
      <c r="A415">
        <v>413</v>
      </c>
      <c r="B415" t="s">
        <v>979</v>
      </c>
      <c r="C415" t="s">
        <v>980</v>
      </c>
      <c r="D415" t="s">
        <v>166</v>
      </c>
      <c r="E415" t="s">
        <v>136</v>
      </c>
      <c r="F415">
        <v>10880000</v>
      </c>
      <c r="G415" t="s">
        <v>166</v>
      </c>
      <c r="H415" t="s">
        <v>166</v>
      </c>
      <c r="I415" t="s">
        <v>160</v>
      </c>
    </row>
    <row r="416" spans="1:9" x14ac:dyDescent="0.2">
      <c r="A416">
        <v>414</v>
      </c>
      <c r="B416" t="s">
        <v>981</v>
      </c>
      <c r="C416" t="s">
        <v>982</v>
      </c>
      <c r="D416" t="s">
        <v>170</v>
      </c>
      <c r="E416" t="s">
        <v>143</v>
      </c>
      <c r="F416">
        <v>1868810607</v>
      </c>
      <c r="G416" t="s">
        <v>170</v>
      </c>
      <c r="H416" t="s">
        <v>170</v>
      </c>
      <c r="I416" t="s">
        <v>170</v>
      </c>
    </row>
    <row r="417" spans="1:9" x14ac:dyDescent="0.2">
      <c r="A417">
        <v>415</v>
      </c>
      <c r="B417" t="s">
        <v>3275</v>
      </c>
      <c r="C417" t="s">
        <v>983</v>
      </c>
      <c r="D417" t="s">
        <v>208</v>
      </c>
      <c r="E417" t="s">
        <v>136</v>
      </c>
      <c r="F417">
        <v>36677145</v>
      </c>
      <c r="G417" t="s">
        <v>195</v>
      </c>
      <c r="H417" t="s">
        <v>195</v>
      </c>
      <c r="I417" t="s">
        <v>184</v>
      </c>
    </row>
    <row r="418" spans="1:9" x14ac:dyDescent="0.2">
      <c r="A418">
        <v>416</v>
      </c>
      <c r="B418" t="s">
        <v>984</v>
      </c>
      <c r="C418" t="s">
        <v>985</v>
      </c>
      <c r="D418" t="s">
        <v>215</v>
      </c>
      <c r="E418" t="s">
        <v>167</v>
      </c>
      <c r="F418">
        <v>15000000</v>
      </c>
      <c r="G418" t="s">
        <v>216</v>
      </c>
      <c r="H418" t="s">
        <v>216</v>
      </c>
      <c r="I418" t="s">
        <v>217</v>
      </c>
    </row>
    <row r="419" spans="1:9" x14ac:dyDescent="0.2">
      <c r="A419">
        <v>417</v>
      </c>
      <c r="B419" t="s">
        <v>986</v>
      </c>
      <c r="C419" t="s">
        <v>987</v>
      </c>
      <c r="D419" t="s">
        <v>376</v>
      </c>
      <c r="E419" t="s">
        <v>136</v>
      </c>
      <c r="F419">
        <v>45407161</v>
      </c>
      <c r="G419" t="s">
        <v>326</v>
      </c>
      <c r="H419" t="s">
        <v>327</v>
      </c>
      <c r="I419" t="s">
        <v>217</v>
      </c>
    </row>
    <row r="420" spans="1:9" x14ac:dyDescent="0.2">
      <c r="A420">
        <v>418</v>
      </c>
      <c r="B420" t="s">
        <v>988</v>
      </c>
      <c r="C420" t="s">
        <v>989</v>
      </c>
      <c r="D420" t="s">
        <v>652</v>
      </c>
      <c r="E420" t="s">
        <v>143</v>
      </c>
      <c r="F420">
        <v>99947436</v>
      </c>
      <c r="G420" t="s">
        <v>653</v>
      </c>
      <c r="H420" t="s">
        <v>654</v>
      </c>
      <c r="I420" t="s">
        <v>654</v>
      </c>
    </row>
    <row r="421" spans="1:9" x14ac:dyDescent="0.2">
      <c r="A421">
        <v>419</v>
      </c>
      <c r="B421" t="s">
        <v>3276</v>
      </c>
      <c r="C421" t="s">
        <v>990</v>
      </c>
      <c r="D421" t="s">
        <v>259</v>
      </c>
      <c r="E421" t="s">
        <v>136</v>
      </c>
      <c r="F421">
        <v>3780298</v>
      </c>
      <c r="G421" t="s">
        <v>260</v>
      </c>
      <c r="H421" t="s">
        <v>183</v>
      </c>
      <c r="I421" t="s">
        <v>184</v>
      </c>
    </row>
    <row r="422" spans="1:9" x14ac:dyDescent="0.2">
      <c r="A422">
        <v>420</v>
      </c>
      <c r="B422" t="s">
        <v>3277</v>
      </c>
      <c r="C422" t="s">
        <v>991</v>
      </c>
      <c r="D422" t="s">
        <v>259</v>
      </c>
      <c r="E422" t="s">
        <v>136</v>
      </c>
      <c r="F422">
        <v>3000000</v>
      </c>
      <c r="G422" t="s">
        <v>260</v>
      </c>
      <c r="H422" t="s">
        <v>183</v>
      </c>
      <c r="I422" t="s">
        <v>184</v>
      </c>
    </row>
    <row r="423" spans="1:9" x14ac:dyDescent="0.2">
      <c r="A423">
        <v>421</v>
      </c>
      <c r="B423" t="s">
        <v>3278</v>
      </c>
      <c r="C423" t="s">
        <v>992</v>
      </c>
      <c r="D423" t="s">
        <v>993</v>
      </c>
      <c r="E423" t="s">
        <v>136</v>
      </c>
      <c r="F423">
        <v>20999440</v>
      </c>
      <c r="G423" t="s">
        <v>212</v>
      </c>
      <c r="H423" t="s">
        <v>183</v>
      </c>
      <c r="I423" t="s">
        <v>184</v>
      </c>
    </row>
    <row r="424" spans="1:9" x14ac:dyDescent="0.2">
      <c r="A424">
        <v>422</v>
      </c>
      <c r="B424" t="s">
        <v>994</v>
      </c>
      <c r="C424" t="s">
        <v>995</v>
      </c>
      <c r="D424" t="s">
        <v>400</v>
      </c>
      <c r="E424" t="s">
        <v>136</v>
      </c>
      <c r="F424">
        <v>9388500</v>
      </c>
      <c r="G424" t="s">
        <v>348</v>
      </c>
      <c r="H424" t="s">
        <v>155</v>
      </c>
      <c r="I424" t="s">
        <v>139</v>
      </c>
    </row>
    <row r="425" spans="1:9" x14ac:dyDescent="0.2">
      <c r="A425">
        <v>423</v>
      </c>
      <c r="B425" t="s">
        <v>996</v>
      </c>
      <c r="C425" t="s">
        <v>997</v>
      </c>
      <c r="D425" t="s">
        <v>163</v>
      </c>
      <c r="E425" t="s">
        <v>143</v>
      </c>
      <c r="F425">
        <v>41979773</v>
      </c>
      <c r="G425" t="s">
        <v>137</v>
      </c>
      <c r="H425" t="s">
        <v>138</v>
      </c>
      <c r="I425" t="s">
        <v>139</v>
      </c>
    </row>
    <row r="426" spans="1:9" x14ac:dyDescent="0.2">
      <c r="A426">
        <v>424</v>
      </c>
      <c r="B426" t="s">
        <v>998</v>
      </c>
      <c r="C426" t="s">
        <v>999</v>
      </c>
      <c r="D426" t="s">
        <v>1000</v>
      </c>
      <c r="E426" t="s">
        <v>143</v>
      </c>
      <c r="F426">
        <v>760565802</v>
      </c>
      <c r="G426" t="s">
        <v>159</v>
      </c>
      <c r="H426" t="s">
        <v>159</v>
      </c>
      <c r="I426" t="s">
        <v>160</v>
      </c>
    </row>
    <row r="427" spans="1:9" x14ac:dyDescent="0.2">
      <c r="A427">
        <v>425</v>
      </c>
      <c r="B427" t="s">
        <v>3279</v>
      </c>
      <c r="C427" t="s">
        <v>1001</v>
      </c>
      <c r="D427" t="s">
        <v>208</v>
      </c>
      <c r="E427" t="s">
        <v>143</v>
      </c>
      <c r="F427">
        <v>215249836</v>
      </c>
      <c r="G427" t="s">
        <v>195</v>
      </c>
      <c r="H427" t="s">
        <v>195</v>
      </c>
      <c r="I427" t="s">
        <v>184</v>
      </c>
    </row>
    <row r="428" spans="1:9" x14ac:dyDescent="0.2">
      <c r="A428">
        <v>426</v>
      </c>
      <c r="B428" t="s">
        <v>1002</v>
      </c>
      <c r="C428" t="s">
        <v>1003</v>
      </c>
      <c r="D428" t="s">
        <v>158</v>
      </c>
      <c r="E428" t="s">
        <v>167</v>
      </c>
      <c r="F428">
        <v>164800618</v>
      </c>
      <c r="G428" t="s">
        <v>159</v>
      </c>
      <c r="H428" t="s">
        <v>159</v>
      </c>
      <c r="I428" t="s">
        <v>160</v>
      </c>
    </row>
    <row r="429" spans="1:9" x14ac:dyDescent="0.2">
      <c r="A429">
        <v>427</v>
      </c>
      <c r="B429" t="s">
        <v>3280</v>
      </c>
      <c r="C429" t="s">
        <v>3281</v>
      </c>
      <c r="D429" t="s">
        <v>1000</v>
      </c>
      <c r="E429" t="s">
        <v>136</v>
      </c>
      <c r="F429">
        <v>8264612</v>
      </c>
      <c r="G429" t="s">
        <v>159</v>
      </c>
      <c r="H429" t="s">
        <v>159</v>
      </c>
      <c r="I429" t="s">
        <v>160</v>
      </c>
    </row>
    <row r="430" spans="1:9" x14ac:dyDescent="0.2">
      <c r="A430">
        <v>428</v>
      </c>
      <c r="B430" t="s">
        <v>1004</v>
      </c>
      <c r="C430" t="s">
        <v>1005</v>
      </c>
      <c r="D430" t="s">
        <v>799</v>
      </c>
      <c r="E430" t="s">
        <v>136</v>
      </c>
      <c r="F430">
        <v>3414900</v>
      </c>
      <c r="G430" t="s">
        <v>800</v>
      </c>
      <c r="H430" t="s">
        <v>138</v>
      </c>
      <c r="I430" t="s">
        <v>139</v>
      </c>
    </row>
    <row r="431" spans="1:9" x14ac:dyDescent="0.2">
      <c r="A431">
        <v>429</v>
      </c>
      <c r="B431" t="s">
        <v>3282</v>
      </c>
      <c r="C431" t="s">
        <v>1006</v>
      </c>
      <c r="D431" t="s">
        <v>289</v>
      </c>
      <c r="E431" t="s">
        <v>136</v>
      </c>
      <c r="F431">
        <v>3700000</v>
      </c>
      <c r="G431" t="s">
        <v>290</v>
      </c>
      <c r="H431" t="s">
        <v>183</v>
      </c>
      <c r="I431" t="s">
        <v>184</v>
      </c>
    </row>
    <row r="432" spans="1:9" x14ac:dyDescent="0.2">
      <c r="A432">
        <v>430</v>
      </c>
      <c r="B432" t="s">
        <v>1007</v>
      </c>
      <c r="C432" t="s">
        <v>1008</v>
      </c>
      <c r="D432" t="s">
        <v>166</v>
      </c>
      <c r="E432" t="s">
        <v>136</v>
      </c>
      <c r="F432">
        <v>5997040</v>
      </c>
      <c r="G432" t="s">
        <v>166</v>
      </c>
      <c r="H432" t="s">
        <v>166</v>
      </c>
      <c r="I432" t="s">
        <v>160</v>
      </c>
    </row>
    <row r="433" spans="1:9" x14ac:dyDescent="0.2">
      <c r="A433">
        <v>431</v>
      </c>
      <c r="B433" t="s">
        <v>3283</v>
      </c>
      <c r="C433" t="s">
        <v>1009</v>
      </c>
      <c r="D433" t="s">
        <v>194</v>
      </c>
      <c r="E433" t="s">
        <v>143</v>
      </c>
      <c r="F433">
        <v>46226626</v>
      </c>
      <c r="G433" t="s">
        <v>195</v>
      </c>
      <c r="H433" t="s">
        <v>195</v>
      </c>
      <c r="I433" t="s">
        <v>184</v>
      </c>
    </row>
    <row r="434" spans="1:9" x14ac:dyDescent="0.2">
      <c r="A434">
        <v>432</v>
      </c>
      <c r="B434" t="s">
        <v>1010</v>
      </c>
      <c r="C434" t="s">
        <v>1011</v>
      </c>
      <c r="D434" t="s">
        <v>208</v>
      </c>
      <c r="E434" t="s">
        <v>143</v>
      </c>
      <c r="F434">
        <v>157439005</v>
      </c>
      <c r="G434" t="s">
        <v>195</v>
      </c>
      <c r="H434" t="s">
        <v>195</v>
      </c>
      <c r="I434" t="s">
        <v>184</v>
      </c>
    </row>
    <row r="435" spans="1:9" x14ac:dyDescent="0.2">
      <c r="A435">
        <v>433</v>
      </c>
      <c r="B435" t="s">
        <v>1012</v>
      </c>
      <c r="C435" t="s">
        <v>1013</v>
      </c>
      <c r="D435" t="s">
        <v>237</v>
      </c>
      <c r="E435" t="s">
        <v>136</v>
      </c>
      <c r="F435">
        <v>29450000</v>
      </c>
      <c r="G435" t="s">
        <v>154</v>
      </c>
      <c r="H435" t="s">
        <v>155</v>
      </c>
      <c r="I435" t="s">
        <v>139</v>
      </c>
    </row>
    <row r="436" spans="1:9" x14ac:dyDescent="0.2">
      <c r="A436">
        <v>434</v>
      </c>
      <c r="B436" t="s">
        <v>1014</v>
      </c>
      <c r="C436" t="s">
        <v>1015</v>
      </c>
      <c r="D436" t="s">
        <v>166</v>
      </c>
      <c r="E436" t="s">
        <v>143</v>
      </c>
      <c r="F436">
        <v>38629988</v>
      </c>
      <c r="G436" t="s">
        <v>166</v>
      </c>
      <c r="H436" t="s">
        <v>166</v>
      </c>
      <c r="I436" t="s">
        <v>160</v>
      </c>
    </row>
    <row r="437" spans="1:9" x14ac:dyDescent="0.2">
      <c r="A437">
        <v>435</v>
      </c>
      <c r="B437" t="s">
        <v>1016</v>
      </c>
      <c r="C437" t="s">
        <v>1017</v>
      </c>
      <c r="D437" t="s">
        <v>400</v>
      </c>
      <c r="E437" t="s">
        <v>136</v>
      </c>
      <c r="F437">
        <v>14676300</v>
      </c>
      <c r="G437" t="s">
        <v>348</v>
      </c>
      <c r="H437" t="s">
        <v>155</v>
      </c>
      <c r="I437" t="s">
        <v>139</v>
      </c>
    </row>
    <row r="438" spans="1:9" x14ac:dyDescent="0.2">
      <c r="A438">
        <v>436</v>
      </c>
      <c r="B438" t="s">
        <v>1018</v>
      </c>
      <c r="C438" t="s">
        <v>1019</v>
      </c>
      <c r="D438" t="s">
        <v>227</v>
      </c>
      <c r="E438" t="s">
        <v>136</v>
      </c>
      <c r="F438">
        <v>3000000</v>
      </c>
      <c r="G438" t="s">
        <v>228</v>
      </c>
      <c r="H438" t="s">
        <v>229</v>
      </c>
      <c r="I438" t="s">
        <v>217</v>
      </c>
    </row>
    <row r="439" spans="1:9" x14ac:dyDescent="0.2">
      <c r="A439">
        <v>437</v>
      </c>
      <c r="B439" t="s">
        <v>1020</v>
      </c>
      <c r="C439" t="s">
        <v>1021</v>
      </c>
      <c r="D439" t="s">
        <v>215</v>
      </c>
      <c r="E439" t="s">
        <v>136</v>
      </c>
      <c r="F439">
        <v>12751462</v>
      </c>
      <c r="G439" t="s">
        <v>216</v>
      </c>
      <c r="H439" t="s">
        <v>216</v>
      </c>
      <c r="I439" t="s">
        <v>217</v>
      </c>
    </row>
    <row r="440" spans="1:9" x14ac:dyDescent="0.2">
      <c r="A440">
        <v>438</v>
      </c>
      <c r="B440" t="s">
        <v>3284</v>
      </c>
      <c r="C440" t="s">
        <v>1022</v>
      </c>
      <c r="D440" t="s">
        <v>194</v>
      </c>
      <c r="E440" t="s">
        <v>136</v>
      </c>
      <c r="F440">
        <v>127000000</v>
      </c>
      <c r="G440" t="s">
        <v>195</v>
      </c>
      <c r="H440" t="s">
        <v>195</v>
      </c>
      <c r="I440" t="s">
        <v>184</v>
      </c>
    </row>
    <row r="441" spans="1:9" x14ac:dyDescent="0.2">
      <c r="A441">
        <v>439</v>
      </c>
      <c r="B441" t="s">
        <v>1023</v>
      </c>
      <c r="C441" t="s">
        <v>1024</v>
      </c>
      <c r="D441" t="s">
        <v>194</v>
      </c>
      <c r="E441" t="s">
        <v>167</v>
      </c>
      <c r="F441">
        <v>24715958</v>
      </c>
      <c r="G441" t="s">
        <v>195</v>
      </c>
      <c r="H441" t="s">
        <v>195</v>
      </c>
      <c r="I441" t="s">
        <v>184</v>
      </c>
    </row>
    <row r="442" spans="1:9" x14ac:dyDescent="0.2">
      <c r="A442">
        <v>440</v>
      </c>
      <c r="B442" t="s">
        <v>1025</v>
      </c>
      <c r="C442" t="s">
        <v>1026</v>
      </c>
      <c r="D442" t="s">
        <v>166</v>
      </c>
      <c r="E442" t="s">
        <v>143</v>
      </c>
      <c r="F442">
        <v>64245281</v>
      </c>
      <c r="G442" t="s">
        <v>166</v>
      </c>
      <c r="H442" t="s">
        <v>166</v>
      </c>
      <c r="I442" t="s">
        <v>160</v>
      </c>
    </row>
    <row r="443" spans="1:9" x14ac:dyDescent="0.2">
      <c r="A443">
        <v>441</v>
      </c>
      <c r="B443" t="s">
        <v>1027</v>
      </c>
      <c r="C443" t="s">
        <v>1028</v>
      </c>
      <c r="D443" t="s">
        <v>240</v>
      </c>
      <c r="E443" t="s">
        <v>143</v>
      </c>
      <c r="F443">
        <v>339933034</v>
      </c>
      <c r="G443" t="s">
        <v>240</v>
      </c>
      <c r="H443" t="s">
        <v>241</v>
      </c>
      <c r="I443" t="s">
        <v>242</v>
      </c>
    </row>
    <row r="444" spans="1:9" x14ac:dyDescent="0.2">
      <c r="A444">
        <v>442</v>
      </c>
      <c r="B444" t="s">
        <v>1029</v>
      </c>
      <c r="C444" t="s">
        <v>1030</v>
      </c>
      <c r="D444" t="s">
        <v>166</v>
      </c>
      <c r="E444" t="s">
        <v>136</v>
      </c>
      <c r="F444">
        <v>709997807</v>
      </c>
      <c r="G444" t="s">
        <v>166</v>
      </c>
      <c r="H444" t="s">
        <v>166</v>
      </c>
      <c r="I444" t="s">
        <v>160</v>
      </c>
    </row>
    <row r="445" spans="1:9" x14ac:dyDescent="0.2">
      <c r="A445">
        <v>443</v>
      </c>
      <c r="B445" t="s">
        <v>1031</v>
      </c>
      <c r="C445" t="s">
        <v>1032</v>
      </c>
      <c r="D445" t="s">
        <v>153</v>
      </c>
      <c r="E445" t="s">
        <v>143</v>
      </c>
      <c r="F445">
        <v>65388889</v>
      </c>
      <c r="G445" t="s">
        <v>154</v>
      </c>
      <c r="H445" t="s">
        <v>155</v>
      </c>
      <c r="I445" t="s">
        <v>139</v>
      </c>
    </row>
    <row r="446" spans="1:9" x14ac:dyDescent="0.2">
      <c r="A446">
        <v>444</v>
      </c>
      <c r="B446" t="s">
        <v>1033</v>
      </c>
      <c r="C446" t="s">
        <v>1034</v>
      </c>
      <c r="D446" t="s">
        <v>220</v>
      </c>
      <c r="E446" t="s">
        <v>136</v>
      </c>
      <c r="F446">
        <v>18471275</v>
      </c>
      <c r="G446" t="s">
        <v>216</v>
      </c>
      <c r="H446" t="s">
        <v>216</v>
      </c>
      <c r="I446" t="s">
        <v>217</v>
      </c>
    </row>
    <row r="447" spans="1:9" x14ac:dyDescent="0.2">
      <c r="A447">
        <v>445</v>
      </c>
      <c r="B447" t="s">
        <v>1035</v>
      </c>
      <c r="C447" t="s">
        <v>1036</v>
      </c>
      <c r="D447" t="s">
        <v>1037</v>
      </c>
      <c r="E447" t="s">
        <v>136</v>
      </c>
      <c r="F447">
        <v>738763463</v>
      </c>
      <c r="G447" t="s">
        <v>1037</v>
      </c>
      <c r="H447" t="s">
        <v>174</v>
      </c>
      <c r="I447" t="s">
        <v>174</v>
      </c>
    </row>
    <row r="448" spans="1:9" x14ac:dyDescent="0.2">
      <c r="A448">
        <v>446</v>
      </c>
      <c r="B448" t="s">
        <v>1038</v>
      </c>
      <c r="C448" t="s">
        <v>1039</v>
      </c>
      <c r="D448" t="s">
        <v>690</v>
      </c>
      <c r="E448" t="s">
        <v>143</v>
      </c>
      <c r="F448">
        <v>1481330122</v>
      </c>
      <c r="G448" t="s">
        <v>679</v>
      </c>
      <c r="H448" t="s">
        <v>654</v>
      </c>
      <c r="I448" t="s">
        <v>654</v>
      </c>
    </row>
    <row r="449" spans="1:9" x14ac:dyDescent="0.2">
      <c r="A449">
        <v>447</v>
      </c>
      <c r="B449" t="s">
        <v>1040</v>
      </c>
      <c r="C449" t="s">
        <v>1041</v>
      </c>
      <c r="D449" t="s">
        <v>200</v>
      </c>
      <c r="E449" t="s">
        <v>136</v>
      </c>
      <c r="F449">
        <v>3000000</v>
      </c>
      <c r="G449" t="s">
        <v>201</v>
      </c>
      <c r="H449" t="s">
        <v>150</v>
      </c>
      <c r="I449" t="s">
        <v>145</v>
      </c>
    </row>
    <row r="450" spans="1:9" x14ac:dyDescent="0.2">
      <c r="A450">
        <v>448</v>
      </c>
      <c r="B450" t="s">
        <v>1042</v>
      </c>
      <c r="C450" t="s">
        <v>1043</v>
      </c>
      <c r="D450" t="s">
        <v>200</v>
      </c>
      <c r="E450" t="s">
        <v>136</v>
      </c>
      <c r="F450">
        <v>11700000</v>
      </c>
      <c r="G450" t="s">
        <v>201</v>
      </c>
      <c r="H450" t="s">
        <v>150</v>
      </c>
      <c r="I450" t="s">
        <v>145</v>
      </c>
    </row>
    <row r="451" spans="1:9" x14ac:dyDescent="0.2">
      <c r="A451">
        <v>449</v>
      </c>
      <c r="B451" t="s">
        <v>1044</v>
      </c>
      <c r="C451" t="s">
        <v>1045</v>
      </c>
      <c r="D451" t="s">
        <v>316</v>
      </c>
      <c r="E451" t="s">
        <v>143</v>
      </c>
      <c r="F451">
        <v>170301785</v>
      </c>
      <c r="G451" t="s">
        <v>229</v>
      </c>
      <c r="H451" t="s">
        <v>229</v>
      </c>
      <c r="I451" t="s">
        <v>217</v>
      </c>
    </row>
    <row r="452" spans="1:9" x14ac:dyDescent="0.2">
      <c r="A452">
        <v>450</v>
      </c>
      <c r="B452" t="s">
        <v>3285</v>
      </c>
      <c r="C452" t="s">
        <v>1046</v>
      </c>
      <c r="D452" t="s">
        <v>773</v>
      </c>
      <c r="E452" t="s">
        <v>136</v>
      </c>
      <c r="F452">
        <v>5624966</v>
      </c>
      <c r="G452" t="s">
        <v>290</v>
      </c>
      <c r="H452" t="s">
        <v>183</v>
      </c>
      <c r="I452" t="s">
        <v>184</v>
      </c>
    </row>
    <row r="453" spans="1:9" x14ac:dyDescent="0.2">
      <c r="A453">
        <v>451</v>
      </c>
      <c r="B453" t="s">
        <v>3286</v>
      </c>
      <c r="C453" t="s">
        <v>1047</v>
      </c>
      <c r="D453" t="s">
        <v>289</v>
      </c>
      <c r="E453" t="s">
        <v>136</v>
      </c>
      <c r="F453">
        <v>7079853</v>
      </c>
      <c r="G453" t="s">
        <v>290</v>
      </c>
      <c r="H453" t="s">
        <v>183</v>
      </c>
      <c r="I453" t="s">
        <v>184</v>
      </c>
    </row>
    <row r="454" spans="1:9" x14ac:dyDescent="0.2">
      <c r="A454">
        <v>452</v>
      </c>
      <c r="B454" t="s">
        <v>1048</v>
      </c>
      <c r="C454" t="s">
        <v>1049</v>
      </c>
      <c r="D454" t="s">
        <v>1050</v>
      </c>
      <c r="E454" t="s">
        <v>136</v>
      </c>
      <c r="F454">
        <v>3943710</v>
      </c>
      <c r="G454" t="s">
        <v>672</v>
      </c>
      <c r="H454" t="s">
        <v>672</v>
      </c>
      <c r="I454" t="s">
        <v>139</v>
      </c>
    </row>
    <row r="455" spans="1:9" x14ac:dyDescent="0.2">
      <c r="A455">
        <v>453</v>
      </c>
      <c r="B455" t="s">
        <v>1051</v>
      </c>
      <c r="C455" t="s">
        <v>1052</v>
      </c>
      <c r="D455" t="s">
        <v>163</v>
      </c>
      <c r="E455" t="s">
        <v>136</v>
      </c>
      <c r="F455">
        <v>50000000</v>
      </c>
      <c r="G455" t="s">
        <v>137</v>
      </c>
      <c r="H455" t="s">
        <v>138</v>
      </c>
      <c r="I455" t="s">
        <v>139</v>
      </c>
    </row>
    <row r="456" spans="1:9" x14ac:dyDescent="0.2">
      <c r="A456">
        <v>454</v>
      </c>
      <c r="B456" t="s">
        <v>1053</v>
      </c>
      <c r="C456" t="s">
        <v>1054</v>
      </c>
      <c r="D456" t="s">
        <v>158</v>
      </c>
      <c r="E456" t="s">
        <v>143</v>
      </c>
      <c r="F456">
        <v>346498009</v>
      </c>
      <c r="G456" t="s">
        <v>159</v>
      </c>
      <c r="H456" t="s">
        <v>159</v>
      </c>
      <c r="I456" t="s">
        <v>160</v>
      </c>
    </row>
    <row r="457" spans="1:9" x14ac:dyDescent="0.2">
      <c r="A457">
        <v>455</v>
      </c>
      <c r="B457" t="s">
        <v>1055</v>
      </c>
      <c r="C457" t="s">
        <v>1056</v>
      </c>
      <c r="D457" t="s">
        <v>973</v>
      </c>
      <c r="E457" t="s">
        <v>143</v>
      </c>
      <c r="F457">
        <v>19900800</v>
      </c>
      <c r="G457" t="s">
        <v>125</v>
      </c>
      <c r="H457" t="s">
        <v>125</v>
      </c>
      <c r="I457" t="s">
        <v>125</v>
      </c>
    </row>
    <row r="458" spans="1:9" x14ac:dyDescent="0.2">
      <c r="A458">
        <v>456</v>
      </c>
      <c r="B458" t="s">
        <v>1057</v>
      </c>
      <c r="C458" t="s">
        <v>1058</v>
      </c>
      <c r="D458" t="s">
        <v>973</v>
      </c>
      <c r="E458" t="s">
        <v>143</v>
      </c>
      <c r="F458">
        <v>20060000</v>
      </c>
      <c r="G458" t="s">
        <v>125</v>
      </c>
      <c r="H458" t="s">
        <v>125</v>
      </c>
      <c r="I458" t="s">
        <v>125</v>
      </c>
    </row>
    <row r="459" spans="1:9" x14ac:dyDescent="0.2">
      <c r="A459">
        <v>457</v>
      </c>
      <c r="B459" t="s">
        <v>1059</v>
      </c>
      <c r="C459" t="s">
        <v>1060</v>
      </c>
      <c r="D459" t="s">
        <v>973</v>
      </c>
      <c r="E459" t="s">
        <v>143</v>
      </c>
      <c r="F459">
        <v>17280000</v>
      </c>
      <c r="G459" t="s">
        <v>125</v>
      </c>
      <c r="H459" t="s">
        <v>125</v>
      </c>
      <c r="I459" t="s">
        <v>125</v>
      </c>
    </row>
    <row r="460" spans="1:9" x14ac:dyDescent="0.2">
      <c r="A460">
        <v>458</v>
      </c>
      <c r="B460" t="s">
        <v>1061</v>
      </c>
      <c r="C460" t="s">
        <v>1062</v>
      </c>
      <c r="D460" t="s">
        <v>973</v>
      </c>
      <c r="E460" t="s">
        <v>143</v>
      </c>
      <c r="F460">
        <v>5000000</v>
      </c>
      <c r="G460" t="s">
        <v>125</v>
      </c>
      <c r="H460" t="s">
        <v>125</v>
      </c>
      <c r="I460" t="s">
        <v>125</v>
      </c>
    </row>
    <row r="461" spans="1:9" x14ac:dyDescent="0.2">
      <c r="A461">
        <v>459</v>
      </c>
      <c r="B461" t="s">
        <v>3059</v>
      </c>
      <c r="C461" t="s">
        <v>3060</v>
      </c>
      <c r="D461" t="s">
        <v>973</v>
      </c>
      <c r="E461" t="s">
        <v>143</v>
      </c>
      <c r="F461">
        <v>6200000</v>
      </c>
      <c r="G461" t="s">
        <v>125</v>
      </c>
      <c r="H461" t="s">
        <v>125</v>
      </c>
      <c r="I461" t="s">
        <v>125</v>
      </c>
    </row>
    <row r="462" spans="1:9" x14ac:dyDescent="0.2">
      <c r="A462">
        <v>460</v>
      </c>
      <c r="B462" t="s">
        <v>1063</v>
      </c>
      <c r="C462" t="s">
        <v>1064</v>
      </c>
      <c r="D462" t="s">
        <v>973</v>
      </c>
      <c r="E462" t="s">
        <v>143</v>
      </c>
      <c r="F462">
        <v>3800000</v>
      </c>
      <c r="G462" t="s">
        <v>125</v>
      </c>
      <c r="H462" t="s">
        <v>125</v>
      </c>
      <c r="I462" t="s">
        <v>125</v>
      </c>
    </row>
    <row r="463" spans="1:9" x14ac:dyDescent="0.2">
      <c r="A463">
        <v>461</v>
      </c>
      <c r="B463" t="s">
        <v>1065</v>
      </c>
      <c r="C463" t="s">
        <v>1066</v>
      </c>
      <c r="D463" t="s">
        <v>973</v>
      </c>
      <c r="E463" t="s">
        <v>143</v>
      </c>
      <c r="F463">
        <v>28400000</v>
      </c>
      <c r="G463" t="s">
        <v>125</v>
      </c>
      <c r="H463" t="s">
        <v>125</v>
      </c>
      <c r="I463" t="s">
        <v>125</v>
      </c>
    </row>
    <row r="464" spans="1:9" x14ac:dyDescent="0.2">
      <c r="A464">
        <v>462</v>
      </c>
      <c r="B464" t="s">
        <v>1067</v>
      </c>
      <c r="C464" t="s">
        <v>1068</v>
      </c>
      <c r="D464" t="s">
        <v>973</v>
      </c>
      <c r="E464" t="s">
        <v>143</v>
      </c>
      <c r="F464">
        <v>5400000</v>
      </c>
      <c r="G464" t="s">
        <v>125</v>
      </c>
      <c r="H464" t="s">
        <v>125</v>
      </c>
      <c r="I464" t="s">
        <v>125</v>
      </c>
    </row>
    <row r="465" spans="1:9" x14ac:dyDescent="0.2">
      <c r="A465">
        <v>463</v>
      </c>
      <c r="B465" t="s">
        <v>1069</v>
      </c>
      <c r="C465" t="s">
        <v>1070</v>
      </c>
      <c r="D465" t="s">
        <v>973</v>
      </c>
      <c r="E465" t="s">
        <v>143</v>
      </c>
      <c r="F465">
        <v>5100000</v>
      </c>
      <c r="G465" t="s">
        <v>125</v>
      </c>
      <c r="H465" t="s">
        <v>125</v>
      </c>
      <c r="I465" t="s">
        <v>125</v>
      </c>
    </row>
    <row r="466" spans="1:9" x14ac:dyDescent="0.2">
      <c r="A466">
        <v>464</v>
      </c>
      <c r="B466" t="s">
        <v>1071</v>
      </c>
      <c r="C466" t="s">
        <v>1072</v>
      </c>
      <c r="D466" t="s">
        <v>973</v>
      </c>
      <c r="E466" t="s">
        <v>143</v>
      </c>
      <c r="F466">
        <v>192700000</v>
      </c>
      <c r="G466" t="s">
        <v>125</v>
      </c>
      <c r="H466" t="s">
        <v>125</v>
      </c>
      <c r="I466" t="s">
        <v>125</v>
      </c>
    </row>
    <row r="467" spans="1:9" x14ac:dyDescent="0.2">
      <c r="A467">
        <v>465</v>
      </c>
      <c r="B467" t="s">
        <v>1073</v>
      </c>
      <c r="C467" t="s">
        <v>1074</v>
      </c>
      <c r="D467" t="s">
        <v>973</v>
      </c>
      <c r="E467" t="s">
        <v>143</v>
      </c>
      <c r="F467">
        <v>19400000</v>
      </c>
      <c r="G467" t="s">
        <v>125</v>
      </c>
      <c r="H467" t="s">
        <v>125</v>
      </c>
      <c r="I467" t="s">
        <v>125</v>
      </c>
    </row>
    <row r="468" spans="1:9" x14ac:dyDescent="0.2">
      <c r="A468">
        <v>466</v>
      </c>
      <c r="B468" t="s">
        <v>1075</v>
      </c>
      <c r="C468" t="s">
        <v>1076</v>
      </c>
      <c r="D468" t="s">
        <v>973</v>
      </c>
      <c r="E468" t="s">
        <v>143</v>
      </c>
      <c r="F468">
        <v>5400000</v>
      </c>
      <c r="G468" t="s">
        <v>125</v>
      </c>
      <c r="H468" t="s">
        <v>125</v>
      </c>
      <c r="I468" t="s">
        <v>125</v>
      </c>
    </row>
    <row r="469" spans="1:9" x14ac:dyDescent="0.2">
      <c r="A469">
        <v>467</v>
      </c>
      <c r="B469" t="s">
        <v>1077</v>
      </c>
      <c r="C469" t="s">
        <v>1078</v>
      </c>
      <c r="D469" t="s">
        <v>973</v>
      </c>
      <c r="E469" t="s">
        <v>143</v>
      </c>
      <c r="F469">
        <v>48000000</v>
      </c>
      <c r="G469" t="s">
        <v>125</v>
      </c>
      <c r="H469" t="s">
        <v>125</v>
      </c>
      <c r="I469" t="s">
        <v>125</v>
      </c>
    </row>
    <row r="470" spans="1:9" x14ac:dyDescent="0.2">
      <c r="A470">
        <v>468</v>
      </c>
      <c r="B470" t="s">
        <v>1079</v>
      </c>
      <c r="C470" t="s">
        <v>1080</v>
      </c>
      <c r="D470" t="s">
        <v>973</v>
      </c>
      <c r="E470" t="s">
        <v>143</v>
      </c>
      <c r="F470">
        <v>22800000</v>
      </c>
      <c r="G470" t="s">
        <v>125</v>
      </c>
      <c r="H470" t="s">
        <v>125</v>
      </c>
      <c r="I470" t="s">
        <v>125</v>
      </c>
    </row>
    <row r="471" spans="1:9" x14ac:dyDescent="0.2">
      <c r="A471">
        <v>469</v>
      </c>
      <c r="B471" t="s">
        <v>1081</v>
      </c>
      <c r="C471" t="s">
        <v>1082</v>
      </c>
      <c r="D471" t="s">
        <v>973</v>
      </c>
      <c r="E471" t="s">
        <v>143</v>
      </c>
      <c r="F471">
        <v>8500000</v>
      </c>
      <c r="G471" t="s">
        <v>125</v>
      </c>
      <c r="H471" t="s">
        <v>125</v>
      </c>
      <c r="I471" t="s">
        <v>125</v>
      </c>
    </row>
    <row r="472" spans="1:9" x14ac:dyDescent="0.2">
      <c r="A472">
        <v>470</v>
      </c>
      <c r="B472" t="s">
        <v>1083</v>
      </c>
      <c r="C472" t="s">
        <v>1084</v>
      </c>
      <c r="D472" t="s">
        <v>973</v>
      </c>
      <c r="E472" t="s">
        <v>143</v>
      </c>
      <c r="F472">
        <v>5100000</v>
      </c>
      <c r="G472" t="s">
        <v>125</v>
      </c>
      <c r="H472" t="s">
        <v>125</v>
      </c>
      <c r="I472" t="s">
        <v>125</v>
      </c>
    </row>
    <row r="473" spans="1:9" x14ac:dyDescent="0.2">
      <c r="A473">
        <v>471</v>
      </c>
      <c r="B473" t="s">
        <v>1085</v>
      </c>
      <c r="C473" t="s">
        <v>1086</v>
      </c>
      <c r="D473" t="s">
        <v>973</v>
      </c>
      <c r="E473" t="s">
        <v>143</v>
      </c>
      <c r="F473">
        <v>16000000</v>
      </c>
      <c r="G473" t="s">
        <v>125</v>
      </c>
      <c r="H473" t="s">
        <v>125</v>
      </c>
      <c r="I473" t="s">
        <v>125</v>
      </c>
    </row>
    <row r="474" spans="1:9" x14ac:dyDescent="0.2">
      <c r="A474">
        <v>472</v>
      </c>
      <c r="B474" t="s">
        <v>3287</v>
      </c>
      <c r="C474" t="s">
        <v>3288</v>
      </c>
      <c r="D474" t="s">
        <v>973</v>
      </c>
      <c r="E474" t="s">
        <v>143</v>
      </c>
      <c r="F474">
        <v>7000000</v>
      </c>
      <c r="G474" t="s">
        <v>125</v>
      </c>
      <c r="H474" t="s">
        <v>125</v>
      </c>
      <c r="I474" t="s">
        <v>125</v>
      </c>
    </row>
    <row r="475" spans="1:9" x14ac:dyDescent="0.2">
      <c r="A475">
        <v>473</v>
      </c>
      <c r="B475" t="s">
        <v>1087</v>
      </c>
      <c r="C475" t="s">
        <v>1088</v>
      </c>
      <c r="D475" t="s">
        <v>973</v>
      </c>
      <c r="E475" t="s">
        <v>143</v>
      </c>
      <c r="F475">
        <v>354400000</v>
      </c>
      <c r="G475" t="s">
        <v>125</v>
      </c>
      <c r="H475" t="s">
        <v>125</v>
      </c>
      <c r="I475" t="s">
        <v>125</v>
      </c>
    </row>
    <row r="476" spans="1:9" x14ac:dyDescent="0.2">
      <c r="A476">
        <v>474</v>
      </c>
      <c r="B476" t="s">
        <v>1089</v>
      </c>
      <c r="C476" t="s">
        <v>1090</v>
      </c>
      <c r="D476" t="s">
        <v>973</v>
      </c>
      <c r="E476" t="s">
        <v>143</v>
      </c>
      <c r="F476">
        <v>24000000</v>
      </c>
      <c r="G476" t="s">
        <v>125</v>
      </c>
      <c r="H476" t="s">
        <v>125</v>
      </c>
      <c r="I476" t="s">
        <v>125</v>
      </c>
    </row>
    <row r="477" spans="1:9" x14ac:dyDescent="0.2">
      <c r="A477">
        <v>475</v>
      </c>
      <c r="B477" t="s">
        <v>1091</v>
      </c>
      <c r="C477" t="s">
        <v>1092</v>
      </c>
      <c r="D477" t="s">
        <v>163</v>
      </c>
      <c r="E477" t="s">
        <v>136</v>
      </c>
      <c r="F477">
        <v>14400000</v>
      </c>
      <c r="G477" t="s">
        <v>137</v>
      </c>
      <c r="H477" t="s">
        <v>138</v>
      </c>
      <c r="I477" t="s">
        <v>139</v>
      </c>
    </row>
    <row r="478" spans="1:9" x14ac:dyDescent="0.2">
      <c r="A478">
        <v>476</v>
      </c>
      <c r="B478" t="s">
        <v>3145</v>
      </c>
      <c r="C478" t="s">
        <v>1093</v>
      </c>
      <c r="D478" t="s">
        <v>208</v>
      </c>
      <c r="E478" t="s">
        <v>136</v>
      </c>
      <c r="F478">
        <v>103745067</v>
      </c>
      <c r="G478" t="s">
        <v>195</v>
      </c>
      <c r="H478" t="s">
        <v>195</v>
      </c>
      <c r="I478" t="s">
        <v>184</v>
      </c>
    </row>
    <row r="479" spans="1:9" x14ac:dyDescent="0.2">
      <c r="A479">
        <v>477</v>
      </c>
      <c r="B479" t="s">
        <v>3289</v>
      </c>
      <c r="C479" t="s">
        <v>1094</v>
      </c>
      <c r="D479" t="s">
        <v>194</v>
      </c>
      <c r="E479" t="s">
        <v>136</v>
      </c>
      <c r="F479">
        <v>14903987</v>
      </c>
      <c r="G479" t="s">
        <v>195</v>
      </c>
      <c r="H479" t="s">
        <v>195</v>
      </c>
      <c r="I479" t="s">
        <v>184</v>
      </c>
    </row>
    <row r="480" spans="1:9" x14ac:dyDescent="0.2">
      <c r="A480">
        <v>478</v>
      </c>
      <c r="B480" t="s">
        <v>1095</v>
      </c>
      <c r="C480" t="s">
        <v>1096</v>
      </c>
      <c r="D480" t="s">
        <v>310</v>
      </c>
      <c r="E480" t="s">
        <v>143</v>
      </c>
      <c r="F480">
        <v>2342672919</v>
      </c>
      <c r="G480" t="s">
        <v>311</v>
      </c>
      <c r="H480" t="s">
        <v>312</v>
      </c>
      <c r="I480" t="s">
        <v>313</v>
      </c>
    </row>
    <row r="481" spans="1:9" x14ac:dyDescent="0.2">
      <c r="A481">
        <v>479</v>
      </c>
      <c r="B481" t="s">
        <v>1097</v>
      </c>
      <c r="C481" t="s">
        <v>1098</v>
      </c>
      <c r="D481" t="s">
        <v>310</v>
      </c>
      <c r="E481" t="s">
        <v>136</v>
      </c>
      <c r="F481">
        <v>4039147</v>
      </c>
      <c r="G481" t="s">
        <v>311</v>
      </c>
      <c r="H481" t="s">
        <v>312</v>
      </c>
      <c r="I481" t="s">
        <v>313</v>
      </c>
    </row>
    <row r="482" spans="1:9" x14ac:dyDescent="0.2">
      <c r="A482">
        <v>480</v>
      </c>
      <c r="B482" t="s">
        <v>1099</v>
      </c>
      <c r="C482" t="s">
        <v>1100</v>
      </c>
      <c r="D482" t="s">
        <v>237</v>
      </c>
      <c r="E482" t="s">
        <v>136</v>
      </c>
      <c r="F482">
        <v>32179999</v>
      </c>
      <c r="G482" t="s">
        <v>154</v>
      </c>
      <c r="H482" t="s">
        <v>155</v>
      </c>
      <c r="I482" t="s">
        <v>139</v>
      </c>
    </row>
    <row r="483" spans="1:9" x14ac:dyDescent="0.2">
      <c r="A483">
        <v>481</v>
      </c>
      <c r="B483" t="s">
        <v>1101</v>
      </c>
      <c r="C483" t="s">
        <v>1102</v>
      </c>
      <c r="D483" t="s">
        <v>355</v>
      </c>
      <c r="E483" t="s">
        <v>136</v>
      </c>
      <c r="F483">
        <v>114691510</v>
      </c>
      <c r="G483" t="s">
        <v>356</v>
      </c>
      <c r="H483" t="s">
        <v>150</v>
      </c>
      <c r="I483" t="s">
        <v>145</v>
      </c>
    </row>
    <row r="484" spans="1:9" x14ac:dyDescent="0.2">
      <c r="A484">
        <v>482</v>
      </c>
      <c r="B484" t="s">
        <v>1103</v>
      </c>
      <c r="C484" t="s">
        <v>1104</v>
      </c>
      <c r="D484" t="s">
        <v>799</v>
      </c>
      <c r="E484" t="s">
        <v>143</v>
      </c>
      <c r="F484">
        <v>24957501</v>
      </c>
      <c r="G484" t="s">
        <v>800</v>
      </c>
      <c r="H484" t="s">
        <v>138</v>
      </c>
      <c r="I484" t="s">
        <v>139</v>
      </c>
    </row>
    <row r="485" spans="1:9" x14ac:dyDescent="0.2">
      <c r="A485">
        <v>483</v>
      </c>
      <c r="B485" t="s">
        <v>1105</v>
      </c>
      <c r="C485" t="s">
        <v>1106</v>
      </c>
      <c r="D485" t="s">
        <v>383</v>
      </c>
      <c r="E485" t="s">
        <v>167</v>
      </c>
      <c r="F485">
        <v>9500000</v>
      </c>
      <c r="G485" t="s">
        <v>311</v>
      </c>
      <c r="H485" t="s">
        <v>312</v>
      </c>
      <c r="I485" t="s">
        <v>313</v>
      </c>
    </row>
    <row r="486" spans="1:9" x14ac:dyDescent="0.2">
      <c r="A486">
        <v>484</v>
      </c>
      <c r="B486" t="s">
        <v>3007</v>
      </c>
      <c r="C486" t="s">
        <v>3061</v>
      </c>
      <c r="D486" t="s">
        <v>259</v>
      </c>
      <c r="E486" t="s">
        <v>143</v>
      </c>
      <c r="F486">
        <v>365999956</v>
      </c>
      <c r="G486" t="s">
        <v>260</v>
      </c>
      <c r="H486" t="s">
        <v>183</v>
      </c>
      <c r="I486" t="s">
        <v>184</v>
      </c>
    </row>
    <row r="487" spans="1:9" x14ac:dyDescent="0.2">
      <c r="A487">
        <v>485</v>
      </c>
      <c r="B487" t="s">
        <v>1107</v>
      </c>
      <c r="C487" t="s">
        <v>1108</v>
      </c>
      <c r="D487" t="s">
        <v>330</v>
      </c>
      <c r="E487" t="s">
        <v>143</v>
      </c>
      <c r="F487">
        <v>358308371</v>
      </c>
      <c r="G487" t="s">
        <v>330</v>
      </c>
      <c r="H487" t="s">
        <v>312</v>
      </c>
      <c r="I487" t="s">
        <v>313</v>
      </c>
    </row>
    <row r="488" spans="1:9" x14ac:dyDescent="0.2">
      <c r="A488">
        <v>486</v>
      </c>
      <c r="B488" t="s">
        <v>1109</v>
      </c>
      <c r="C488" t="s">
        <v>1110</v>
      </c>
      <c r="D488" t="s">
        <v>142</v>
      </c>
      <c r="E488" t="s">
        <v>136</v>
      </c>
      <c r="F488">
        <v>2200000</v>
      </c>
      <c r="G488" t="s">
        <v>144</v>
      </c>
      <c r="H488" t="s">
        <v>144</v>
      </c>
      <c r="I488" t="s">
        <v>145</v>
      </c>
    </row>
    <row r="489" spans="1:9" x14ac:dyDescent="0.2">
      <c r="A489">
        <v>487</v>
      </c>
      <c r="B489" t="s">
        <v>1111</v>
      </c>
      <c r="C489" t="s">
        <v>1112</v>
      </c>
      <c r="D489" t="s">
        <v>259</v>
      </c>
      <c r="E489" t="s">
        <v>143</v>
      </c>
      <c r="F489">
        <v>902398948</v>
      </c>
      <c r="G489" t="s">
        <v>260</v>
      </c>
      <c r="H489" t="s">
        <v>183</v>
      </c>
      <c r="I489" t="s">
        <v>184</v>
      </c>
    </row>
    <row r="490" spans="1:9" x14ac:dyDescent="0.2">
      <c r="A490">
        <v>488</v>
      </c>
      <c r="B490" t="s">
        <v>1113</v>
      </c>
      <c r="C490" t="s">
        <v>1114</v>
      </c>
      <c r="D490" t="s">
        <v>671</v>
      </c>
      <c r="E490" t="s">
        <v>136</v>
      </c>
      <c r="F490">
        <v>29388589</v>
      </c>
      <c r="G490" t="s">
        <v>672</v>
      </c>
      <c r="H490" t="s">
        <v>672</v>
      </c>
      <c r="I490" t="s">
        <v>139</v>
      </c>
    </row>
    <row r="491" spans="1:9" x14ac:dyDescent="0.2">
      <c r="A491">
        <v>489</v>
      </c>
      <c r="B491" t="s">
        <v>3290</v>
      </c>
      <c r="C491" t="s">
        <v>1115</v>
      </c>
      <c r="D491" t="s">
        <v>208</v>
      </c>
      <c r="E491" t="s">
        <v>136</v>
      </c>
      <c r="F491">
        <v>11500000</v>
      </c>
      <c r="G491" t="s">
        <v>195</v>
      </c>
      <c r="H491" t="s">
        <v>195</v>
      </c>
      <c r="I491" t="s">
        <v>184</v>
      </c>
    </row>
    <row r="492" spans="1:9" x14ac:dyDescent="0.2">
      <c r="A492">
        <v>490</v>
      </c>
      <c r="B492" t="s">
        <v>1116</v>
      </c>
      <c r="C492" t="s">
        <v>1117</v>
      </c>
      <c r="D492" t="s">
        <v>330</v>
      </c>
      <c r="E492" t="s">
        <v>136</v>
      </c>
      <c r="F492">
        <v>47662500</v>
      </c>
      <c r="G492" t="s">
        <v>330</v>
      </c>
      <c r="H492" t="s">
        <v>312</v>
      </c>
      <c r="I492" t="s">
        <v>313</v>
      </c>
    </row>
    <row r="493" spans="1:9" x14ac:dyDescent="0.2">
      <c r="A493">
        <v>491</v>
      </c>
      <c r="B493" t="s">
        <v>3291</v>
      </c>
      <c r="C493" t="s">
        <v>1118</v>
      </c>
      <c r="D493" t="s">
        <v>211</v>
      </c>
      <c r="E493" t="s">
        <v>167</v>
      </c>
      <c r="F493">
        <v>12120000</v>
      </c>
      <c r="G493" t="s">
        <v>212</v>
      </c>
      <c r="H493" t="s">
        <v>183</v>
      </c>
      <c r="I493" t="s">
        <v>184</v>
      </c>
    </row>
    <row r="494" spans="1:9" x14ac:dyDescent="0.2">
      <c r="A494">
        <v>492</v>
      </c>
      <c r="B494" t="s">
        <v>1119</v>
      </c>
      <c r="C494" t="s">
        <v>1120</v>
      </c>
      <c r="D494" t="s">
        <v>163</v>
      </c>
      <c r="E494" t="s">
        <v>143</v>
      </c>
      <c r="F494">
        <v>101600066</v>
      </c>
      <c r="G494" t="s">
        <v>137</v>
      </c>
      <c r="H494" t="s">
        <v>138</v>
      </c>
      <c r="I494" t="s">
        <v>139</v>
      </c>
    </row>
    <row r="495" spans="1:9" x14ac:dyDescent="0.2">
      <c r="A495">
        <v>493</v>
      </c>
      <c r="B495" t="s">
        <v>3292</v>
      </c>
      <c r="C495" t="s">
        <v>1121</v>
      </c>
      <c r="D495" t="s">
        <v>194</v>
      </c>
      <c r="E495" t="s">
        <v>167</v>
      </c>
      <c r="F495">
        <v>31434237</v>
      </c>
      <c r="G495" t="s">
        <v>195</v>
      </c>
      <c r="H495" t="s">
        <v>195</v>
      </c>
      <c r="I495" t="s">
        <v>184</v>
      </c>
    </row>
    <row r="496" spans="1:9" x14ac:dyDescent="0.2">
      <c r="A496">
        <v>494</v>
      </c>
      <c r="B496" t="s">
        <v>1122</v>
      </c>
      <c r="C496" t="s">
        <v>1123</v>
      </c>
      <c r="D496" t="s">
        <v>1124</v>
      </c>
      <c r="E496" t="s">
        <v>136</v>
      </c>
      <c r="F496">
        <v>10500000</v>
      </c>
      <c r="G496" t="s">
        <v>149</v>
      </c>
      <c r="H496" t="s">
        <v>150</v>
      </c>
      <c r="I496" t="s">
        <v>145</v>
      </c>
    </row>
    <row r="497" spans="1:9" x14ac:dyDescent="0.2">
      <c r="A497">
        <v>495</v>
      </c>
      <c r="B497" t="s">
        <v>1125</v>
      </c>
      <c r="C497" t="s">
        <v>1126</v>
      </c>
      <c r="D497" t="s">
        <v>388</v>
      </c>
      <c r="E497" t="s">
        <v>167</v>
      </c>
      <c r="F497">
        <v>10456092</v>
      </c>
      <c r="G497" t="s">
        <v>389</v>
      </c>
      <c r="H497" t="s">
        <v>138</v>
      </c>
      <c r="I497" t="s">
        <v>139</v>
      </c>
    </row>
    <row r="498" spans="1:9" x14ac:dyDescent="0.2">
      <c r="A498">
        <v>496</v>
      </c>
      <c r="B498" t="s">
        <v>1127</v>
      </c>
      <c r="C498" t="s">
        <v>1128</v>
      </c>
      <c r="D498" t="s">
        <v>383</v>
      </c>
      <c r="E498" t="s">
        <v>136</v>
      </c>
      <c r="F498">
        <v>18000000</v>
      </c>
      <c r="G498" t="s">
        <v>311</v>
      </c>
      <c r="H498" t="s">
        <v>312</v>
      </c>
      <c r="I498" t="s">
        <v>313</v>
      </c>
    </row>
    <row r="499" spans="1:9" x14ac:dyDescent="0.2">
      <c r="A499">
        <v>497</v>
      </c>
      <c r="B499" t="s">
        <v>1129</v>
      </c>
      <c r="C499" t="s">
        <v>1130</v>
      </c>
      <c r="D499" t="s">
        <v>671</v>
      </c>
      <c r="E499" t="s">
        <v>167</v>
      </c>
      <c r="F499">
        <v>19999999</v>
      </c>
      <c r="G499" t="s">
        <v>672</v>
      </c>
      <c r="H499" t="s">
        <v>672</v>
      </c>
      <c r="I499" t="s">
        <v>139</v>
      </c>
    </row>
    <row r="500" spans="1:9" x14ac:dyDescent="0.2">
      <c r="A500">
        <v>498</v>
      </c>
      <c r="B500" t="s">
        <v>1131</v>
      </c>
      <c r="C500" t="s">
        <v>1132</v>
      </c>
      <c r="D500" t="s">
        <v>163</v>
      </c>
      <c r="E500" t="s">
        <v>136</v>
      </c>
      <c r="F500">
        <v>33000259</v>
      </c>
      <c r="G500" t="s">
        <v>137</v>
      </c>
      <c r="H500" t="s">
        <v>138</v>
      </c>
      <c r="I500" t="s">
        <v>139</v>
      </c>
    </row>
    <row r="501" spans="1:9" x14ac:dyDescent="0.2">
      <c r="A501">
        <v>499</v>
      </c>
      <c r="B501" t="s">
        <v>1133</v>
      </c>
      <c r="C501" t="s">
        <v>1134</v>
      </c>
      <c r="D501" t="s">
        <v>211</v>
      </c>
      <c r="E501" t="s">
        <v>143</v>
      </c>
      <c r="F501">
        <v>420192309</v>
      </c>
      <c r="G501" t="s">
        <v>212</v>
      </c>
      <c r="H501" t="s">
        <v>183</v>
      </c>
      <c r="I501" t="s">
        <v>184</v>
      </c>
    </row>
    <row r="502" spans="1:9" x14ac:dyDescent="0.2">
      <c r="A502">
        <v>500</v>
      </c>
      <c r="B502" t="s">
        <v>3293</v>
      </c>
      <c r="C502" t="s">
        <v>1135</v>
      </c>
      <c r="D502" t="s">
        <v>194</v>
      </c>
      <c r="E502" t="s">
        <v>143</v>
      </c>
      <c r="F502">
        <v>16500000</v>
      </c>
      <c r="G502" t="s">
        <v>195</v>
      </c>
      <c r="H502" t="s">
        <v>195</v>
      </c>
      <c r="I502" t="s">
        <v>184</v>
      </c>
    </row>
    <row r="503" spans="1:9" x14ac:dyDescent="0.2">
      <c r="A503">
        <v>501</v>
      </c>
      <c r="B503" t="s">
        <v>3294</v>
      </c>
      <c r="C503" t="s">
        <v>1136</v>
      </c>
      <c r="D503" t="s">
        <v>194</v>
      </c>
      <c r="E503" t="s">
        <v>167</v>
      </c>
      <c r="F503">
        <v>9040697</v>
      </c>
      <c r="G503" t="s">
        <v>195</v>
      </c>
      <c r="H503" t="s">
        <v>195</v>
      </c>
      <c r="I503" t="s">
        <v>184</v>
      </c>
    </row>
    <row r="504" spans="1:9" x14ac:dyDescent="0.2">
      <c r="A504">
        <v>502</v>
      </c>
      <c r="B504" t="s">
        <v>3295</v>
      </c>
      <c r="C504" t="s">
        <v>1137</v>
      </c>
      <c r="D504" t="s">
        <v>194</v>
      </c>
      <c r="E504" t="s">
        <v>136</v>
      </c>
      <c r="F504">
        <v>9000000</v>
      </c>
      <c r="G504" t="s">
        <v>195</v>
      </c>
      <c r="H504" t="s">
        <v>195</v>
      </c>
      <c r="I504" t="s">
        <v>184</v>
      </c>
    </row>
    <row r="505" spans="1:9" x14ac:dyDescent="0.2">
      <c r="A505">
        <v>503</v>
      </c>
      <c r="B505" t="s">
        <v>1138</v>
      </c>
      <c r="C505" t="s">
        <v>1139</v>
      </c>
      <c r="D505" t="s">
        <v>240</v>
      </c>
      <c r="E505" t="s">
        <v>136</v>
      </c>
      <c r="F505">
        <v>54072143</v>
      </c>
      <c r="G505" t="s">
        <v>240</v>
      </c>
      <c r="H505" t="s">
        <v>241</v>
      </c>
      <c r="I505" t="s">
        <v>242</v>
      </c>
    </row>
    <row r="506" spans="1:9" x14ac:dyDescent="0.2">
      <c r="A506">
        <v>504</v>
      </c>
      <c r="B506" t="s">
        <v>1140</v>
      </c>
      <c r="C506" t="s">
        <v>1141</v>
      </c>
      <c r="D506" t="s">
        <v>330</v>
      </c>
      <c r="E506" t="s">
        <v>136</v>
      </c>
      <c r="F506">
        <v>28562000</v>
      </c>
      <c r="G506" t="s">
        <v>330</v>
      </c>
      <c r="H506" t="s">
        <v>312</v>
      </c>
      <c r="I506" t="s">
        <v>313</v>
      </c>
    </row>
    <row r="507" spans="1:9" x14ac:dyDescent="0.2">
      <c r="A507">
        <v>505</v>
      </c>
      <c r="B507" t="s">
        <v>3296</v>
      </c>
      <c r="C507" t="s">
        <v>1142</v>
      </c>
      <c r="D507" t="s">
        <v>806</v>
      </c>
      <c r="E507" t="s">
        <v>143</v>
      </c>
      <c r="F507">
        <v>61379265</v>
      </c>
      <c r="G507" t="s">
        <v>212</v>
      </c>
      <c r="H507" t="s">
        <v>183</v>
      </c>
      <c r="I507" t="s">
        <v>184</v>
      </c>
    </row>
    <row r="508" spans="1:9" x14ac:dyDescent="0.2">
      <c r="A508">
        <v>506</v>
      </c>
      <c r="B508" t="s">
        <v>1143</v>
      </c>
      <c r="C508" t="s">
        <v>1144</v>
      </c>
      <c r="D508" t="s">
        <v>200</v>
      </c>
      <c r="E508" t="s">
        <v>143</v>
      </c>
      <c r="F508">
        <v>10400000</v>
      </c>
      <c r="G508" t="s">
        <v>201</v>
      </c>
      <c r="H508" t="s">
        <v>150</v>
      </c>
      <c r="I508" t="s">
        <v>145</v>
      </c>
    </row>
    <row r="509" spans="1:9" x14ac:dyDescent="0.2">
      <c r="A509">
        <v>507</v>
      </c>
      <c r="B509" t="s">
        <v>1145</v>
      </c>
      <c r="C509" t="s">
        <v>1146</v>
      </c>
      <c r="D509" t="s">
        <v>135</v>
      </c>
      <c r="E509" t="s">
        <v>136</v>
      </c>
      <c r="F509">
        <v>9300000</v>
      </c>
      <c r="G509" t="s">
        <v>137</v>
      </c>
      <c r="H509" t="s">
        <v>138</v>
      </c>
      <c r="I509" t="s">
        <v>139</v>
      </c>
    </row>
    <row r="510" spans="1:9" x14ac:dyDescent="0.2">
      <c r="A510">
        <v>508</v>
      </c>
      <c r="B510" t="s">
        <v>3297</v>
      </c>
      <c r="C510" t="s">
        <v>1147</v>
      </c>
      <c r="D510" t="s">
        <v>208</v>
      </c>
      <c r="E510" t="s">
        <v>136</v>
      </c>
      <c r="F510">
        <v>28499764</v>
      </c>
      <c r="G510" t="s">
        <v>195</v>
      </c>
      <c r="H510" t="s">
        <v>195</v>
      </c>
      <c r="I510" t="s">
        <v>184</v>
      </c>
    </row>
    <row r="511" spans="1:9" x14ac:dyDescent="0.2">
      <c r="A511">
        <v>509</v>
      </c>
      <c r="B511" t="s">
        <v>1148</v>
      </c>
      <c r="C511" t="s">
        <v>1149</v>
      </c>
      <c r="D511" t="s">
        <v>876</v>
      </c>
      <c r="E511" t="s">
        <v>136</v>
      </c>
      <c r="F511">
        <v>43503000</v>
      </c>
      <c r="G511" t="s">
        <v>326</v>
      </c>
      <c r="H511" t="s">
        <v>327</v>
      </c>
      <c r="I511" t="s">
        <v>217</v>
      </c>
    </row>
    <row r="512" spans="1:9" x14ac:dyDescent="0.2">
      <c r="A512">
        <v>510</v>
      </c>
      <c r="B512" t="s">
        <v>1150</v>
      </c>
      <c r="C512" t="s">
        <v>1151</v>
      </c>
      <c r="D512" t="s">
        <v>142</v>
      </c>
      <c r="E512" t="s">
        <v>143</v>
      </c>
      <c r="F512">
        <v>4000000000</v>
      </c>
      <c r="G512" t="s">
        <v>144</v>
      </c>
      <c r="H512" t="s">
        <v>144</v>
      </c>
      <c r="I512" t="s">
        <v>145</v>
      </c>
    </row>
    <row r="513" spans="1:9" x14ac:dyDescent="0.2">
      <c r="A513">
        <v>511</v>
      </c>
      <c r="B513" t="s">
        <v>1152</v>
      </c>
      <c r="C513" t="s">
        <v>1153</v>
      </c>
      <c r="D513" t="s">
        <v>564</v>
      </c>
      <c r="E513" t="s">
        <v>136</v>
      </c>
      <c r="F513">
        <v>11605100</v>
      </c>
      <c r="G513" t="s">
        <v>201</v>
      </c>
      <c r="H513" t="s">
        <v>150</v>
      </c>
      <c r="I513" t="s">
        <v>145</v>
      </c>
    </row>
    <row r="514" spans="1:9" x14ac:dyDescent="0.2">
      <c r="A514">
        <v>512</v>
      </c>
      <c r="B514" t="s">
        <v>3298</v>
      </c>
      <c r="C514" t="s">
        <v>1154</v>
      </c>
      <c r="D514" t="s">
        <v>208</v>
      </c>
      <c r="E514" t="s">
        <v>136</v>
      </c>
      <c r="F514">
        <v>1060000</v>
      </c>
      <c r="G514" t="s">
        <v>195</v>
      </c>
      <c r="H514" t="s">
        <v>195</v>
      </c>
      <c r="I514" t="s">
        <v>184</v>
      </c>
    </row>
    <row r="515" spans="1:9" x14ac:dyDescent="0.2">
      <c r="A515">
        <v>513</v>
      </c>
      <c r="B515" t="s">
        <v>1155</v>
      </c>
      <c r="C515" t="s">
        <v>1156</v>
      </c>
      <c r="D515" t="s">
        <v>158</v>
      </c>
      <c r="E515" t="s">
        <v>136</v>
      </c>
      <c r="F515">
        <v>29181096</v>
      </c>
      <c r="G515" t="s">
        <v>159</v>
      </c>
      <c r="H515" t="s">
        <v>159</v>
      </c>
      <c r="I515" t="s">
        <v>160</v>
      </c>
    </row>
    <row r="516" spans="1:9" x14ac:dyDescent="0.2">
      <c r="A516">
        <v>514</v>
      </c>
      <c r="B516" t="s">
        <v>1157</v>
      </c>
      <c r="C516" t="s">
        <v>1158</v>
      </c>
      <c r="D516" t="s">
        <v>347</v>
      </c>
      <c r="E516" t="s">
        <v>167</v>
      </c>
      <c r="F516">
        <v>4000000</v>
      </c>
      <c r="G516" t="s">
        <v>348</v>
      </c>
      <c r="H516" t="s">
        <v>155</v>
      </c>
      <c r="I516" t="s">
        <v>139</v>
      </c>
    </row>
    <row r="517" spans="1:9" x14ac:dyDescent="0.2">
      <c r="A517">
        <v>515</v>
      </c>
      <c r="B517" t="s">
        <v>1159</v>
      </c>
      <c r="C517" t="s">
        <v>1160</v>
      </c>
      <c r="D517" t="s">
        <v>237</v>
      </c>
      <c r="E517" t="s">
        <v>136</v>
      </c>
      <c r="F517">
        <v>14500000</v>
      </c>
      <c r="G517" t="s">
        <v>154</v>
      </c>
      <c r="H517" t="s">
        <v>155</v>
      </c>
      <c r="I517" t="s">
        <v>139</v>
      </c>
    </row>
    <row r="518" spans="1:9" x14ac:dyDescent="0.2">
      <c r="A518">
        <v>516</v>
      </c>
      <c r="B518" t="s">
        <v>1161</v>
      </c>
      <c r="C518" t="s">
        <v>1162</v>
      </c>
      <c r="D518" t="s">
        <v>153</v>
      </c>
      <c r="E518" t="s">
        <v>143</v>
      </c>
      <c r="F518">
        <v>1057467947</v>
      </c>
      <c r="G518" t="s">
        <v>154</v>
      </c>
      <c r="H518" t="s">
        <v>155</v>
      </c>
      <c r="I518" t="s">
        <v>139</v>
      </c>
    </row>
    <row r="519" spans="1:9" x14ac:dyDescent="0.2">
      <c r="A519">
        <v>517</v>
      </c>
      <c r="B519" t="s">
        <v>1163</v>
      </c>
      <c r="C519" t="s">
        <v>1164</v>
      </c>
      <c r="D519" t="s">
        <v>211</v>
      </c>
      <c r="E519" t="s">
        <v>143</v>
      </c>
      <c r="F519">
        <v>129894418</v>
      </c>
      <c r="G519" t="s">
        <v>212</v>
      </c>
      <c r="H519" t="s">
        <v>183</v>
      </c>
      <c r="I519" t="s">
        <v>184</v>
      </c>
    </row>
    <row r="520" spans="1:9" x14ac:dyDescent="0.2">
      <c r="A520">
        <v>518</v>
      </c>
      <c r="B520" t="s">
        <v>1165</v>
      </c>
      <c r="C520" t="s">
        <v>1166</v>
      </c>
      <c r="D520" t="s">
        <v>293</v>
      </c>
      <c r="E520" t="s">
        <v>136</v>
      </c>
      <c r="F520">
        <v>182682799</v>
      </c>
      <c r="G520" t="s">
        <v>144</v>
      </c>
      <c r="H520" t="s">
        <v>144</v>
      </c>
      <c r="I520" t="s">
        <v>145</v>
      </c>
    </row>
    <row r="521" spans="1:9" x14ac:dyDescent="0.2">
      <c r="A521">
        <v>519</v>
      </c>
      <c r="B521" t="s">
        <v>3299</v>
      </c>
      <c r="C521" t="s">
        <v>1167</v>
      </c>
      <c r="D521" t="s">
        <v>194</v>
      </c>
      <c r="E521" t="s">
        <v>136</v>
      </c>
      <c r="F521">
        <v>9638061</v>
      </c>
      <c r="G521" t="s">
        <v>195</v>
      </c>
      <c r="H521" t="s">
        <v>195</v>
      </c>
      <c r="I521" t="s">
        <v>184</v>
      </c>
    </row>
    <row r="522" spans="1:9" x14ac:dyDescent="0.2">
      <c r="A522">
        <v>520</v>
      </c>
      <c r="B522" t="s">
        <v>3300</v>
      </c>
      <c r="C522" t="s">
        <v>1168</v>
      </c>
      <c r="D522" t="s">
        <v>208</v>
      </c>
      <c r="E522" t="s">
        <v>136</v>
      </c>
      <c r="F522">
        <v>141048000</v>
      </c>
      <c r="G522" t="s">
        <v>195</v>
      </c>
      <c r="H522" t="s">
        <v>195</v>
      </c>
      <c r="I522" t="s">
        <v>184</v>
      </c>
    </row>
    <row r="523" spans="1:9" x14ac:dyDescent="0.2">
      <c r="A523">
        <v>521</v>
      </c>
      <c r="B523" t="s">
        <v>1169</v>
      </c>
      <c r="C523" t="s">
        <v>1170</v>
      </c>
      <c r="D523" t="s">
        <v>564</v>
      </c>
      <c r="E523" t="s">
        <v>143</v>
      </c>
      <c r="F523">
        <v>111097772</v>
      </c>
      <c r="G523" t="s">
        <v>201</v>
      </c>
      <c r="H523" t="s">
        <v>150</v>
      </c>
      <c r="I523" t="s">
        <v>145</v>
      </c>
    </row>
    <row r="524" spans="1:9" x14ac:dyDescent="0.2">
      <c r="A524">
        <v>522</v>
      </c>
      <c r="B524" t="s">
        <v>1171</v>
      </c>
      <c r="C524" t="s">
        <v>1172</v>
      </c>
      <c r="D524" t="s">
        <v>166</v>
      </c>
      <c r="E524" t="s">
        <v>143</v>
      </c>
      <c r="F524">
        <v>101350100</v>
      </c>
      <c r="G524" t="s">
        <v>166</v>
      </c>
      <c r="H524" t="s">
        <v>166</v>
      </c>
      <c r="I524" t="s">
        <v>160</v>
      </c>
    </row>
    <row r="525" spans="1:9" x14ac:dyDescent="0.2">
      <c r="A525">
        <v>523</v>
      </c>
      <c r="B525" t="s">
        <v>3301</v>
      </c>
      <c r="C525" t="s">
        <v>1173</v>
      </c>
      <c r="D525" t="s">
        <v>208</v>
      </c>
      <c r="E525" t="s">
        <v>143</v>
      </c>
      <c r="F525">
        <v>8000000</v>
      </c>
      <c r="G525" t="s">
        <v>195</v>
      </c>
      <c r="H525" t="s">
        <v>195</v>
      </c>
      <c r="I525" t="s">
        <v>184</v>
      </c>
    </row>
    <row r="526" spans="1:9" x14ac:dyDescent="0.2">
      <c r="A526">
        <v>524</v>
      </c>
      <c r="B526" t="s">
        <v>1174</v>
      </c>
      <c r="C526" t="s">
        <v>1175</v>
      </c>
      <c r="D526" t="s">
        <v>347</v>
      </c>
      <c r="E526" t="s">
        <v>167</v>
      </c>
      <c r="F526">
        <v>3123000</v>
      </c>
      <c r="G526" t="s">
        <v>348</v>
      </c>
      <c r="H526" t="s">
        <v>155</v>
      </c>
      <c r="I526" t="s">
        <v>139</v>
      </c>
    </row>
    <row r="527" spans="1:9" x14ac:dyDescent="0.2">
      <c r="A527">
        <v>525</v>
      </c>
      <c r="B527" t="s">
        <v>1176</v>
      </c>
      <c r="C527" t="s">
        <v>1177</v>
      </c>
      <c r="D527" t="s">
        <v>1178</v>
      </c>
      <c r="E527" t="s">
        <v>136</v>
      </c>
      <c r="F527">
        <v>3297860</v>
      </c>
      <c r="G527" t="s">
        <v>348</v>
      </c>
      <c r="H527" t="s">
        <v>155</v>
      </c>
      <c r="I527" t="s">
        <v>139</v>
      </c>
    </row>
    <row r="528" spans="1:9" x14ac:dyDescent="0.2">
      <c r="A528">
        <v>526</v>
      </c>
      <c r="B528" t="s">
        <v>1179</v>
      </c>
      <c r="C528" t="s">
        <v>1180</v>
      </c>
      <c r="D528" t="s">
        <v>671</v>
      </c>
      <c r="E528" t="s">
        <v>143</v>
      </c>
      <c r="F528">
        <v>107439681</v>
      </c>
      <c r="G528" t="s">
        <v>672</v>
      </c>
      <c r="H528" t="s">
        <v>672</v>
      </c>
      <c r="I528" t="s">
        <v>139</v>
      </c>
    </row>
    <row r="529" spans="1:9" x14ac:dyDescent="0.2">
      <c r="A529">
        <v>527</v>
      </c>
      <c r="B529" t="s">
        <v>3146</v>
      </c>
      <c r="C529" t="s">
        <v>1181</v>
      </c>
      <c r="D529" t="s">
        <v>208</v>
      </c>
      <c r="E529" t="s">
        <v>136</v>
      </c>
      <c r="F529">
        <v>347213270</v>
      </c>
      <c r="G529" t="s">
        <v>195</v>
      </c>
      <c r="H529" t="s">
        <v>195</v>
      </c>
      <c r="I529" t="s">
        <v>184</v>
      </c>
    </row>
    <row r="530" spans="1:9" x14ac:dyDescent="0.2">
      <c r="A530">
        <v>528</v>
      </c>
      <c r="B530" t="s">
        <v>3302</v>
      </c>
      <c r="C530" t="s">
        <v>1182</v>
      </c>
      <c r="D530" t="s">
        <v>283</v>
      </c>
      <c r="E530" t="s">
        <v>136</v>
      </c>
      <c r="F530">
        <v>2011100</v>
      </c>
      <c r="G530" t="s">
        <v>284</v>
      </c>
      <c r="H530" t="s">
        <v>183</v>
      </c>
      <c r="I530" t="s">
        <v>184</v>
      </c>
    </row>
    <row r="531" spans="1:9" x14ac:dyDescent="0.2">
      <c r="A531">
        <v>529</v>
      </c>
      <c r="B531" t="s">
        <v>1183</v>
      </c>
      <c r="C531" t="s">
        <v>1184</v>
      </c>
      <c r="D531" t="s">
        <v>347</v>
      </c>
      <c r="E531" t="s">
        <v>136</v>
      </c>
      <c r="F531">
        <v>16000000</v>
      </c>
      <c r="G531" t="s">
        <v>348</v>
      </c>
      <c r="H531" t="s">
        <v>155</v>
      </c>
      <c r="I531" t="s">
        <v>139</v>
      </c>
    </row>
    <row r="532" spans="1:9" x14ac:dyDescent="0.2">
      <c r="A532">
        <v>530</v>
      </c>
      <c r="B532" t="s">
        <v>1185</v>
      </c>
      <c r="C532" t="s">
        <v>1186</v>
      </c>
      <c r="D532" t="s">
        <v>158</v>
      </c>
      <c r="E532" t="s">
        <v>167</v>
      </c>
      <c r="F532">
        <v>32999980</v>
      </c>
      <c r="G532" t="s">
        <v>159</v>
      </c>
      <c r="H532" t="s">
        <v>159</v>
      </c>
      <c r="I532" t="s">
        <v>160</v>
      </c>
    </row>
    <row r="533" spans="1:9" x14ac:dyDescent="0.2">
      <c r="A533">
        <v>531</v>
      </c>
      <c r="B533" t="s">
        <v>3303</v>
      </c>
      <c r="C533" t="s">
        <v>1187</v>
      </c>
      <c r="D533" t="s">
        <v>208</v>
      </c>
      <c r="E533" t="s">
        <v>136</v>
      </c>
      <c r="F533">
        <v>8000000</v>
      </c>
      <c r="G533" t="s">
        <v>195</v>
      </c>
      <c r="H533" t="s">
        <v>195</v>
      </c>
      <c r="I533" t="s">
        <v>184</v>
      </c>
    </row>
    <row r="534" spans="1:9" x14ac:dyDescent="0.2">
      <c r="A534">
        <v>532</v>
      </c>
      <c r="B534" t="s">
        <v>3304</v>
      </c>
      <c r="C534" t="s">
        <v>1188</v>
      </c>
      <c r="D534" t="s">
        <v>208</v>
      </c>
      <c r="E534" t="s">
        <v>136</v>
      </c>
      <c r="F534">
        <v>20685717</v>
      </c>
      <c r="G534" t="s">
        <v>195</v>
      </c>
      <c r="H534" t="s">
        <v>195</v>
      </c>
      <c r="I534" t="s">
        <v>184</v>
      </c>
    </row>
    <row r="535" spans="1:9" x14ac:dyDescent="0.2">
      <c r="A535">
        <v>533</v>
      </c>
      <c r="B535" t="s">
        <v>3305</v>
      </c>
      <c r="C535" t="s">
        <v>1189</v>
      </c>
      <c r="D535" t="s">
        <v>194</v>
      </c>
      <c r="E535" t="s">
        <v>167</v>
      </c>
      <c r="F535">
        <v>6518586</v>
      </c>
      <c r="G535" t="s">
        <v>195</v>
      </c>
      <c r="H535" t="s">
        <v>195</v>
      </c>
      <c r="I535" t="s">
        <v>184</v>
      </c>
    </row>
    <row r="536" spans="1:9" x14ac:dyDescent="0.2">
      <c r="A536">
        <v>534</v>
      </c>
      <c r="B536" t="s">
        <v>1190</v>
      </c>
      <c r="C536" t="s">
        <v>1191</v>
      </c>
      <c r="D536" t="s">
        <v>142</v>
      </c>
      <c r="E536" t="s">
        <v>143</v>
      </c>
      <c r="F536">
        <v>36958816</v>
      </c>
      <c r="G536" t="s">
        <v>144</v>
      </c>
      <c r="H536" t="s">
        <v>144</v>
      </c>
      <c r="I536" t="s">
        <v>145</v>
      </c>
    </row>
    <row r="537" spans="1:9" x14ac:dyDescent="0.2">
      <c r="A537">
        <v>535</v>
      </c>
      <c r="B537" t="s">
        <v>3306</v>
      </c>
      <c r="C537" t="s">
        <v>1192</v>
      </c>
      <c r="D537" t="s">
        <v>208</v>
      </c>
      <c r="E537" t="s">
        <v>136</v>
      </c>
      <c r="F537">
        <v>5232000</v>
      </c>
      <c r="G537" t="s">
        <v>195</v>
      </c>
      <c r="H537" t="s">
        <v>195</v>
      </c>
      <c r="I537" t="s">
        <v>184</v>
      </c>
    </row>
    <row r="538" spans="1:9" x14ac:dyDescent="0.2">
      <c r="A538">
        <v>536</v>
      </c>
      <c r="B538" t="s">
        <v>1193</v>
      </c>
      <c r="C538" t="s">
        <v>1194</v>
      </c>
      <c r="D538" t="s">
        <v>158</v>
      </c>
      <c r="E538" t="s">
        <v>143</v>
      </c>
      <c r="F538">
        <v>720811532</v>
      </c>
      <c r="G538" t="s">
        <v>159</v>
      </c>
      <c r="H538" t="s">
        <v>159</v>
      </c>
      <c r="I538" t="s">
        <v>160</v>
      </c>
    </row>
    <row r="539" spans="1:9" x14ac:dyDescent="0.2">
      <c r="A539">
        <v>537</v>
      </c>
      <c r="B539" t="s">
        <v>3307</v>
      </c>
      <c r="C539" t="s">
        <v>1195</v>
      </c>
      <c r="D539" t="s">
        <v>882</v>
      </c>
      <c r="E539" t="s">
        <v>167</v>
      </c>
      <c r="F539">
        <v>2016385</v>
      </c>
      <c r="G539" t="s">
        <v>212</v>
      </c>
      <c r="H539" t="s">
        <v>183</v>
      </c>
      <c r="I539" t="s">
        <v>184</v>
      </c>
    </row>
    <row r="540" spans="1:9" x14ac:dyDescent="0.2">
      <c r="A540">
        <v>538</v>
      </c>
      <c r="B540" t="s">
        <v>1196</v>
      </c>
      <c r="C540" t="s">
        <v>1197</v>
      </c>
      <c r="D540" t="s">
        <v>166</v>
      </c>
      <c r="E540" t="s">
        <v>136</v>
      </c>
      <c r="F540">
        <v>8962353</v>
      </c>
      <c r="G540" t="s">
        <v>166</v>
      </c>
      <c r="H540" t="s">
        <v>166</v>
      </c>
      <c r="I540" t="s">
        <v>160</v>
      </c>
    </row>
    <row r="541" spans="1:9" x14ac:dyDescent="0.2">
      <c r="A541">
        <v>539</v>
      </c>
      <c r="B541" t="s">
        <v>1198</v>
      </c>
      <c r="C541" t="s">
        <v>1199</v>
      </c>
      <c r="D541" t="s">
        <v>166</v>
      </c>
      <c r="E541" t="s">
        <v>136</v>
      </c>
      <c r="F541">
        <v>15120000</v>
      </c>
      <c r="G541" t="s">
        <v>166</v>
      </c>
      <c r="H541" t="s">
        <v>166</v>
      </c>
      <c r="I541" t="s">
        <v>160</v>
      </c>
    </row>
    <row r="542" spans="1:9" x14ac:dyDescent="0.2">
      <c r="A542">
        <v>540</v>
      </c>
      <c r="B542" t="s">
        <v>1200</v>
      </c>
      <c r="C542" t="s">
        <v>1201</v>
      </c>
      <c r="D542" t="s">
        <v>166</v>
      </c>
      <c r="E542" t="s">
        <v>136</v>
      </c>
      <c r="F542">
        <v>10000000</v>
      </c>
      <c r="G542" t="s">
        <v>166</v>
      </c>
      <c r="H542" t="s">
        <v>166</v>
      </c>
      <c r="I542" t="s">
        <v>160</v>
      </c>
    </row>
    <row r="543" spans="1:9" x14ac:dyDescent="0.2">
      <c r="A543">
        <v>541</v>
      </c>
      <c r="B543" t="s">
        <v>3308</v>
      </c>
      <c r="C543" t="s">
        <v>1202</v>
      </c>
      <c r="D543" t="s">
        <v>194</v>
      </c>
      <c r="E543" t="s">
        <v>167</v>
      </c>
      <c r="F543">
        <v>27599967</v>
      </c>
      <c r="G543" t="s">
        <v>195</v>
      </c>
      <c r="H543" t="s">
        <v>195</v>
      </c>
      <c r="I543" t="s">
        <v>184</v>
      </c>
    </row>
    <row r="544" spans="1:9" x14ac:dyDescent="0.2">
      <c r="A544">
        <v>542</v>
      </c>
      <c r="B544" t="s">
        <v>1203</v>
      </c>
      <c r="C544" t="s">
        <v>1204</v>
      </c>
      <c r="D544" t="s">
        <v>170</v>
      </c>
      <c r="E544" t="s">
        <v>143</v>
      </c>
      <c r="F544">
        <v>3510142254</v>
      </c>
      <c r="G544" t="s">
        <v>170</v>
      </c>
      <c r="H544" t="s">
        <v>170</v>
      </c>
      <c r="I544" t="s">
        <v>170</v>
      </c>
    </row>
    <row r="545" spans="1:9" x14ac:dyDescent="0.2">
      <c r="A545">
        <v>543</v>
      </c>
      <c r="B545" t="s">
        <v>1205</v>
      </c>
      <c r="C545" t="s">
        <v>1206</v>
      </c>
      <c r="D545" t="s">
        <v>166</v>
      </c>
      <c r="E545" t="s">
        <v>143</v>
      </c>
      <c r="F545">
        <v>178354966</v>
      </c>
      <c r="G545" t="s">
        <v>166</v>
      </c>
      <c r="H545" t="s">
        <v>166</v>
      </c>
      <c r="I545" t="s">
        <v>160</v>
      </c>
    </row>
    <row r="546" spans="1:9" x14ac:dyDescent="0.2">
      <c r="A546">
        <v>544</v>
      </c>
      <c r="B546" t="s">
        <v>1207</v>
      </c>
      <c r="C546" t="s">
        <v>1208</v>
      </c>
      <c r="D546" t="s">
        <v>166</v>
      </c>
      <c r="E546" t="s">
        <v>143</v>
      </c>
      <c r="F546">
        <v>369963035</v>
      </c>
      <c r="G546" t="s">
        <v>166</v>
      </c>
      <c r="H546" t="s">
        <v>166</v>
      </c>
      <c r="I546" t="s">
        <v>160</v>
      </c>
    </row>
    <row r="547" spans="1:9" x14ac:dyDescent="0.2">
      <c r="A547">
        <v>545</v>
      </c>
      <c r="B547" t="s">
        <v>1209</v>
      </c>
      <c r="C547" t="s">
        <v>1210</v>
      </c>
      <c r="D547" t="s">
        <v>163</v>
      </c>
      <c r="E547" t="s">
        <v>136</v>
      </c>
      <c r="F547">
        <v>20096259</v>
      </c>
      <c r="G547" t="s">
        <v>137</v>
      </c>
      <c r="H547" t="s">
        <v>138</v>
      </c>
      <c r="I547" t="s">
        <v>139</v>
      </c>
    </row>
    <row r="548" spans="1:9" x14ac:dyDescent="0.2">
      <c r="A548">
        <v>546</v>
      </c>
      <c r="B548" t="s">
        <v>3309</v>
      </c>
      <c r="C548" t="s">
        <v>1211</v>
      </c>
      <c r="D548" t="s">
        <v>283</v>
      </c>
      <c r="E548" t="s">
        <v>136</v>
      </c>
      <c r="F548">
        <v>16959879</v>
      </c>
      <c r="G548" t="s">
        <v>284</v>
      </c>
      <c r="H548" t="s">
        <v>183</v>
      </c>
      <c r="I548" t="s">
        <v>184</v>
      </c>
    </row>
    <row r="549" spans="1:9" x14ac:dyDescent="0.2">
      <c r="A549">
        <v>547</v>
      </c>
      <c r="B549" t="s">
        <v>1212</v>
      </c>
      <c r="C549" t="s">
        <v>1213</v>
      </c>
      <c r="D549" t="s">
        <v>240</v>
      </c>
      <c r="E549" t="s">
        <v>136</v>
      </c>
      <c r="F549">
        <v>9934418</v>
      </c>
      <c r="G549" t="s">
        <v>240</v>
      </c>
      <c r="H549" t="s">
        <v>241</v>
      </c>
      <c r="I549" t="s">
        <v>242</v>
      </c>
    </row>
    <row r="550" spans="1:9" x14ac:dyDescent="0.2">
      <c r="A550">
        <v>548</v>
      </c>
      <c r="B550" t="s">
        <v>1214</v>
      </c>
      <c r="C550" t="s">
        <v>1215</v>
      </c>
      <c r="D550" t="s">
        <v>383</v>
      </c>
      <c r="E550" t="s">
        <v>136</v>
      </c>
      <c r="F550">
        <v>31882470</v>
      </c>
      <c r="G550" t="s">
        <v>311</v>
      </c>
      <c r="H550" t="s">
        <v>312</v>
      </c>
      <c r="I550" t="s">
        <v>313</v>
      </c>
    </row>
    <row r="551" spans="1:9" x14ac:dyDescent="0.2">
      <c r="A551">
        <v>549</v>
      </c>
      <c r="B551" t="s">
        <v>3310</v>
      </c>
      <c r="C551" t="s">
        <v>1216</v>
      </c>
      <c r="D551" t="s">
        <v>181</v>
      </c>
      <c r="E551" t="s">
        <v>136</v>
      </c>
      <c r="F551">
        <v>6000000</v>
      </c>
      <c r="G551" t="s">
        <v>182</v>
      </c>
      <c r="H551" t="s">
        <v>183</v>
      </c>
      <c r="I551" t="s">
        <v>184</v>
      </c>
    </row>
    <row r="552" spans="1:9" x14ac:dyDescent="0.2">
      <c r="A552">
        <v>550</v>
      </c>
      <c r="B552" t="s">
        <v>3311</v>
      </c>
      <c r="C552" t="s">
        <v>1217</v>
      </c>
      <c r="D552" t="s">
        <v>208</v>
      </c>
      <c r="E552" t="s">
        <v>136</v>
      </c>
      <c r="F552">
        <v>4400000</v>
      </c>
      <c r="G552" t="s">
        <v>195</v>
      </c>
      <c r="H552" t="s">
        <v>195</v>
      </c>
      <c r="I552" t="s">
        <v>184</v>
      </c>
    </row>
    <row r="553" spans="1:9" x14ac:dyDescent="0.2">
      <c r="A553">
        <v>551</v>
      </c>
      <c r="B553" t="s">
        <v>3312</v>
      </c>
      <c r="C553" t="s">
        <v>1218</v>
      </c>
      <c r="D553" t="s">
        <v>437</v>
      </c>
      <c r="E553" t="s">
        <v>136</v>
      </c>
      <c r="F553">
        <v>6000000</v>
      </c>
      <c r="G553" t="s">
        <v>182</v>
      </c>
      <c r="H553" t="s">
        <v>183</v>
      </c>
      <c r="I553" t="s">
        <v>184</v>
      </c>
    </row>
    <row r="554" spans="1:9" x14ac:dyDescent="0.2">
      <c r="A554">
        <v>552</v>
      </c>
      <c r="B554" t="s">
        <v>1219</v>
      </c>
      <c r="C554" t="s">
        <v>1220</v>
      </c>
      <c r="D554" t="s">
        <v>876</v>
      </c>
      <c r="E554" t="s">
        <v>136</v>
      </c>
      <c r="F554">
        <v>9297450</v>
      </c>
      <c r="G554" t="s">
        <v>326</v>
      </c>
      <c r="H554" t="s">
        <v>327</v>
      </c>
      <c r="I554" t="s">
        <v>217</v>
      </c>
    </row>
    <row r="555" spans="1:9" x14ac:dyDescent="0.2">
      <c r="A555">
        <v>553</v>
      </c>
      <c r="B555" t="s">
        <v>1221</v>
      </c>
      <c r="C555" t="s">
        <v>1222</v>
      </c>
      <c r="D555" t="s">
        <v>215</v>
      </c>
      <c r="E555" t="s">
        <v>167</v>
      </c>
      <c r="F555">
        <v>1000000</v>
      </c>
      <c r="G555" t="s">
        <v>216</v>
      </c>
      <c r="H555" t="s">
        <v>216</v>
      </c>
      <c r="I555" t="s">
        <v>217</v>
      </c>
    </row>
    <row r="556" spans="1:9" x14ac:dyDescent="0.2">
      <c r="A556">
        <v>554</v>
      </c>
      <c r="B556" t="s">
        <v>3313</v>
      </c>
      <c r="C556" t="s">
        <v>1223</v>
      </c>
      <c r="D556" t="s">
        <v>208</v>
      </c>
      <c r="E556" t="s">
        <v>136</v>
      </c>
      <c r="F556">
        <v>9100000</v>
      </c>
      <c r="G556" t="s">
        <v>195</v>
      </c>
      <c r="H556" t="s">
        <v>195</v>
      </c>
      <c r="I556" t="s">
        <v>184</v>
      </c>
    </row>
    <row r="557" spans="1:9" x14ac:dyDescent="0.2">
      <c r="A557">
        <v>555</v>
      </c>
      <c r="B557" t="s">
        <v>1224</v>
      </c>
      <c r="C557" t="s">
        <v>1225</v>
      </c>
      <c r="D557" t="s">
        <v>310</v>
      </c>
      <c r="E557" t="s">
        <v>136</v>
      </c>
      <c r="F557">
        <v>10198105</v>
      </c>
      <c r="G557" t="s">
        <v>311</v>
      </c>
      <c r="H557" t="s">
        <v>312</v>
      </c>
      <c r="I557" t="s">
        <v>313</v>
      </c>
    </row>
    <row r="558" spans="1:9" x14ac:dyDescent="0.2">
      <c r="A558">
        <v>556</v>
      </c>
      <c r="B558" t="s">
        <v>1226</v>
      </c>
      <c r="C558" t="s">
        <v>1227</v>
      </c>
      <c r="D558" t="s">
        <v>513</v>
      </c>
      <c r="E558" t="s">
        <v>136</v>
      </c>
      <c r="F558">
        <v>1270000</v>
      </c>
      <c r="G558" t="s">
        <v>229</v>
      </c>
      <c r="H558" t="s">
        <v>229</v>
      </c>
      <c r="I558" t="s">
        <v>217</v>
      </c>
    </row>
    <row r="559" spans="1:9" x14ac:dyDescent="0.2">
      <c r="A559">
        <v>557</v>
      </c>
      <c r="B559" t="s">
        <v>1228</v>
      </c>
      <c r="C559" t="s">
        <v>1229</v>
      </c>
      <c r="D559" t="s">
        <v>149</v>
      </c>
      <c r="E559" t="s">
        <v>167</v>
      </c>
      <c r="F559">
        <v>12600000</v>
      </c>
      <c r="G559" t="s">
        <v>149</v>
      </c>
      <c r="H559" t="s">
        <v>150</v>
      </c>
      <c r="I559" t="s">
        <v>145</v>
      </c>
    </row>
    <row r="560" spans="1:9" x14ac:dyDescent="0.2">
      <c r="A560">
        <v>558</v>
      </c>
      <c r="B560" t="s">
        <v>1230</v>
      </c>
      <c r="C560" t="s">
        <v>1231</v>
      </c>
      <c r="D560" t="s">
        <v>430</v>
      </c>
      <c r="E560" t="s">
        <v>136</v>
      </c>
      <c r="F560">
        <v>20000000</v>
      </c>
      <c r="G560" t="s">
        <v>326</v>
      </c>
      <c r="H560" t="s">
        <v>327</v>
      </c>
      <c r="I560" t="s">
        <v>217</v>
      </c>
    </row>
    <row r="561" spans="1:9" x14ac:dyDescent="0.2">
      <c r="A561">
        <v>559</v>
      </c>
      <c r="B561" t="s">
        <v>1232</v>
      </c>
      <c r="C561" t="s">
        <v>1233</v>
      </c>
      <c r="D561" t="s">
        <v>237</v>
      </c>
      <c r="E561" t="s">
        <v>167</v>
      </c>
      <c r="F561">
        <v>16425000</v>
      </c>
      <c r="G561" t="s">
        <v>154</v>
      </c>
      <c r="H561" t="s">
        <v>155</v>
      </c>
      <c r="I561" t="s">
        <v>139</v>
      </c>
    </row>
    <row r="562" spans="1:9" x14ac:dyDescent="0.2">
      <c r="A562">
        <v>560</v>
      </c>
      <c r="B562" t="s">
        <v>1234</v>
      </c>
      <c r="C562" t="s">
        <v>1235</v>
      </c>
      <c r="D562" t="s">
        <v>430</v>
      </c>
      <c r="E562" t="s">
        <v>136</v>
      </c>
      <c r="F562">
        <v>34896354</v>
      </c>
      <c r="G562" t="s">
        <v>326</v>
      </c>
      <c r="H562" t="s">
        <v>327</v>
      </c>
      <c r="I562" t="s">
        <v>217</v>
      </c>
    </row>
    <row r="563" spans="1:9" x14ac:dyDescent="0.2">
      <c r="A563">
        <v>561</v>
      </c>
      <c r="B563" t="s">
        <v>3314</v>
      </c>
      <c r="C563" t="s">
        <v>1236</v>
      </c>
      <c r="D563" t="s">
        <v>211</v>
      </c>
      <c r="E563" t="s">
        <v>136</v>
      </c>
      <c r="F563">
        <v>1440000</v>
      </c>
      <c r="G563" t="s">
        <v>212</v>
      </c>
      <c r="H563" t="s">
        <v>183</v>
      </c>
      <c r="I563" t="s">
        <v>184</v>
      </c>
    </row>
    <row r="564" spans="1:9" x14ac:dyDescent="0.2">
      <c r="A564">
        <v>562</v>
      </c>
      <c r="B564" t="s">
        <v>1237</v>
      </c>
      <c r="C564" t="s">
        <v>1238</v>
      </c>
      <c r="D564" t="s">
        <v>564</v>
      </c>
      <c r="E564" t="s">
        <v>143</v>
      </c>
      <c r="F564">
        <v>86554343</v>
      </c>
      <c r="G564" t="s">
        <v>201</v>
      </c>
      <c r="H564" t="s">
        <v>150</v>
      </c>
      <c r="I564" t="s">
        <v>145</v>
      </c>
    </row>
    <row r="565" spans="1:9" x14ac:dyDescent="0.2">
      <c r="A565">
        <v>563</v>
      </c>
      <c r="B565" t="s">
        <v>1239</v>
      </c>
      <c r="C565" t="s">
        <v>1240</v>
      </c>
      <c r="D565" t="s">
        <v>671</v>
      </c>
      <c r="E565" t="s">
        <v>143</v>
      </c>
      <c r="F565">
        <v>431985968</v>
      </c>
      <c r="G565" t="s">
        <v>672</v>
      </c>
      <c r="H565" t="s">
        <v>672</v>
      </c>
      <c r="I565" t="s">
        <v>139</v>
      </c>
    </row>
    <row r="566" spans="1:9" x14ac:dyDescent="0.2">
      <c r="A566">
        <v>564</v>
      </c>
      <c r="B566" t="s">
        <v>1241</v>
      </c>
      <c r="C566" t="s">
        <v>1242</v>
      </c>
      <c r="D566" t="s">
        <v>208</v>
      </c>
      <c r="E566" t="s">
        <v>143</v>
      </c>
      <c r="F566">
        <v>473755528</v>
      </c>
      <c r="G566" t="s">
        <v>195</v>
      </c>
      <c r="H566" t="s">
        <v>195</v>
      </c>
      <c r="I566" t="s">
        <v>184</v>
      </c>
    </row>
    <row r="567" spans="1:9" x14ac:dyDescent="0.2">
      <c r="A567">
        <v>565</v>
      </c>
      <c r="B567" t="s">
        <v>3315</v>
      </c>
      <c r="C567" t="s">
        <v>1243</v>
      </c>
      <c r="D567" t="s">
        <v>208</v>
      </c>
      <c r="E567" t="s">
        <v>143</v>
      </c>
      <c r="F567">
        <v>76765032</v>
      </c>
      <c r="G567" t="s">
        <v>195</v>
      </c>
      <c r="H567" t="s">
        <v>195</v>
      </c>
      <c r="I567" t="s">
        <v>184</v>
      </c>
    </row>
    <row r="568" spans="1:9" x14ac:dyDescent="0.2">
      <c r="A568">
        <v>566</v>
      </c>
      <c r="B568" t="s">
        <v>1244</v>
      </c>
      <c r="C568" t="s">
        <v>1245</v>
      </c>
      <c r="D568" t="s">
        <v>142</v>
      </c>
      <c r="E568" t="s">
        <v>143</v>
      </c>
      <c r="F568">
        <v>73663016</v>
      </c>
      <c r="G568" t="s">
        <v>144</v>
      </c>
      <c r="H568" t="s">
        <v>144</v>
      </c>
      <c r="I568" t="s">
        <v>145</v>
      </c>
    </row>
    <row r="569" spans="1:9" x14ac:dyDescent="0.2">
      <c r="A569">
        <v>567</v>
      </c>
      <c r="B569" t="s">
        <v>1246</v>
      </c>
      <c r="C569" t="s">
        <v>1247</v>
      </c>
      <c r="D569" t="s">
        <v>330</v>
      </c>
      <c r="E569" t="s">
        <v>136</v>
      </c>
      <c r="F569">
        <v>21000000</v>
      </c>
      <c r="G569" t="s">
        <v>330</v>
      </c>
      <c r="H569" t="s">
        <v>312</v>
      </c>
      <c r="I569" t="s">
        <v>313</v>
      </c>
    </row>
    <row r="570" spans="1:9" x14ac:dyDescent="0.2">
      <c r="A570">
        <v>568</v>
      </c>
      <c r="B570" t="s">
        <v>1248</v>
      </c>
      <c r="C570" t="s">
        <v>1249</v>
      </c>
      <c r="D570" t="s">
        <v>657</v>
      </c>
      <c r="E570" t="s">
        <v>136</v>
      </c>
      <c r="F570">
        <v>12853052</v>
      </c>
      <c r="G570" t="s">
        <v>657</v>
      </c>
      <c r="H570" t="s">
        <v>138</v>
      </c>
      <c r="I570" t="s">
        <v>139</v>
      </c>
    </row>
    <row r="571" spans="1:9" x14ac:dyDescent="0.2">
      <c r="A571">
        <v>569</v>
      </c>
      <c r="B571" t="s">
        <v>1250</v>
      </c>
      <c r="C571" t="s">
        <v>1251</v>
      </c>
      <c r="D571" t="s">
        <v>330</v>
      </c>
      <c r="E571" t="s">
        <v>167</v>
      </c>
      <c r="F571">
        <v>20999900</v>
      </c>
      <c r="G571" t="s">
        <v>330</v>
      </c>
      <c r="H571" t="s">
        <v>312</v>
      </c>
      <c r="I571" t="s">
        <v>313</v>
      </c>
    </row>
    <row r="572" spans="1:9" x14ac:dyDescent="0.2">
      <c r="A572">
        <v>570</v>
      </c>
      <c r="B572" t="s">
        <v>1252</v>
      </c>
      <c r="C572" t="s">
        <v>1253</v>
      </c>
      <c r="D572" t="s">
        <v>237</v>
      </c>
      <c r="E572" t="s">
        <v>136</v>
      </c>
      <c r="F572">
        <v>51599999</v>
      </c>
      <c r="G572" t="s">
        <v>154</v>
      </c>
      <c r="H572" t="s">
        <v>155</v>
      </c>
      <c r="I572" t="s">
        <v>139</v>
      </c>
    </row>
    <row r="573" spans="1:9" x14ac:dyDescent="0.2">
      <c r="A573">
        <v>571</v>
      </c>
      <c r="B573" t="s">
        <v>1254</v>
      </c>
      <c r="C573" t="s">
        <v>1255</v>
      </c>
      <c r="D573" t="s">
        <v>400</v>
      </c>
      <c r="E573" t="s">
        <v>167</v>
      </c>
      <c r="F573">
        <v>6135029</v>
      </c>
      <c r="G573" t="s">
        <v>348</v>
      </c>
      <c r="H573" t="s">
        <v>155</v>
      </c>
      <c r="I573" t="s">
        <v>139</v>
      </c>
    </row>
    <row r="574" spans="1:9" x14ac:dyDescent="0.2">
      <c r="A574">
        <v>572</v>
      </c>
      <c r="B574" t="s">
        <v>1256</v>
      </c>
      <c r="C574" t="s">
        <v>1257</v>
      </c>
      <c r="D574" t="s">
        <v>355</v>
      </c>
      <c r="E574" t="s">
        <v>136</v>
      </c>
      <c r="F574">
        <v>34459293</v>
      </c>
      <c r="G574" t="s">
        <v>356</v>
      </c>
      <c r="H574" t="s">
        <v>150</v>
      </c>
      <c r="I574" t="s">
        <v>145</v>
      </c>
    </row>
    <row r="575" spans="1:9" x14ac:dyDescent="0.2">
      <c r="A575">
        <v>573</v>
      </c>
      <c r="B575" t="s">
        <v>1258</v>
      </c>
      <c r="C575" t="s">
        <v>1259</v>
      </c>
      <c r="D575" t="s">
        <v>347</v>
      </c>
      <c r="E575" t="s">
        <v>136</v>
      </c>
      <c r="F575">
        <v>3090000</v>
      </c>
      <c r="G575" t="s">
        <v>348</v>
      </c>
      <c r="H575" t="s">
        <v>155</v>
      </c>
      <c r="I575" t="s">
        <v>139</v>
      </c>
    </row>
    <row r="576" spans="1:9" x14ac:dyDescent="0.2">
      <c r="A576">
        <v>574</v>
      </c>
      <c r="B576" t="s">
        <v>1260</v>
      </c>
      <c r="C576" t="s">
        <v>1261</v>
      </c>
      <c r="D576" t="s">
        <v>148</v>
      </c>
      <c r="E576" t="s">
        <v>167</v>
      </c>
      <c r="F576">
        <v>25415199</v>
      </c>
      <c r="G576" t="s">
        <v>149</v>
      </c>
      <c r="H576" t="s">
        <v>150</v>
      </c>
      <c r="I576" t="s">
        <v>145</v>
      </c>
    </row>
    <row r="577" spans="1:9" x14ac:dyDescent="0.2">
      <c r="A577">
        <v>575</v>
      </c>
      <c r="B577" t="s">
        <v>1262</v>
      </c>
      <c r="C577" t="s">
        <v>1263</v>
      </c>
      <c r="D577" t="s">
        <v>166</v>
      </c>
      <c r="E577" t="s">
        <v>167</v>
      </c>
      <c r="F577">
        <v>54999961</v>
      </c>
      <c r="G577" t="s">
        <v>166</v>
      </c>
      <c r="H577" t="s">
        <v>166</v>
      </c>
      <c r="I577" t="s">
        <v>160</v>
      </c>
    </row>
    <row r="578" spans="1:9" x14ac:dyDescent="0.2">
      <c r="A578">
        <v>576</v>
      </c>
      <c r="B578" t="s">
        <v>3316</v>
      </c>
      <c r="C578" t="s">
        <v>2985</v>
      </c>
      <c r="D578" t="s">
        <v>570</v>
      </c>
      <c r="E578" t="s">
        <v>136</v>
      </c>
      <c r="F578">
        <v>10000000</v>
      </c>
      <c r="G578" t="s">
        <v>260</v>
      </c>
      <c r="H578" t="s">
        <v>183</v>
      </c>
      <c r="I578" t="s">
        <v>184</v>
      </c>
    </row>
    <row r="579" spans="1:9" x14ac:dyDescent="0.2">
      <c r="A579">
        <v>577</v>
      </c>
      <c r="B579" t="s">
        <v>3317</v>
      </c>
      <c r="C579" t="s">
        <v>1264</v>
      </c>
      <c r="D579" t="s">
        <v>570</v>
      </c>
      <c r="E579" t="s">
        <v>136</v>
      </c>
      <c r="F579">
        <v>11169125</v>
      </c>
      <c r="G579" t="s">
        <v>260</v>
      </c>
      <c r="H579" t="s">
        <v>183</v>
      </c>
      <c r="I579" t="s">
        <v>184</v>
      </c>
    </row>
    <row r="580" spans="1:9" x14ac:dyDescent="0.2">
      <c r="A580">
        <v>578</v>
      </c>
      <c r="B580" t="s">
        <v>1265</v>
      </c>
      <c r="C580" t="s">
        <v>1266</v>
      </c>
      <c r="D580" t="s">
        <v>163</v>
      </c>
      <c r="E580" t="s">
        <v>136</v>
      </c>
      <c r="F580">
        <v>5500000</v>
      </c>
      <c r="G580" t="s">
        <v>137</v>
      </c>
      <c r="H580" t="s">
        <v>138</v>
      </c>
      <c r="I580" t="s">
        <v>139</v>
      </c>
    </row>
    <row r="581" spans="1:9" x14ac:dyDescent="0.2">
      <c r="A581">
        <v>579</v>
      </c>
      <c r="B581" t="s">
        <v>3318</v>
      </c>
      <c r="C581" t="s">
        <v>1267</v>
      </c>
      <c r="D581" t="s">
        <v>194</v>
      </c>
      <c r="E581" t="s">
        <v>136</v>
      </c>
      <c r="F581">
        <v>1000000</v>
      </c>
      <c r="G581" t="s">
        <v>195</v>
      </c>
      <c r="H581" t="s">
        <v>195</v>
      </c>
      <c r="I581" t="s">
        <v>184</v>
      </c>
    </row>
    <row r="582" spans="1:9" x14ac:dyDescent="0.2">
      <c r="A582">
        <v>580</v>
      </c>
      <c r="B582" t="s">
        <v>1268</v>
      </c>
      <c r="C582" t="s">
        <v>1269</v>
      </c>
      <c r="D582" t="s">
        <v>355</v>
      </c>
      <c r="E582" t="s">
        <v>143</v>
      </c>
      <c r="F582">
        <v>27299999</v>
      </c>
      <c r="G582" t="s">
        <v>356</v>
      </c>
      <c r="H582" t="s">
        <v>150</v>
      </c>
      <c r="I582" t="s">
        <v>145</v>
      </c>
    </row>
    <row r="583" spans="1:9" x14ac:dyDescent="0.2">
      <c r="A583">
        <v>581</v>
      </c>
      <c r="B583" t="s">
        <v>3319</v>
      </c>
      <c r="C583" t="s">
        <v>3320</v>
      </c>
      <c r="D583" t="s">
        <v>293</v>
      </c>
      <c r="E583" t="s">
        <v>136</v>
      </c>
      <c r="F583">
        <v>4974450</v>
      </c>
      <c r="G583" t="s">
        <v>144</v>
      </c>
      <c r="H583" t="s">
        <v>144</v>
      </c>
      <c r="I583" t="s">
        <v>145</v>
      </c>
    </row>
    <row r="584" spans="1:9" x14ac:dyDescent="0.2">
      <c r="A584">
        <v>582</v>
      </c>
      <c r="B584" t="s">
        <v>1270</v>
      </c>
      <c r="C584" t="s">
        <v>1271</v>
      </c>
      <c r="D584" t="s">
        <v>355</v>
      </c>
      <c r="E584" t="s">
        <v>136</v>
      </c>
      <c r="F584">
        <v>9000000</v>
      </c>
      <c r="G584" t="s">
        <v>356</v>
      </c>
      <c r="H584" t="s">
        <v>150</v>
      </c>
      <c r="I584" t="s">
        <v>145</v>
      </c>
    </row>
    <row r="585" spans="1:9" x14ac:dyDescent="0.2">
      <c r="A585">
        <v>583</v>
      </c>
      <c r="B585" t="s">
        <v>3321</v>
      </c>
      <c r="C585" t="s">
        <v>1272</v>
      </c>
      <c r="D585" t="s">
        <v>882</v>
      </c>
      <c r="E585" t="s">
        <v>167</v>
      </c>
      <c r="F585">
        <v>13199847</v>
      </c>
      <c r="G585" t="s">
        <v>212</v>
      </c>
      <c r="H585" t="s">
        <v>183</v>
      </c>
      <c r="I585" t="s">
        <v>184</v>
      </c>
    </row>
    <row r="586" spans="1:9" x14ac:dyDescent="0.2">
      <c r="A586">
        <v>584</v>
      </c>
      <c r="B586" t="s">
        <v>3322</v>
      </c>
      <c r="C586" t="s">
        <v>1273</v>
      </c>
      <c r="D586" t="s">
        <v>194</v>
      </c>
      <c r="E586" t="s">
        <v>167</v>
      </c>
      <c r="F586">
        <v>5612444</v>
      </c>
      <c r="G586" t="s">
        <v>195</v>
      </c>
      <c r="H586" t="s">
        <v>195</v>
      </c>
      <c r="I586" t="s">
        <v>184</v>
      </c>
    </row>
    <row r="587" spans="1:9" x14ac:dyDescent="0.2">
      <c r="A587">
        <v>585</v>
      </c>
      <c r="B587" t="s">
        <v>3323</v>
      </c>
      <c r="C587" t="s">
        <v>1274</v>
      </c>
      <c r="D587" t="s">
        <v>208</v>
      </c>
      <c r="E587" t="s">
        <v>136</v>
      </c>
      <c r="F587">
        <v>10919830</v>
      </c>
      <c r="G587" t="s">
        <v>195</v>
      </c>
      <c r="H587" t="s">
        <v>195</v>
      </c>
      <c r="I587" t="s">
        <v>184</v>
      </c>
    </row>
    <row r="588" spans="1:9" x14ac:dyDescent="0.2">
      <c r="A588">
        <v>586</v>
      </c>
      <c r="B588" t="s">
        <v>1275</v>
      </c>
      <c r="C588" t="s">
        <v>1276</v>
      </c>
      <c r="D588" t="s">
        <v>330</v>
      </c>
      <c r="E588" t="s">
        <v>143</v>
      </c>
      <c r="F588">
        <v>235232210</v>
      </c>
      <c r="G588" t="s">
        <v>330</v>
      </c>
      <c r="H588" t="s">
        <v>312</v>
      </c>
      <c r="I588" t="s">
        <v>313</v>
      </c>
    </row>
    <row r="589" spans="1:9" x14ac:dyDescent="0.2">
      <c r="A589">
        <v>587</v>
      </c>
      <c r="B589" t="s">
        <v>3324</v>
      </c>
      <c r="C589" t="s">
        <v>1277</v>
      </c>
      <c r="D589" t="s">
        <v>211</v>
      </c>
      <c r="E589" t="s">
        <v>136</v>
      </c>
      <c r="F589">
        <v>9500000</v>
      </c>
      <c r="G589" t="s">
        <v>212</v>
      </c>
      <c r="H589" t="s">
        <v>183</v>
      </c>
      <c r="I589" t="s">
        <v>184</v>
      </c>
    </row>
    <row r="590" spans="1:9" x14ac:dyDescent="0.2">
      <c r="A590">
        <v>588</v>
      </c>
      <c r="B590" t="s">
        <v>1278</v>
      </c>
      <c r="C590" t="s">
        <v>1279</v>
      </c>
      <c r="D590" t="s">
        <v>330</v>
      </c>
      <c r="E590" t="s">
        <v>136</v>
      </c>
      <c r="F590">
        <v>500000000</v>
      </c>
      <c r="G590" t="s">
        <v>330</v>
      </c>
      <c r="H590" t="s">
        <v>312</v>
      </c>
      <c r="I590" t="s">
        <v>313</v>
      </c>
    </row>
    <row r="591" spans="1:9" x14ac:dyDescent="0.2">
      <c r="A591">
        <v>589</v>
      </c>
      <c r="B591" t="s">
        <v>1280</v>
      </c>
      <c r="C591" t="s">
        <v>1281</v>
      </c>
      <c r="D591" t="s">
        <v>237</v>
      </c>
      <c r="E591" t="s">
        <v>136</v>
      </c>
      <c r="F591">
        <v>30000000</v>
      </c>
      <c r="G591" t="s">
        <v>154</v>
      </c>
      <c r="H591" t="s">
        <v>155</v>
      </c>
      <c r="I591" t="s">
        <v>139</v>
      </c>
    </row>
    <row r="592" spans="1:9" x14ac:dyDescent="0.2">
      <c r="A592">
        <v>590</v>
      </c>
      <c r="B592" t="s">
        <v>1282</v>
      </c>
      <c r="C592" t="s">
        <v>1283</v>
      </c>
      <c r="D592" t="s">
        <v>153</v>
      </c>
      <c r="E592" t="s">
        <v>136</v>
      </c>
      <c r="F592">
        <v>1108553895</v>
      </c>
      <c r="G592" t="s">
        <v>154</v>
      </c>
      <c r="H592" t="s">
        <v>155</v>
      </c>
      <c r="I592" t="s">
        <v>139</v>
      </c>
    </row>
    <row r="593" spans="1:9" x14ac:dyDescent="0.2">
      <c r="A593">
        <v>591</v>
      </c>
      <c r="B593" t="s">
        <v>1284</v>
      </c>
      <c r="C593" t="s">
        <v>1285</v>
      </c>
      <c r="D593" t="s">
        <v>163</v>
      </c>
      <c r="E593" t="s">
        <v>136</v>
      </c>
      <c r="F593">
        <v>23778900</v>
      </c>
      <c r="G593" t="s">
        <v>137</v>
      </c>
      <c r="H593" t="s">
        <v>138</v>
      </c>
      <c r="I593" t="s">
        <v>139</v>
      </c>
    </row>
    <row r="594" spans="1:9" x14ac:dyDescent="0.2">
      <c r="A594">
        <v>592</v>
      </c>
      <c r="B594" t="s">
        <v>1286</v>
      </c>
      <c r="C594" t="s">
        <v>1287</v>
      </c>
      <c r="D594" t="s">
        <v>237</v>
      </c>
      <c r="E594" t="s">
        <v>136</v>
      </c>
      <c r="F594">
        <v>44400000</v>
      </c>
      <c r="G594" t="s">
        <v>154</v>
      </c>
      <c r="H594" t="s">
        <v>155</v>
      </c>
      <c r="I594" t="s">
        <v>139</v>
      </c>
    </row>
    <row r="595" spans="1:9" x14ac:dyDescent="0.2">
      <c r="A595">
        <v>593</v>
      </c>
      <c r="B595" t="s">
        <v>1288</v>
      </c>
      <c r="C595" t="s">
        <v>1289</v>
      </c>
      <c r="D595" t="s">
        <v>142</v>
      </c>
      <c r="E595" t="s">
        <v>136</v>
      </c>
      <c r="F595">
        <v>5000000</v>
      </c>
      <c r="G595" t="s">
        <v>144</v>
      </c>
      <c r="H595" t="s">
        <v>144</v>
      </c>
      <c r="I595" t="s">
        <v>145</v>
      </c>
    </row>
    <row r="596" spans="1:9" x14ac:dyDescent="0.2">
      <c r="A596">
        <v>594</v>
      </c>
      <c r="B596" t="s">
        <v>1290</v>
      </c>
      <c r="C596" t="s">
        <v>1291</v>
      </c>
      <c r="D596" t="s">
        <v>1178</v>
      </c>
      <c r="E596" t="s">
        <v>136</v>
      </c>
      <c r="F596">
        <v>20000000</v>
      </c>
      <c r="G596" t="s">
        <v>348</v>
      </c>
      <c r="H596" t="s">
        <v>155</v>
      </c>
      <c r="I596" t="s">
        <v>139</v>
      </c>
    </row>
    <row r="597" spans="1:9" x14ac:dyDescent="0.2">
      <c r="A597">
        <v>595</v>
      </c>
      <c r="B597" t="s">
        <v>3325</v>
      </c>
      <c r="C597" t="s">
        <v>1292</v>
      </c>
      <c r="D597" t="s">
        <v>194</v>
      </c>
      <c r="E597" t="s">
        <v>167</v>
      </c>
      <c r="F597">
        <v>74769131</v>
      </c>
      <c r="G597" t="s">
        <v>195</v>
      </c>
      <c r="H597" t="s">
        <v>195</v>
      </c>
      <c r="I597" t="s">
        <v>184</v>
      </c>
    </row>
    <row r="598" spans="1:9" x14ac:dyDescent="0.2">
      <c r="A598">
        <v>596</v>
      </c>
      <c r="B598" t="s">
        <v>1293</v>
      </c>
      <c r="C598" t="s">
        <v>1294</v>
      </c>
      <c r="D598" t="s">
        <v>430</v>
      </c>
      <c r="E598" t="s">
        <v>136</v>
      </c>
      <c r="F598">
        <v>8000000</v>
      </c>
      <c r="G598" t="s">
        <v>326</v>
      </c>
      <c r="H598" t="s">
        <v>327</v>
      </c>
      <c r="I598" t="s">
        <v>217</v>
      </c>
    </row>
    <row r="599" spans="1:9" x14ac:dyDescent="0.2">
      <c r="A599">
        <v>597</v>
      </c>
      <c r="B599" t="s">
        <v>3326</v>
      </c>
      <c r="C599" t="s">
        <v>1295</v>
      </c>
      <c r="D599" t="s">
        <v>283</v>
      </c>
      <c r="E599" t="s">
        <v>136</v>
      </c>
      <c r="F599">
        <v>3880000</v>
      </c>
      <c r="G599" t="s">
        <v>284</v>
      </c>
      <c r="H599" t="s">
        <v>183</v>
      </c>
      <c r="I599" t="s">
        <v>184</v>
      </c>
    </row>
    <row r="600" spans="1:9" x14ac:dyDescent="0.2">
      <c r="A600">
        <v>598</v>
      </c>
      <c r="B600" t="s">
        <v>1296</v>
      </c>
      <c r="C600" t="s">
        <v>1297</v>
      </c>
      <c r="D600" t="s">
        <v>330</v>
      </c>
      <c r="E600" t="s">
        <v>136</v>
      </c>
      <c r="F600">
        <v>8306590</v>
      </c>
      <c r="G600" t="s">
        <v>330</v>
      </c>
      <c r="H600" t="s">
        <v>312</v>
      </c>
      <c r="I600" t="s">
        <v>313</v>
      </c>
    </row>
    <row r="601" spans="1:9" x14ac:dyDescent="0.2">
      <c r="A601">
        <v>599</v>
      </c>
      <c r="B601" t="s">
        <v>109</v>
      </c>
      <c r="C601" t="s">
        <v>1298</v>
      </c>
      <c r="D601" t="s">
        <v>355</v>
      </c>
      <c r="E601" t="s">
        <v>143</v>
      </c>
      <c r="F601">
        <v>7675465855</v>
      </c>
      <c r="G601" t="s">
        <v>356</v>
      </c>
      <c r="H601" t="s">
        <v>150</v>
      </c>
      <c r="I601" t="s">
        <v>145</v>
      </c>
    </row>
    <row r="602" spans="1:9" x14ac:dyDescent="0.2">
      <c r="A602">
        <v>600</v>
      </c>
      <c r="B602" t="s">
        <v>1299</v>
      </c>
      <c r="C602" t="s">
        <v>1300</v>
      </c>
      <c r="D602" t="s">
        <v>293</v>
      </c>
      <c r="E602" t="s">
        <v>136</v>
      </c>
      <c r="F602">
        <v>8400000</v>
      </c>
      <c r="G602" t="s">
        <v>144</v>
      </c>
      <c r="H602" t="s">
        <v>144</v>
      </c>
      <c r="I602" t="s">
        <v>145</v>
      </c>
    </row>
    <row r="603" spans="1:9" x14ac:dyDescent="0.2">
      <c r="A603">
        <v>601</v>
      </c>
      <c r="B603" t="s">
        <v>1301</v>
      </c>
      <c r="C603" t="s">
        <v>1302</v>
      </c>
      <c r="D603" t="s">
        <v>166</v>
      </c>
      <c r="E603" t="s">
        <v>136</v>
      </c>
      <c r="F603">
        <v>60000000</v>
      </c>
      <c r="G603" t="s">
        <v>166</v>
      </c>
      <c r="H603" t="s">
        <v>166</v>
      </c>
      <c r="I603" t="s">
        <v>160</v>
      </c>
    </row>
    <row r="604" spans="1:9" x14ac:dyDescent="0.2">
      <c r="A604">
        <v>602</v>
      </c>
      <c r="B604" t="s">
        <v>1303</v>
      </c>
      <c r="C604" t="s">
        <v>1304</v>
      </c>
      <c r="D604" t="s">
        <v>149</v>
      </c>
      <c r="E604" t="s">
        <v>136</v>
      </c>
      <c r="F604">
        <v>3800000</v>
      </c>
      <c r="G604" t="s">
        <v>149</v>
      </c>
      <c r="H604" t="s">
        <v>150</v>
      </c>
      <c r="I604" t="s">
        <v>145</v>
      </c>
    </row>
    <row r="605" spans="1:9" x14ac:dyDescent="0.2">
      <c r="A605">
        <v>603</v>
      </c>
      <c r="B605" t="s">
        <v>3327</v>
      </c>
      <c r="C605" t="s">
        <v>1305</v>
      </c>
      <c r="D605" t="s">
        <v>194</v>
      </c>
      <c r="E605" t="s">
        <v>136</v>
      </c>
      <c r="F605">
        <v>8007177</v>
      </c>
      <c r="G605" t="s">
        <v>195</v>
      </c>
      <c r="H605" t="s">
        <v>195</v>
      </c>
      <c r="I605" t="s">
        <v>184</v>
      </c>
    </row>
    <row r="606" spans="1:9" x14ac:dyDescent="0.2">
      <c r="A606">
        <v>604</v>
      </c>
      <c r="B606" t="s">
        <v>1306</v>
      </c>
      <c r="C606" t="s">
        <v>1307</v>
      </c>
      <c r="D606" t="s">
        <v>690</v>
      </c>
      <c r="E606" t="s">
        <v>136</v>
      </c>
      <c r="F606">
        <v>10507382</v>
      </c>
      <c r="G606" t="s">
        <v>679</v>
      </c>
      <c r="H606" t="s">
        <v>654</v>
      </c>
      <c r="I606" t="s">
        <v>654</v>
      </c>
    </row>
    <row r="607" spans="1:9" x14ac:dyDescent="0.2">
      <c r="A607">
        <v>605</v>
      </c>
      <c r="B607" t="s">
        <v>1308</v>
      </c>
      <c r="C607" t="s">
        <v>1309</v>
      </c>
      <c r="D607" t="s">
        <v>383</v>
      </c>
      <c r="E607" t="s">
        <v>136</v>
      </c>
      <c r="F607">
        <v>74206940</v>
      </c>
      <c r="G607" t="s">
        <v>311</v>
      </c>
      <c r="H607" t="s">
        <v>312</v>
      </c>
      <c r="I607" t="s">
        <v>313</v>
      </c>
    </row>
    <row r="608" spans="1:9" x14ac:dyDescent="0.2">
      <c r="A608">
        <v>606</v>
      </c>
      <c r="B608" t="s">
        <v>1310</v>
      </c>
      <c r="C608" t="s">
        <v>1311</v>
      </c>
      <c r="D608" t="s">
        <v>166</v>
      </c>
      <c r="E608" t="s">
        <v>143</v>
      </c>
      <c r="F608">
        <v>304168581</v>
      </c>
      <c r="G608" t="s">
        <v>166</v>
      </c>
      <c r="H608" t="s">
        <v>166</v>
      </c>
      <c r="I608" t="s">
        <v>160</v>
      </c>
    </row>
    <row r="609" spans="1:9" x14ac:dyDescent="0.2">
      <c r="A609">
        <v>607</v>
      </c>
      <c r="B609" t="s">
        <v>1312</v>
      </c>
      <c r="C609" t="s">
        <v>1313</v>
      </c>
      <c r="D609" t="s">
        <v>166</v>
      </c>
      <c r="E609" t="s">
        <v>143</v>
      </c>
      <c r="F609">
        <v>576600000</v>
      </c>
      <c r="G609" t="s">
        <v>166</v>
      </c>
      <c r="H609" t="s">
        <v>166</v>
      </c>
      <c r="I609" t="s">
        <v>160</v>
      </c>
    </row>
    <row r="610" spans="1:9" x14ac:dyDescent="0.2">
      <c r="A610">
        <v>608</v>
      </c>
      <c r="B610" t="s">
        <v>1314</v>
      </c>
      <c r="C610" t="s">
        <v>1315</v>
      </c>
      <c r="D610" t="s">
        <v>166</v>
      </c>
      <c r="E610" t="s">
        <v>136</v>
      </c>
      <c r="F610">
        <v>6338400</v>
      </c>
      <c r="G610" t="s">
        <v>166</v>
      </c>
      <c r="H610" t="s">
        <v>166</v>
      </c>
      <c r="I610" t="s">
        <v>160</v>
      </c>
    </row>
    <row r="611" spans="1:9" x14ac:dyDescent="0.2">
      <c r="A611">
        <v>609</v>
      </c>
      <c r="B611" t="s">
        <v>1316</v>
      </c>
      <c r="C611" t="s">
        <v>1317</v>
      </c>
      <c r="D611" t="s">
        <v>142</v>
      </c>
      <c r="E611" t="s">
        <v>143</v>
      </c>
      <c r="F611">
        <v>30206622</v>
      </c>
      <c r="G611" t="s">
        <v>144</v>
      </c>
      <c r="H611" t="s">
        <v>144</v>
      </c>
      <c r="I611" t="s">
        <v>145</v>
      </c>
    </row>
    <row r="612" spans="1:9" x14ac:dyDescent="0.2">
      <c r="A612">
        <v>610</v>
      </c>
      <c r="B612" t="s">
        <v>3328</v>
      </c>
      <c r="C612" t="s">
        <v>1318</v>
      </c>
      <c r="D612" t="s">
        <v>181</v>
      </c>
      <c r="E612" t="s">
        <v>136</v>
      </c>
      <c r="F612">
        <v>7872727</v>
      </c>
      <c r="G612" t="s">
        <v>182</v>
      </c>
      <c r="H612" t="s">
        <v>183</v>
      </c>
      <c r="I612" t="s">
        <v>184</v>
      </c>
    </row>
    <row r="613" spans="1:9" x14ac:dyDescent="0.2">
      <c r="A613">
        <v>611</v>
      </c>
      <c r="B613" t="s">
        <v>117</v>
      </c>
      <c r="C613" t="s">
        <v>1319</v>
      </c>
      <c r="D613" t="s">
        <v>355</v>
      </c>
      <c r="E613" t="s">
        <v>143</v>
      </c>
      <c r="F613">
        <v>620982309</v>
      </c>
      <c r="G613" t="s">
        <v>356</v>
      </c>
      <c r="H613" t="s">
        <v>150</v>
      </c>
      <c r="I613" t="s">
        <v>145</v>
      </c>
    </row>
    <row r="614" spans="1:9" x14ac:dyDescent="0.2">
      <c r="A614">
        <v>612</v>
      </c>
      <c r="B614" t="s">
        <v>1320</v>
      </c>
      <c r="C614" t="s">
        <v>1321</v>
      </c>
      <c r="D614" t="s">
        <v>293</v>
      </c>
      <c r="E614" t="s">
        <v>136</v>
      </c>
      <c r="F614">
        <v>10000000</v>
      </c>
      <c r="G614" t="s">
        <v>144</v>
      </c>
      <c r="H614" t="s">
        <v>144</v>
      </c>
      <c r="I614" t="s">
        <v>145</v>
      </c>
    </row>
    <row r="615" spans="1:9" x14ac:dyDescent="0.2">
      <c r="A615">
        <v>613</v>
      </c>
      <c r="B615" t="s">
        <v>1322</v>
      </c>
      <c r="C615" t="s">
        <v>1323</v>
      </c>
      <c r="D615" t="s">
        <v>237</v>
      </c>
      <c r="E615" t="s">
        <v>143</v>
      </c>
      <c r="F615">
        <v>38567363</v>
      </c>
      <c r="G615" t="s">
        <v>154</v>
      </c>
      <c r="H615" t="s">
        <v>155</v>
      </c>
      <c r="I615" t="s">
        <v>139</v>
      </c>
    </row>
    <row r="616" spans="1:9" x14ac:dyDescent="0.2">
      <c r="A616">
        <v>614</v>
      </c>
      <c r="B616" t="s">
        <v>1324</v>
      </c>
      <c r="C616" t="s">
        <v>1325</v>
      </c>
      <c r="D616" t="s">
        <v>163</v>
      </c>
      <c r="E616" t="s">
        <v>136</v>
      </c>
      <c r="F616">
        <v>20500000</v>
      </c>
      <c r="G616" t="s">
        <v>137</v>
      </c>
      <c r="H616" t="s">
        <v>138</v>
      </c>
      <c r="I616" t="s">
        <v>139</v>
      </c>
    </row>
    <row r="617" spans="1:9" x14ac:dyDescent="0.2">
      <c r="A617">
        <v>615</v>
      </c>
      <c r="B617" t="s">
        <v>3329</v>
      </c>
      <c r="C617" t="s">
        <v>1326</v>
      </c>
      <c r="D617" t="s">
        <v>194</v>
      </c>
      <c r="E617" t="s">
        <v>136</v>
      </c>
      <c r="F617">
        <v>12027086</v>
      </c>
      <c r="G617" t="s">
        <v>195</v>
      </c>
      <c r="H617" t="s">
        <v>195</v>
      </c>
      <c r="I617" t="s">
        <v>184</v>
      </c>
    </row>
    <row r="618" spans="1:9" x14ac:dyDescent="0.2">
      <c r="A618">
        <v>616</v>
      </c>
      <c r="B618" t="s">
        <v>1327</v>
      </c>
      <c r="C618" t="s">
        <v>1328</v>
      </c>
      <c r="D618" t="s">
        <v>355</v>
      </c>
      <c r="E618" t="s">
        <v>136</v>
      </c>
      <c r="F618">
        <v>15749994</v>
      </c>
      <c r="G618" t="s">
        <v>356</v>
      </c>
      <c r="H618" t="s">
        <v>150</v>
      </c>
      <c r="I618" t="s">
        <v>145</v>
      </c>
    </row>
    <row r="619" spans="1:9" x14ac:dyDescent="0.2">
      <c r="A619">
        <v>617</v>
      </c>
      <c r="B619" t="s">
        <v>3152</v>
      </c>
      <c r="C619" t="s">
        <v>1329</v>
      </c>
      <c r="D619" t="s">
        <v>194</v>
      </c>
      <c r="E619" t="s">
        <v>143</v>
      </c>
      <c r="F619">
        <v>381589911</v>
      </c>
      <c r="G619" t="s">
        <v>195</v>
      </c>
      <c r="H619" t="s">
        <v>195</v>
      </c>
      <c r="I619" t="s">
        <v>184</v>
      </c>
    </row>
    <row r="620" spans="1:9" x14ac:dyDescent="0.2">
      <c r="A620">
        <v>618</v>
      </c>
      <c r="B620" t="s">
        <v>1330</v>
      </c>
      <c r="C620" t="s">
        <v>1331</v>
      </c>
      <c r="D620" t="s">
        <v>310</v>
      </c>
      <c r="E620" t="s">
        <v>167</v>
      </c>
      <c r="F620">
        <v>16499993</v>
      </c>
      <c r="G620" t="s">
        <v>311</v>
      </c>
      <c r="H620" t="s">
        <v>312</v>
      </c>
      <c r="I620" t="s">
        <v>313</v>
      </c>
    </row>
    <row r="621" spans="1:9" x14ac:dyDescent="0.2">
      <c r="A621">
        <v>619</v>
      </c>
      <c r="B621" t="s">
        <v>1332</v>
      </c>
      <c r="C621" t="s">
        <v>1333</v>
      </c>
      <c r="D621" t="s">
        <v>330</v>
      </c>
      <c r="E621" t="s">
        <v>136</v>
      </c>
      <c r="F621">
        <v>23608165</v>
      </c>
      <c r="G621" t="s">
        <v>330</v>
      </c>
      <c r="H621" t="s">
        <v>312</v>
      </c>
      <c r="I621" t="s">
        <v>313</v>
      </c>
    </row>
    <row r="622" spans="1:9" x14ac:dyDescent="0.2">
      <c r="A622">
        <v>620</v>
      </c>
      <c r="B622" t="s">
        <v>1334</v>
      </c>
      <c r="C622" t="s">
        <v>1335</v>
      </c>
      <c r="D622" t="s">
        <v>163</v>
      </c>
      <c r="E622" t="s">
        <v>143</v>
      </c>
      <c r="F622">
        <v>36002708</v>
      </c>
      <c r="G622" t="s">
        <v>137</v>
      </c>
      <c r="H622" t="s">
        <v>138</v>
      </c>
      <c r="I622" t="s">
        <v>139</v>
      </c>
    </row>
    <row r="623" spans="1:9" x14ac:dyDescent="0.2">
      <c r="A623">
        <v>621</v>
      </c>
      <c r="B623" t="s">
        <v>3330</v>
      </c>
      <c r="C623" t="s">
        <v>1336</v>
      </c>
      <c r="D623" t="s">
        <v>208</v>
      </c>
      <c r="E623" t="s">
        <v>143</v>
      </c>
      <c r="F623">
        <v>24949200</v>
      </c>
      <c r="G623" t="s">
        <v>195</v>
      </c>
      <c r="H623" t="s">
        <v>195</v>
      </c>
      <c r="I623" t="s">
        <v>184</v>
      </c>
    </row>
    <row r="624" spans="1:9" x14ac:dyDescent="0.2">
      <c r="A624">
        <v>622</v>
      </c>
      <c r="B624" t="s">
        <v>1337</v>
      </c>
      <c r="C624" t="s">
        <v>1338</v>
      </c>
      <c r="D624" t="s">
        <v>671</v>
      </c>
      <c r="E624" t="s">
        <v>143</v>
      </c>
      <c r="F624">
        <v>12000000</v>
      </c>
      <c r="G624" t="s">
        <v>672</v>
      </c>
      <c r="H624" t="s">
        <v>672</v>
      </c>
      <c r="I624" t="s">
        <v>139</v>
      </c>
    </row>
    <row r="625" spans="1:9" x14ac:dyDescent="0.2">
      <c r="A625">
        <v>623</v>
      </c>
      <c r="B625" t="s">
        <v>1339</v>
      </c>
      <c r="C625" t="s">
        <v>1340</v>
      </c>
      <c r="D625" t="s">
        <v>513</v>
      </c>
      <c r="E625" t="s">
        <v>136</v>
      </c>
      <c r="F625">
        <v>220000000</v>
      </c>
      <c r="G625" t="s">
        <v>229</v>
      </c>
      <c r="H625" t="s">
        <v>229</v>
      </c>
      <c r="I625" t="s">
        <v>217</v>
      </c>
    </row>
    <row r="626" spans="1:9" x14ac:dyDescent="0.2">
      <c r="A626">
        <v>624</v>
      </c>
      <c r="B626" t="s">
        <v>1341</v>
      </c>
      <c r="C626" t="s">
        <v>1342</v>
      </c>
      <c r="D626" t="s">
        <v>166</v>
      </c>
      <c r="E626" t="s">
        <v>143</v>
      </c>
      <c r="F626">
        <v>89116411</v>
      </c>
      <c r="G626" t="s">
        <v>166</v>
      </c>
      <c r="H626" t="s">
        <v>166</v>
      </c>
      <c r="I626" t="s">
        <v>160</v>
      </c>
    </row>
    <row r="627" spans="1:9" x14ac:dyDescent="0.2">
      <c r="A627">
        <v>625</v>
      </c>
      <c r="B627" t="s">
        <v>3053</v>
      </c>
      <c r="C627" t="s">
        <v>3054</v>
      </c>
      <c r="D627" t="s">
        <v>215</v>
      </c>
      <c r="E627" t="s">
        <v>136</v>
      </c>
      <c r="F627">
        <v>91804980</v>
      </c>
      <c r="G627" t="s">
        <v>216</v>
      </c>
      <c r="H627" t="s">
        <v>216</v>
      </c>
      <c r="I627" t="s">
        <v>217</v>
      </c>
    </row>
    <row r="628" spans="1:9" x14ac:dyDescent="0.2">
      <c r="A628">
        <v>626</v>
      </c>
      <c r="B628" t="s">
        <v>1343</v>
      </c>
      <c r="C628" t="s">
        <v>1344</v>
      </c>
      <c r="D628" t="s">
        <v>513</v>
      </c>
      <c r="E628" t="s">
        <v>136</v>
      </c>
      <c r="F628">
        <v>20000000</v>
      </c>
      <c r="G628" t="s">
        <v>229</v>
      </c>
      <c r="H628" t="s">
        <v>229</v>
      </c>
      <c r="I628" t="s">
        <v>217</v>
      </c>
    </row>
    <row r="629" spans="1:9" x14ac:dyDescent="0.2">
      <c r="A629">
        <v>627</v>
      </c>
      <c r="B629" t="s">
        <v>3331</v>
      </c>
      <c r="C629" t="s">
        <v>1345</v>
      </c>
      <c r="D629" t="s">
        <v>806</v>
      </c>
      <c r="E629" t="s">
        <v>143</v>
      </c>
      <c r="F629">
        <v>13104000</v>
      </c>
      <c r="G629" t="s">
        <v>212</v>
      </c>
      <c r="H629" t="s">
        <v>183</v>
      </c>
      <c r="I629" t="s">
        <v>184</v>
      </c>
    </row>
    <row r="630" spans="1:9" x14ac:dyDescent="0.2">
      <c r="A630">
        <v>628</v>
      </c>
      <c r="B630" t="s">
        <v>3332</v>
      </c>
      <c r="C630" t="s">
        <v>1346</v>
      </c>
      <c r="D630" t="s">
        <v>208</v>
      </c>
      <c r="E630" t="s">
        <v>143</v>
      </c>
      <c r="F630">
        <v>10000000</v>
      </c>
      <c r="G630" t="s">
        <v>195</v>
      </c>
      <c r="H630" t="s">
        <v>195</v>
      </c>
      <c r="I630" t="s">
        <v>184</v>
      </c>
    </row>
    <row r="631" spans="1:9" x14ac:dyDescent="0.2">
      <c r="A631">
        <v>629</v>
      </c>
      <c r="B631" t="s">
        <v>3333</v>
      </c>
      <c r="C631" t="s">
        <v>1347</v>
      </c>
      <c r="D631" t="s">
        <v>208</v>
      </c>
      <c r="E631" t="s">
        <v>136</v>
      </c>
      <c r="F631">
        <v>9999944</v>
      </c>
      <c r="G631" t="s">
        <v>195</v>
      </c>
      <c r="H631" t="s">
        <v>195</v>
      </c>
      <c r="I631" t="s">
        <v>184</v>
      </c>
    </row>
    <row r="632" spans="1:9" x14ac:dyDescent="0.2">
      <c r="A632">
        <v>630</v>
      </c>
      <c r="B632" t="s">
        <v>3334</v>
      </c>
      <c r="C632" t="s">
        <v>1348</v>
      </c>
      <c r="D632" t="s">
        <v>208</v>
      </c>
      <c r="E632" t="s">
        <v>136</v>
      </c>
      <c r="F632">
        <v>15000000</v>
      </c>
      <c r="G632" t="s">
        <v>195</v>
      </c>
      <c r="H632" t="s">
        <v>195</v>
      </c>
      <c r="I632" t="s">
        <v>184</v>
      </c>
    </row>
    <row r="633" spans="1:9" x14ac:dyDescent="0.2">
      <c r="A633">
        <v>631</v>
      </c>
      <c r="B633" t="s">
        <v>1349</v>
      </c>
      <c r="C633" t="s">
        <v>1350</v>
      </c>
      <c r="D633" t="s">
        <v>166</v>
      </c>
      <c r="E633" t="s">
        <v>136</v>
      </c>
      <c r="F633">
        <v>7500000</v>
      </c>
      <c r="G633" t="s">
        <v>166</v>
      </c>
      <c r="H633" t="s">
        <v>166</v>
      </c>
      <c r="I633" t="s">
        <v>160</v>
      </c>
    </row>
    <row r="634" spans="1:9" x14ac:dyDescent="0.2">
      <c r="A634">
        <v>632</v>
      </c>
      <c r="B634" t="s">
        <v>1351</v>
      </c>
      <c r="C634" t="s">
        <v>1352</v>
      </c>
      <c r="D634" t="s">
        <v>208</v>
      </c>
      <c r="E634" t="s">
        <v>143</v>
      </c>
      <c r="F634">
        <v>30242878</v>
      </c>
      <c r="G634" t="s">
        <v>195</v>
      </c>
      <c r="H634" t="s">
        <v>195</v>
      </c>
      <c r="I634" t="s">
        <v>184</v>
      </c>
    </row>
    <row r="635" spans="1:9" x14ac:dyDescent="0.2">
      <c r="A635">
        <v>633</v>
      </c>
      <c r="B635" t="s">
        <v>1353</v>
      </c>
      <c r="C635" t="s">
        <v>1354</v>
      </c>
      <c r="D635" t="s">
        <v>163</v>
      </c>
      <c r="E635" t="s">
        <v>136</v>
      </c>
      <c r="F635">
        <v>19511389</v>
      </c>
      <c r="G635" t="s">
        <v>137</v>
      </c>
      <c r="H635" t="s">
        <v>138</v>
      </c>
      <c r="I635" t="s">
        <v>139</v>
      </c>
    </row>
    <row r="636" spans="1:9" x14ac:dyDescent="0.2">
      <c r="A636">
        <v>634</v>
      </c>
      <c r="B636" t="s">
        <v>1355</v>
      </c>
      <c r="C636" t="s">
        <v>1356</v>
      </c>
      <c r="D636" t="s">
        <v>671</v>
      </c>
      <c r="E636" t="s">
        <v>167</v>
      </c>
      <c r="F636">
        <v>892511965</v>
      </c>
      <c r="G636" t="s">
        <v>672</v>
      </c>
      <c r="H636" t="s">
        <v>672</v>
      </c>
      <c r="I636" t="s">
        <v>139</v>
      </c>
    </row>
    <row r="637" spans="1:9" x14ac:dyDescent="0.2">
      <c r="A637">
        <v>635</v>
      </c>
      <c r="B637" t="s">
        <v>1357</v>
      </c>
      <c r="C637" t="s">
        <v>1358</v>
      </c>
      <c r="D637" t="s">
        <v>367</v>
      </c>
      <c r="E637" t="s">
        <v>136</v>
      </c>
      <c r="F637">
        <v>13650000</v>
      </c>
      <c r="G637" t="s">
        <v>159</v>
      </c>
      <c r="H637" t="s">
        <v>159</v>
      </c>
      <c r="I637" t="s">
        <v>160</v>
      </c>
    </row>
    <row r="638" spans="1:9" x14ac:dyDescent="0.2">
      <c r="A638">
        <v>636</v>
      </c>
      <c r="B638" t="s">
        <v>1359</v>
      </c>
      <c r="C638" t="s">
        <v>1360</v>
      </c>
      <c r="D638" t="s">
        <v>153</v>
      </c>
      <c r="E638" t="s">
        <v>136</v>
      </c>
      <c r="F638">
        <v>227038291</v>
      </c>
      <c r="G638" t="s">
        <v>154</v>
      </c>
      <c r="H638" t="s">
        <v>155</v>
      </c>
      <c r="I638" t="s">
        <v>139</v>
      </c>
    </row>
    <row r="639" spans="1:9" x14ac:dyDescent="0.2">
      <c r="A639">
        <v>637</v>
      </c>
      <c r="B639" t="s">
        <v>3335</v>
      </c>
      <c r="C639" t="s">
        <v>1361</v>
      </c>
      <c r="D639" t="s">
        <v>208</v>
      </c>
      <c r="E639" t="s">
        <v>143</v>
      </c>
      <c r="F639">
        <v>43489334</v>
      </c>
      <c r="G639" t="s">
        <v>195</v>
      </c>
      <c r="H639" t="s">
        <v>195</v>
      </c>
      <c r="I639" t="s">
        <v>184</v>
      </c>
    </row>
    <row r="640" spans="1:9" x14ac:dyDescent="0.2">
      <c r="A640">
        <v>638</v>
      </c>
      <c r="B640" t="s">
        <v>1362</v>
      </c>
      <c r="C640" t="s">
        <v>1363</v>
      </c>
      <c r="D640" t="s">
        <v>1364</v>
      </c>
      <c r="E640" t="s">
        <v>143</v>
      </c>
      <c r="F640">
        <v>2214394174</v>
      </c>
      <c r="G640" t="s">
        <v>326</v>
      </c>
      <c r="H640" t="s">
        <v>327</v>
      </c>
      <c r="I640" t="s">
        <v>217</v>
      </c>
    </row>
    <row r="641" spans="1:9" x14ac:dyDescent="0.2">
      <c r="A641">
        <v>639</v>
      </c>
      <c r="B641" t="s">
        <v>1365</v>
      </c>
      <c r="C641" t="s">
        <v>1366</v>
      </c>
      <c r="D641" t="s">
        <v>293</v>
      </c>
      <c r="E641" t="s">
        <v>167</v>
      </c>
      <c r="F641">
        <v>27470046</v>
      </c>
      <c r="G641" t="s">
        <v>144</v>
      </c>
      <c r="H641" t="s">
        <v>144</v>
      </c>
      <c r="I641" t="s">
        <v>145</v>
      </c>
    </row>
    <row r="642" spans="1:9" x14ac:dyDescent="0.2">
      <c r="A642">
        <v>640</v>
      </c>
      <c r="B642" t="s">
        <v>3336</v>
      </c>
      <c r="C642" t="s">
        <v>1367</v>
      </c>
      <c r="D642" t="s">
        <v>194</v>
      </c>
      <c r="E642" t="s">
        <v>143</v>
      </c>
      <c r="F642">
        <v>38525250</v>
      </c>
      <c r="G642" t="s">
        <v>195</v>
      </c>
      <c r="H642" t="s">
        <v>195</v>
      </c>
      <c r="I642" t="s">
        <v>184</v>
      </c>
    </row>
    <row r="643" spans="1:9" x14ac:dyDescent="0.2">
      <c r="A643">
        <v>641</v>
      </c>
      <c r="B643" t="s">
        <v>1368</v>
      </c>
      <c r="C643" t="s">
        <v>1369</v>
      </c>
      <c r="D643" t="s">
        <v>383</v>
      </c>
      <c r="E643" t="s">
        <v>136</v>
      </c>
      <c r="F643">
        <v>87600000</v>
      </c>
      <c r="G643" t="s">
        <v>311</v>
      </c>
      <c r="H643" t="s">
        <v>312</v>
      </c>
      <c r="I643" t="s">
        <v>313</v>
      </c>
    </row>
    <row r="644" spans="1:9" x14ac:dyDescent="0.2">
      <c r="A644">
        <v>642</v>
      </c>
      <c r="B644" t="s">
        <v>1370</v>
      </c>
      <c r="C644" t="s">
        <v>1371</v>
      </c>
      <c r="D644" t="s">
        <v>367</v>
      </c>
      <c r="E644" t="s">
        <v>136</v>
      </c>
      <c r="F644">
        <v>83150661</v>
      </c>
      <c r="G644" t="s">
        <v>159</v>
      </c>
      <c r="H644" t="s">
        <v>159</v>
      </c>
      <c r="I644" t="s">
        <v>160</v>
      </c>
    </row>
    <row r="645" spans="1:9" x14ac:dyDescent="0.2">
      <c r="A645">
        <v>643</v>
      </c>
      <c r="B645" t="s">
        <v>1372</v>
      </c>
      <c r="C645" t="s">
        <v>1373</v>
      </c>
      <c r="D645" t="s">
        <v>215</v>
      </c>
      <c r="E645" t="s">
        <v>136</v>
      </c>
      <c r="F645">
        <v>9000000</v>
      </c>
      <c r="G645" t="s">
        <v>216</v>
      </c>
      <c r="H645" t="s">
        <v>216</v>
      </c>
      <c r="I645" t="s">
        <v>217</v>
      </c>
    </row>
    <row r="646" spans="1:9" x14ac:dyDescent="0.2">
      <c r="A646">
        <v>644</v>
      </c>
      <c r="B646" t="s">
        <v>3337</v>
      </c>
      <c r="C646" t="s">
        <v>1374</v>
      </c>
      <c r="D646" t="s">
        <v>208</v>
      </c>
      <c r="E646" t="s">
        <v>136</v>
      </c>
      <c r="F646">
        <v>3800000</v>
      </c>
      <c r="G646" t="s">
        <v>195</v>
      </c>
      <c r="H646" t="s">
        <v>195</v>
      </c>
      <c r="I646" t="s">
        <v>184</v>
      </c>
    </row>
    <row r="647" spans="1:9" x14ac:dyDescent="0.2">
      <c r="A647">
        <v>645</v>
      </c>
      <c r="B647" t="s">
        <v>1375</v>
      </c>
      <c r="C647" t="s">
        <v>1376</v>
      </c>
      <c r="D647" t="s">
        <v>153</v>
      </c>
      <c r="E647" t="s">
        <v>136</v>
      </c>
      <c r="F647">
        <v>12807000</v>
      </c>
      <c r="G647" t="s">
        <v>154</v>
      </c>
      <c r="H647" t="s">
        <v>155</v>
      </c>
      <c r="I647" t="s">
        <v>139</v>
      </c>
    </row>
    <row r="648" spans="1:9" x14ac:dyDescent="0.2">
      <c r="A648">
        <v>646</v>
      </c>
      <c r="B648" t="s">
        <v>3338</v>
      </c>
      <c r="C648" t="s">
        <v>1377</v>
      </c>
      <c r="D648" t="s">
        <v>208</v>
      </c>
      <c r="E648" t="s">
        <v>167</v>
      </c>
      <c r="F648">
        <v>20000000</v>
      </c>
      <c r="G648" t="s">
        <v>195</v>
      </c>
      <c r="H648" t="s">
        <v>195</v>
      </c>
      <c r="I648" t="s">
        <v>184</v>
      </c>
    </row>
    <row r="649" spans="1:9" x14ac:dyDescent="0.2">
      <c r="A649">
        <v>647</v>
      </c>
      <c r="B649" t="s">
        <v>3339</v>
      </c>
      <c r="C649" t="s">
        <v>1378</v>
      </c>
      <c r="D649" t="s">
        <v>208</v>
      </c>
      <c r="E649" t="s">
        <v>136</v>
      </c>
      <c r="F649">
        <v>4000000</v>
      </c>
      <c r="G649" t="s">
        <v>195</v>
      </c>
      <c r="H649" t="s">
        <v>195</v>
      </c>
      <c r="I649" t="s">
        <v>184</v>
      </c>
    </row>
    <row r="650" spans="1:9" x14ac:dyDescent="0.2">
      <c r="A650">
        <v>648</v>
      </c>
      <c r="B650" t="s">
        <v>3340</v>
      </c>
      <c r="C650" t="s">
        <v>1379</v>
      </c>
      <c r="D650" t="s">
        <v>208</v>
      </c>
      <c r="E650" t="s">
        <v>136</v>
      </c>
      <c r="F650">
        <v>30599923</v>
      </c>
      <c r="G650" t="s">
        <v>195</v>
      </c>
      <c r="H650" t="s">
        <v>195</v>
      </c>
      <c r="I650" t="s">
        <v>184</v>
      </c>
    </row>
    <row r="651" spans="1:9" x14ac:dyDescent="0.2">
      <c r="A651">
        <v>649</v>
      </c>
      <c r="B651" t="s">
        <v>1380</v>
      </c>
      <c r="C651" t="s">
        <v>1381</v>
      </c>
      <c r="D651" t="s">
        <v>690</v>
      </c>
      <c r="E651" t="s">
        <v>143</v>
      </c>
      <c r="F651">
        <v>32185000</v>
      </c>
      <c r="G651" t="s">
        <v>679</v>
      </c>
      <c r="H651" t="s">
        <v>654</v>
      </c>
      <c r="I651" t="s">
        <v>654</v>
      </c>
    </row>
    <row r="652" spans="1:9" x14ac:dyDescent="0.2">
      <c r="A652">
        <v>650</v>
      </c>
      <c r="B652" t="s">
        <v>1382</v>
      </c>
      <c r="C652" t="s">
        <v>1383</v>
      </c>
      <c r="D652" t="s">
        <v>166</v>
      </c>
      <c r="E652" t="s">
        <v>167</v>
      </c>
      <c r="F652">
        <v>329999929</v>
      </c>
      <c r="G652" t="s">
        <v>166</v>
      </c>
      <c r="H652" t="s">
        <v>166</v>
      </c>
      <c r="I652" t="s">
        <v>160</v>
      </c>
    </row>
    <row r="653" spans="1:9" x14ac:dyDescent="0.2">
      <c r="A653">
        <v>651</v>
      </c>
      <c r="B653" t="s">
        <v>1384</v>
      </c>
      <c r="C653" t="s">
        <v>1385</v>
      </c>
      <c r="D653" t="s">
        <v>153</v>
      </c>
      <c r="E653" t="s">
        <v>143</v>
      </c>
      <c r="F653">
        <v>273172668</v>
      </c>
      <c r="G653" t="s">
        <v>154</v>
      </c>
      <c r="H653" t="s">
        <v>155</v>
      </c>
      <c r="I653" t="s">
        <v>139</v>
      </c>
    </row>
    <row r="654" spans="1:9" x14ac:dyDescent="0.2">
      <c r="A654">
        <v>652</v>
      </c>
      <c r="B654" t="s">
        <v>1386</v>
      </c>
      <c r="C654" t="s">
        <v>1387</v>
      </c>
      <c r="D654" t="s">
        <v>166</v>
      </c>
      <c r="E654" t="s">
        <v>167</v>
      </c>
      <c r="F654">
        <v>173490193</v>
      </c>
      <c r="G654" t="s">
        <v>166</v>
      </c>
      <c r="H654" t="s">
        <v>166</v>
      </c>
      <c r="I654" t="s">
        <v>160</v>
      </c>
    </row>
    <row r="655" spans="1:9" x14ac:dyDescent="0.2">
      <c r="A655">
        <v>653</v>
      </c>
      <c r="B655" t="s">
        <v>1388</v>
      </c>
      <c r="C655" t="s">
        <v>1389</v>
      </c>
      <c r="D655" t="s">
        <v>237</v>
      </c>
      <c r="E655" t="s">
        <v>136</v>
      </c>
      <c r="F655">
        <v>61804472</v>
      </c>
      <c r="G655" t="s">
        <v>154</v>
      </c>
      <c r="H655" t="s">
        <v>155</v>
      </c>
      <c r="I655" t="s">
        <v>139</v>
      </c>
    </row>
    <row r="656" spans="1:9" x14ac:dyDescent="0.2">
      <c r="A656">
        <v>654</v>
      </c>
      <c r="B656" t="s">
        <v>1390</v>
      </c>
      <c r="C656" t="s">
        <v>1391</v>
      </c>
      <c r="D656" t="s">
        <v>166</v>
      </c>
      <c r="E656" t="s">
        <v>167</v>
      </c>
      <c r="F656">
        <v>41236777</v>
      </c>
      <c r="G656" t="s">
        <v>166</v>
      </c>
      <c r="H656" t="s">
        <v>166</v>
      </c>
      <c r="I656" t="s">
        <v>160</v>
      </c>
    </row>
    <row r="657" spans="1:9" x14ac:dyDescent="0.2">
      <c r="A657">
        <v>655</v>
      </c>
      <c r="B657" t="s">
        <v>1392</v>
      </c>
      <c r="C657" t="s">
        <v>1393</v>
      </c>
      <c r="D657" t="s">
        <v>400</v>
      </c>
      <c r="E657" t="s">
        <v>136</v>
      </c>
      <c r="F657">
        <v>87140984</v>
      </c>
      <c r="G657" t="s">
        <v>348</v>
      </c>
      <c r="H657" t="s">
        <v>155</v>
      </c>
      <c r="I657" t="s">
        <v>139</v>
      </c>
    </row>
    <row r="658" spans="1:9" x14ac:dyDescent="0.2">
      <c r="A658">
        <v>656</v>
      </c>
      <c r="B658" t="s">
        <v>1394</v>
      </c>
      <c r="C658" t="s">
        <v>1395</v>
      </c>
      <c r="D658" t="s">
        <v>215</v>
      </c>
      <c r="E658" t="s">
        <v>136</v>
      </c>
      <c r="F658">
        <v>2141928</v>
      </c>
      <c r="G658" t="s">
        <v>216</v>
      </c>
      <c r="H658" t="s">
        <v>216</v>
      </c>
      <c r="I658" t="s">
        <v>217</v>
      </c>
    </row>
    <row r="659" spans="1:9" x14ac:dyDescent="0.2">
      <c r="A659">
        <v>657</v>
      </c>
      <c r="B659" t="s">
        <v>1396</v>
      </c>
      <c r="C659" t="s">
        <v>1397</v>
      </c>
      <c r="D659" t="s">
        <v>166</v>
      </c>
      <c r="E659" t="s">
        <v>143</v>
      </c>
      <c r="F659">
        <v>377748384</v>
      </c>
      <c r="G659" t="s">
        <v>166</v>
      </c>
      <c r="H659" t="s">
        <v>166</v>
      </c>
      <c r="I659" t="s">
        <v>160</v>
      </c>
    </row>
    <row r="660" spans="1:9" x14ac:dyDescent="0.2">
      <c r="A660">
        <v>658</v>
      </c>
      <c r="B660" t="s">
        <v>1398</v>
      </c>
      <c r="C660" t="s">
        <v>1399</v>
      </c>
      <c r="D660" t="s">
        <v>153</v>
      </c>
      <c r="E660" t="s">
        <v>136</v>
      </c>
      <c r="F660">
        <v>19641431</v>
      </c>
      <c r="G660" t="s">
        <v>154</v>
      </c>
      <c r="H660" t="s">
        <v>155</v>
      </c>
      <c r="I660" t="s">
        <v>139</v>
      </c>
    </row>
    <row r="661" spans="1:9" x14ac:dyDescent="0.2">
      <c r="A661">
        <v>659</v>
      </c>
      <c r="B661" t="s">
        <v>3341</v>
      </c>
      <c r="C661" t="s">
        <v>1400</v>
      </c>
      <c r="D661" t="s">
        <v>211</v>
      </c>
      <c r="E661" t="s">
        <v>143</v>
      </c>
      <c r="F661">
        <v>38199492</v>
      </c>
      <c r="G661" t="s">
        <v>212</v>
      </c>
      <c r="H661" t="s">
        <v>183</v>
      </c>
      <c r="I661" t="s">
        <v>184</v>
      </c>
    </row>
    <row r="662" spans="1:9" x14ac:dyDescent="0.2">
      <c r="A662">
        <v>660</v>
      </c>
      <c r="B662" t="s">
        <v>3342</v>
      </c>
      <c r="C662" t="s">
        <v>1401</v>
      </c>
      <c r="D662" t="s">
        <v>567</v>
      </c>
      <c r="E662" t="s">
        <v>136</v>
      </c>
      <c r="F662">
        <v>6100391</v>
      </c>
      <c r="G662" t="s">
        <v>182</v>
      </c>
      <c r="H662" t="s">
        <v>183</v>
      </c>
      <c r="I662" t="s">
        <v>184</v>
      </c>
    </row>
    <row r="663" spans="1:9" x14ac:dyDescent="0.2">
      <c r="A663">
        <v>661</v>
      </c>
      <c r="B663" t="s">
        <v>3343</v>
      </c>
      <c r="C663" t="s">
        <v>1402</v>
      </c>
      <c r="D663" t="s">
        <v>283</v>
      </c>
      <c r="E663" t="s">
        <v>136</v>
      </c>
      <c r="F663">
        <v>36000000</v>
      </c>
      <c r="G663" t="s">
        <v>284</v>
      </c>
      <c r="H663" t="s">
        <v>183</v>
      </c>
      <c r="I663" t="s">
        <v>184</v>
      </c>
    </row>
    <row r="664" spans="1:9" x14ac:dyDescent="0.2">
      <c r="A664">
        <v>662</v>
      </c>
      <c r="B664" t="s">
        <v>3344</v>
      </c>
      <c r="C664" t="s">
        <v>1403</v>
      </c>
      <c r="D664" t="s">
        <v>289</v>
      </c>
      <c r="E664" t="s">
        <v>136</v>
      </c>
      <c r="F664">
        <v>3599948</v>
      </c>
      <c r="G664" t="s">
        <v>290</v>
      </c>
      <c r="H664" t="s">
        <v>183</v>
      </c>
      <c r="I664" t="s">
        <v>184</v>
      </c>
    </row>
    <row r="665" spans="1:9" x14ac:dyDescent="0.2">
      <c r="A665">
        <v>663</v>
      </c>
      <c r="B665" t="s">
        <v>1404</v>
      </c>
      <c r="C665" t="s">
        <v>1405</v>
      </c>
      <c r="D665" t="s">
        <v>240</v>
      </c>
      <c r="E665" t="s">
        <v>143</v>
      </c>
      <c r="F665">
        <v>154042762</v>
      </c>
      <c r="G665" t="s">
        <v>240</v>
      </c>
      <c r="H665" t="s">
        <v>241</v>
      </c>
      <c r="I665" t="s">
        <v>242</v>
      </c>
    </row>
    <row r="666" spans="1:9" x14ac:dyDescent="0.2">
      <c r="A666">
        <v>664</v>
      </c>
      <c r="B666" t="s">
        <v>1406</v>
      </c>
      <c r="C666" t="s">
        <v>1407</v>
      </c>
      <c r="D666" t="s">
        <v>215</v>
      </c>
      <c r="E666" t="s">
        <v>136</v>
      </c>
      <c r="F666">
        <v>1200000</v>
      </c>
      <c r="G666" t="s">
        <v>216</v>
      </c>
      <c r="H666" t="s">
        <v>216</v>
      </c>
      <c r="I666" t="s">
        <v>217</v>
      </c>
    </row>
    <row r="667" spans="1:9" x14ac:dyDescent="0.2">
      <c r="A667">
        <v>665</v>
      </c>
      <c r="B667" t="s">
        <v>3345</v>
      </c>
      <c r="C667" t="s">
        <v>1408</v>
      </c>
      <c r="D667" t="s">
        <v>208</v>
      </c>
      <c r="E667" t="s">
        <v>167</v>
      </c>
      <c r="F667">
        <v>1800000</v>
      </c>
      <c r="G667" t="s">
        <v>195</v>
      </c>
      <c r="H667" t="s">
        <v>195</v>
      </c>
      <c r="I667" t="s">
        <v>184</v>
      </c>
    </row>
    <row r="668" spans="1:9" x14ac:dyDescent="0.2">
      <c r="A668">
        <v>666</v>
      </c>
      <c r="B668" t="s">
        <v>3346</v>
      </c>
      <c r="C668" t="s">
        <v>1409</v>
      </c>
      <c r="D668" t="s">
        <v>208</v>
      </c>
      <c r="E668" t="s">
        <v>136</v>
      </c>
      <c r="F668">
        <v>20809702</v>
      </c>
      <c r="G668" t="s">
        <v>195</v>
      </c>
      <c r="H668" t="s">
        <v>195</v>
      </c>
      <c r="I668" t="s">
        <v>184</v>
      </c>
    </row>
    <row r="669" spans="1:9" x14ac:dyDescent="0.2">
      <c r="A669">
        <v>667</v>
      </c>
      <c r="B669" t="s">
        <v>3347</v>
      </c>
      <c r="C669" t="s">
        <v>1410</v>
      </c>
      <c r="D669" t="s">
        <v>283</v>
      </c>
      <c r="E669" t="s">
        <v>167</v>
      </c>
      <c r="F669">
        <v>18000000</v>
      </c>
      <c r="G669" t="s">
        <v>284</v>
      </c>
      <c r="H669" t="s">
        <v>183</v>
      </c>
      <c r="I669" t="s">
        <v>184</v>
      </c>
    </row>
    <row r="670" spans="1:9" x14ac:dyDescent="0.2">
      <c r="A670">
        <v>668</v>
      </c>
      <c r="B670" t="s">
        <v>3348</v>
      </c>
      <c r="C670" t="s">
        <v>1411</v>
      </c>
      <c r="D670" t="s">
        <v>181</v>
      </c>
      <c r="E670" t="s">
        <v>167</v>
      </c>
      <c r="F670">
        <v>213835775</v>
      </c>
      <c r="G670" t="s">
        <v>182</v>
      </c>
      <c r="H670" t="s">
        <v>183</v>
      </c>
      <c r="I670" t="s">
        <v>184</v>
      </c>
    </row>
    <row r="671" spans="1:9" x14ac:dyDescent="0.2">
      <c r="A671">
        <v>669</v>
      </c>
      <c r="B671" t="s">
        <v>1412</v>
      </c>
      <c r="C671" t="s">
        <v>1413</v>
      </c>
      <c r="D671" t="s">
        <v>142</v>
      </c>
      <c r="E671" t="s">
        <v>136</v>
      </c>
      <c r="F671">
        <v>17500000</v>
      </c>
      <c r="G671" t="s">
        <v>144</v>
      </c>
      <c r="H671" t="s">
        <v>144</v>
      </c>
      <c r="I671" t="s">
        <v>145</v>
      </c>
    </row>
    <row r="672" spans="1:9" x14ac:dyDescent="0.2">
      <c r="A672">
        <v>670</v>
      </c>
      <c r="B672" t="s">
        <v>3349</v>
      </c>
      <c r="C672" t="s">
        <v>1414</v>
      </c>
      <c r="D672" t="s">
        <v>806</v>
      </c>
      <c r="E672" t="s">
        <v>136</v>
      </c>
      <c r="F672">
        <v>8800000</v>
      </c>
      <c r="G672" t="s">
        <v>212</v>
      </c>
      <c r="H672" t="s">
        <v>183</v>
      </c>
      <c r="I672" t="s">
        <v>184</v>
      </c>
    </row>
    <row r="673" spans="1:9" x14ac:dyDescent="0.2">
      <c r="A673">
        <v>671</v>
      </c>
      <c r="B673" t="s">
        <v>1415</v>
      </c>
      <c r="C673" t="s">
        <v>1416</v>
      </c>
      <c r="D673" t="s">
        <v>330</v>
      </c>
      <c r="E673" t="s">
        <v>136</v>
      </c>
      <c r="F673">
        <v>45000000</v>
      </c>
      <c r="G673" t="s">
        <v>330</v>
      </c>
      <c r="H673" t="s">
        <v>312</v>
      </c>
      <c r="I673" t="s">
        <v>313</v>
      </c>
    </row>
    <row r="674" spans="1:9" x14ac:dyDescent="0.2">
      <c r="A674">
        <v>672</v>
      </c>
      <c r="B674" t="s">
        <v>3350</v>
      </c>
      <c r="C674" t="s">
        <v>1417</v>
      </c>
      <c r="D674" t="s">
        <v>211</v>
      </c>
      <c r="E674" t="s">
        <v>136</v>
      </c>
      <c r="F674">
        <v>15008492</v>
      </c>
      <c r="G674" t="s">
        <v>212</v>
      </c>
      <c r="H674" t="s">
        <v>183</v>
      </c>
      <c r="I674" t="s">
        <v>184</v>
      </c>
    </row>
    <row r="675" spans="1:9" x14ac:dyDescent="0.2">
      <c r="A675">
        <v>673</v>
      </c>
      <c r="B675" t="s">
        <v>1418</v>
      </c>
      <c r="C675" t="s">
        <v>1419</v>
      </c>
      <c r="D675" t="s">
        <v>166</v>
      </c>
      <c r="E675" t="s">
        <v>136</v>
      </c>
      <c r="F675">
        <v>938463607</v>
      </c>
      <c r="G675" t="s">
        <v>166</v>
      </c>
      <c r="H675" t="s">
        <v>166</v>
      </c>
      <c r="I675" t="s">
        <v>160</v>
      </c>
    </row>
    <row r="676" spans="1:9" x14ac:dyDescent="0.2">
      <c r="A676">
        <v>674</v>
      </c>
      <c r="B676" t="s">
        <v>1420</v>
      </c>
      <c r="C676" t="s">
        <v>1421</v>
      </c>
      <c r="D676" t="s">
        <v>166</v>
      </c>
      <c r="E676" t="s">
        <v>143</v>
      </c>
      <c r="F676">
        <v>96375409</v>
      </c>
      <c r="G676" t="s">
        <v>166</v>
      </c>
      <c r="H676" t="s">
        <v>166</v>
      </c>
      <c r="I676" t="s">
        <v>160</v>
      </c>
    </row>
    <row r="677" spans="1:9" x14ac:dyDescent="0.2">
      <c r="A677">
        <v>675</v>
      </c>
      <c r="B677" t="s">
        <v>1422</v>
      </c>
      <c r="C677" t="s">
        <v>1423</v>
      </c>
      <c r="D677" t="s">
        <v>690</v>
      </c>
      <c r="E677" t="s">
        <v>143</v>
      </c>
      <c r="F677">
        <v>24533591</v>
      </c>
      <c r="G677" t="s">
        <v>679</v>
      </c>
      <c r="H677" t="s">
        <v>654</v>
      </c>
      <c r="I677" t="s">
        <v>654</v>
      </c>
    </row>
    <row r="678" spans="1:9" x14ac:dyDescent="0.2">
      <c r="A678">
        <v>676</v>
      </c>
      <c r="B678" t="s">
        <v>1425</v>
      </c>
      <c r="C678" t="s">
        <v>1426</v>
      </c>
      <c r="D678" t="s">
        <v>355</v>
      </c>
      <c r="E678" t="s">
        <v>167</v>
      </c>
      <c r="F678">
        <v>31843305</v>
      </c>
      <c r="G678" t="s">
        <v>356</v>
      </c>
      <c r="H678" t="s">
        <v>150</v>
      </c>
      <c r="I678" t="s">
        <v>145</v>
      </c>
    </row>
    <row r="679" spans="1:9" x14ac:dyDescent="0.2">
      <c r="A679">
        <v>677</v>
      </c>
      <c r="B679" t="s">
        <v>3351</v>
      </c>
      <c r="C679" t="s">
        <v>1427</v>
      </c>
      <c r="D679" t="s">
        <v>289</v>
      </c>
      <c r="E679" t="s">
        <v>136</v>
      </c>
      <c r="F679">
        <v>26459924</v>
      </c>
      <c r="G679" t="s">
        <v>290</v>
      </c>
      <c r="H679" t="s">
        <v>183</v>
      </c>
      <c r="I679" t="s">
        <v>184</v>
      </c>
    </row>
    <row r="680" spans="1:9" x14ac:dyDescent="0.2">
      <c r="A680">
        <v>678</v>
      </c>
      <c r="B680" t="s">
        <v>1428</v>
      </c>
      <c r="C680" t="s">
        <v>1429</v>
      </c>
      <c r="D680" t="s">
        <v>158</v>
      </c>
      <c r="E680" t="s">
        <v>167</v>
      </c>
      <c r="F680">
        <v>104923336</v>
      </c>
      <c r="G680" t="s">
        <v>159</v>
      </c>
      <c r="H680" t="s">
        <v>159</v>
      </c>
      <c r="I680" t="s">
        <v>160</v>
      </c>
    </row>
    <row r="681" spans="1:9" x14ac:dyDescent="0.2">
      <c r="A681">
        <v>679</v>
      </c>
      <c r="B681" t="s">
        <v>1430</v>
      </c>
      <c r="C681" t="s">
        <v>1431</v>
      </c>
      <c r="D681" t="s">
        <v>153</v>
      </c>
      <c r="E681" t="s">
        <v>136</v>
      </c>
      <c r="F681">
        <v>15322723</v>
      </c>
      <c r="G681" t="s">
        <v>154</v>
      </c>
      <c r="H681" t="s">
        <v>155</v>
      </c>
      <c r="I681" t="s">
        <v>139</v>
      </c>
    </row>
    <row r="682" spans="1:9" x14ac:dyDescent="0.2">
      <c r="A682">
        <v>680</v>
      </c>
      <c r="B682" t="s">
        <v>1432</v>
      </c>
      <c r="C682" t="s">
        <v>1433</v>
      </c>
      <c r="D682" t="s">
        <v>268</v>
      </c>
      <c r="E682" t="s">
        <v>143</v>
      </c>
      <c r="F682">
        <v>112500171</v>
      </c>
      <c r="G682" t="s">
        <v>269</v>
      </c>
      <c r="H682" t="s">
        <v>241</v>
      </c>
      <c r="I682" t="s">
        <v>242</v>
      </c>
    </row>
    <row r="683" spans="1:9" x14ac:dyDescent="0.2">
      <c r="A683">
        <v>681</v>
      </c>
      <c r="B683" t="s">
        <v>1434</v>
      </c>
      <c r="C683" t="s">
        <v>1435</v>
      </c>
      <c r="D683" t="s">
        <v>166</v>
      </c>
      <c r="E683" t="s">
        <v>136</v>
      </c>
      <c r="F683">
        <v>23999999</v>
      </c>
      <c r="G683" t="s">
        <v>166</v>
      </c>
      <c r="H683" t="s">
        <v>166</v>
      </c>
      <c r="I683" t="s">
        <v>160</v>
      </c>
    </row>
    <row r="684" spans="1:9" x14ac:dyDescent="0.2">
      <c r="A684">
        <v>682</v>
      </c>
      <c r="B684" t="s">
        <v>1436</v>
      </c>
      <c r="C684" t="s">
        <v>1437</v>
      </c>
      <c r="D684" t="s">
        <v>166</v>
      </c>
      <c r="E684" t="s">
        <v>143</v>
      </c>
      <c r="F684">
        <v>941754759</v>
      </c>
      <c r="G684" t="s">
        <v>166</v>
      </c>
      <c r="H684" t="s">
        <v>166</v>
      </c>
      <c r="I684" t="s">
        <v>160</v>
      </c>
    </row>
    <row r="685" spans="1:9" x14ac:dyDescent="0.2">
      <c r="A685">
        <v>683</v>
      </c>
      <c r="B685" t="s">
        <v>1438</v>
      </c>
      <c r="C685" t="s">
        <v>1439</v>
      </c>
      <c r="D685" t="s">
        <v>149</v>
      </c>
      <c r="E685" t="s">
        <v>136</v>
      </c>
      <c r="F685">
        <v>8000000</v>
      </c>
      <c r="G685" t="s">
        <v>149</v>
      </c>
      <c r="H685" t="s">
        <v>150</v>
      </c>
      <c r="I685" t="s">
        <v>145</v>
      </c>
    </row>
    <row r="686" spans="1:9" x14ac:dyDescent="0.2">
      <c r="A686">
        <v>684</v>
      </c>
      <c r="B686" t="s">
        <v>1440</v>
      </c>
      <c r="C686" t="s">
        <v>1441</v>
      </c>
      <c r="D686" t="s">
        <v>237</v>
      </c>
      <c r="E686" t="s">
        <v>143</v>
      </c>
      <c r="F686">
        <v>289806316</v>
      </c>
      <c r="G686" t="s">
        <v>154</v>
      </c>
      <c r="H686" t="s">
        <v>155</v>
      </c>
      <c r="I686" t="s">
        <v>139</v>
      </c>
    </row>
    <row r="687" spans="1:9" x14ac:dyDescent="0.2">
      <c r="A687">
        <v>685</v>
      </c>
      <c r="B687" t="s">
        <v>1442</v>
      </c>
      <c r="C687" t="s">
        <v>1443</v>
      </c>
      <c r="D687" t="s">
        <v>166</v>
      </c>
      <c r="E687" t="s">
        <v>143</v>
      </c>
      <c r="F687">
        <v>1122214899</v>
      </c>
      <c r="G687" t="s">
        <v>166</v>
      </c>
      <c r="H687" t="s">
        <v>166</v>
      </c>
      <c r="I687" t="s">
        <v>160</v>
      </c>
    </row>
    <row r="688" spans="1:9" x14ac:dyDescent="0.2">
      <c r="A688">
        <v>686</v>
      </c>
      <c r="B688" t="s">
        <v>3352</v>
      </c>
      <c r="C688" t="s">
        <v>1444</v>
      </c>
      <c r="D688" t="s">
        <v>208</v>
      </c>
      <c r="E688" t="s">
        <v>167</v>
      </c>
      <c r="F688">
        <v>7596981</v>
      </c>
      <c r="G688" t="s">
        <v>195</v>
      </c>
      <c r="H688" t="s">
        <v>195</v>
      </c>
      <c r="I688" t="s">
        <v>184</v>
      </c>
    </row>
    <row r="689" spans="1:9" x14ac:dyDescent="0.2">
      <c r="A689">
        <v>687</v>
      </c>
      <c r="B689" t="s">
        <v>1445</v>
      </c>
      <c r="C689" t="s">
        <v>1446</v>
      </c>
      <c r="D689" t="s">
        <v>513</v>
      </c>
      <c r="E689" t="s">
        <v>136</v>
      </c>
      <c r="F689">
        <v>25430000</v>
      </c>
      <c r="G689" t="s">
        <v>229</v>
      </c>
      <c r="H689" t="s">
        <v>229</v>
      </c>
      <c r="I689" t="s">
        <v>217</v>
      </c>
    </row>
    <row r="690" spans="1:9" x14ac:dyDescent="0.2">
      <c r="A690">
        <v>688</v>
      </c>
      <c r="B690" t="s">
        <v>1447</v>
      </c>
      <c r="C690" t="s">
        <v>1448</v>
      </c>
      <c r="D690" t="s">
        <v>149</v>
      </c>
      <c r="E690" t="s">
        <v>136</v>
      </c>
      <c r="F690">
        <v>3262818</v>
      </c>
      <c r="G690" t="s">
        <v>149</v>
      </c>
      <c r="H690" t="s">
        <v>150</v>
      </c>
      <c r="I690" t="s">
        <v>145</v>
      </c>
    </row>
    <row r="691" spans="1:9" x14ac:dyDescent="0.2">
      <c r="A691">
        <v>689</v>
      </c>
      <c r="B691" t="s">
        <v>1449</v>
      </c>
      <c r="C691" t="s">
        <v>1450</v>
      </c>
      <c r="D691" t="s">
        <v>166</v>
      </c>
      <c r="E691" t="s">
        <v>143</v>
      </c>
      <c r="F691">
        <v>449435205</v>
      </c>
      <c r="G691" t="s">
        <v>166</v>
      </c>
      <c r="H691" t="s">
        <v>166</v>
      </c>
      <c r="I691" t="s">
        <v>160</v>
      </c>
    </row>
    <row r="692" spans="1:9" x14ac:dyDescent="0.2">
      <c r="A692">
        <v>690</v>
      </c>
      <c r="B692" t="s">
        <v>3353</v>
      </c>
      <c r="C692" t="s">
        <v>1451</v>
      </c>
      <c r="D692" t="s">
        <v>194</v>
      </c>
      <c r="E692" t="s">
        <v>136</v>
      </c>
      <c r="F692">
        <v>12000000</v>
      </c>
      <c r="G692" t="s">
        <v>195</v>
      </c>
      <c r="H692" t="s">
        <v>195</v>
      </c>
      <c r="I692" t="s">
        <v>184</v>
      </c>
    </row>
    <row r="693" spans="1:9" x14ac:dyDescent="0.2">
      <c r="A693">
        <v>691</v>
      </c>
      <c r="B693" t="s">
        <v>1452</v>
      </c>
      <c r="C693" t="s">
        <v>1453</v>
      </c>
      <c r="D693" t="s">
        <v>330</v>
      </c>
      <c r="E693" t="s">
        <v>143</v>
      </c>
      <c r="F693">
        <v>60405967</v>
      </c>
      <c r="G693" t="s">
        <v>330</v>
      </c>
      <c r="H693" t="s">
        <v>312</v>
      </c>
      <c r="I693" t="s">
        <v>313</v>
      </c>
    </row>
    <row r="694" spans="1:9" x14ac:dyDescent="0.2">
      <c r="A694">
        <v>692</v>
      </c>
      <c r="B694" t="s">
        <v>1454</v>
      </c>
      <c r="C694" t="s">
        <v>1455</v>
      </c>
      <c r="D694" t="s">
        <v>153</v>
      </c>
      <c r="E694" t="s">
        <v>167</v>
      </c>
      <c r="F694">
        <v>13904571</v>
      </c>
      <c r="G694" t="s">
        <v>154</v>
      </c>
      <c r="H694" t="s">
        <v>155</v>
      </c>
      <c r="I694" t="s">
        <v>139</v>
      </c>
    </row>
    <row r="695" spans="1:9" x14ac:dyDescent="0.2">
      <c r="A695">
        <v>693</v>
      </c>
      <c r="B695" t="s">
        <v>1456</v>
      </c>
      <c r="C695" t="s">
        <v>1457</v>
      </c>
      <c r="D695" t="s">
        <v>383</v>
      </c>
      <c r="E695" t="s">
        <v>136</v>
      </c>
      <c r="F695">
        <v>28599996</v>
      </c>
      <c r="G695" t="s">
        <v>311</v>
      </c>
      <c r="H695" t="s">
        <v>312</v>
      </c>
      <c r="I695" t="s">
        <v>313</v>
      </c>
    </row>
    <row r="696" spans="1:9" x14ac:dyDescent="0.2">
      <c r="A696">
        <v>694</v>
      </c>
      <c r="B696" t="s">
        <v>3354</v>
      </c>
      <c r="C696" t="s">
        <v>1458</v>
      </c>
      <c r="D696" t="s">
        <v>259</v>
      </c>
      <c r="E696" t="s">
        <v>136</v>
      </c>
      <c r="F696">
        <v>9800000</v>
      </c>
      <c r="G696" t="s">
        <v>260</v>
      </c>
      <c r="H696" t="s">
        <v>183</v>
      </c>
      <c r="I696" t="s">
        <v>184</v>
      </c>
    </row>
    <row r="697" spans="1:9" x14ac:dyDescent="0.2">
      <c r="A697">
        <v>695</v>
      </c>
      <c r="B697" t="s">
        <v>1459</v>
      </c>
      <c r="C697" t="s">
        <v>1460</v>
      </c>
      <c r="D697" t="s">
        <v>355</v>
      </c>
      <c r="E697" t="s">
        <v>167</v>
      </c>
      <c r="F697">
        <v>5200000</v>
      </c>
      <c r="G697" t="s">
        <v>356</v>
      </c>
      <c r="H697" t="s">
        <v>150</v>
      </c>
      <c r="I697" t="s">
        <v>145</v>
      </c>
    </row>
    <row r="698" spans="1:9" x14ac:dyDescent="0.2">
      <c r="A698">
        <v>696</v>
      </c>
      <c r="B698" t="s">
        <v>1461</v>
      </c>
      <c r="C698" t="s">
        <v>1462</v>
      </c>
      <c r="D698" t="s">
        <v>170</v>
      </c>
      <c r="E698" t="s">
        <v>136</v>
      </c>
      <c r="F698">
        <v>365281878</v>
      </c>
      <c r="G698" t="s">
        <v>170</v>
      </c>
      <c r="H698" t="s">
        <v>170</v>
      </c>
      <c r="I698" t="s">
        <v>170</v>
      </c>
    </row>
    <row r="699" spans="1:9" x14ac:dyDescent="0.2">
      <c r="A699">
        <v>697</v>
      </c>
      <c r="B699" t="s">
        <v>1463</v>
      </c>
      <c r="C699" t="s">
        <v>1464</v>
      </c>
      <c r="D699" t="s">
        <v>876</v>
      </c>
      <c r="E699" t="s">
        <v>136</v>
      </c>
      <c r="F699">
        <v>165352561</v>
      </c>
      <c r="G699" t="s">
        <v>326</v>
      </c>
      <c r="H699" t="s">
        <v>327</v>
      </c>
      <c r="I699" t="s">
        <v>217</v>
      </c>
    </row>
    <row r="700" spans="1:9" x14ac:dyDescent="0.2">
      <c r="A700">
        <v>698</v>
      </c>
      <c r="B700" t="s">
        <v>1466</v>
      </c>
      <c r="C700" t="s">
        <v>1467</v>
      </c>
      <c r="D700" t="s">
        <v>163</v>
      </c>
      <c r="E700" t="s">
        <v>143</v>
      </c>
      <c r="F700">
        <v>56881443</v>
      </c>
      <c r="G700" t="s">
        <v>137</v>
      </c>
      <c r="H700" t="s">
        <v>138</v>
      </c>
      <c r="I700" t="s">
        <v>139</v>
      </c>
    </row>
    <row r="701" spans="1:9" x14ac:dyDescent="0.2">
      <c r="A701">
        <v>699</v>
      </c>
      <c r="B701" t="s">
        <v>1468</v>
      </c>
      <c r="C701" t="s">
        <v>1469</v>
      </c>
      <c r="D701" t="s">
        <v>355</v>
      </c>
      <c r="E701" t="s">
        <v>167</v>
      </c>
      <c r="F701">
        <v>9846562</v>
      </c>
      <c r="G701" t="s">
        <v>356</v>
      </c>
      <c r="H701" t="s">
        <v>150</v>
      </c>
      <c r="I701" t="s">
        <v>145</v>
      </c>
    </row>
    <row r="702" spans="1:9" x14ac:dyDescent="0.2">
      <c r="A702">
        <v>700</v>
      </c>
      <c r="B702" t="s">
        <v>1470</v>
      </c>
      <c r="C702" t="s">
        <v>1471</v>
      </c>
      <c r="D702" t="s">
        <v>166</v>
      </c>
      <c r="E702" t="s">
        <v>143</v>
      </c>
      <c r="F702">
        <v>216481335</v>
      </c>
      <c r="G702" t="s">
        <v>166</v>
      </c>
      <c r="H702" t="s">
        <v>166</v>
      </c>
      <c r="I702" t="s">
        <v>160</v>
      </c>
    </row>
    <row r="703" spans="1:9" x14ac:dyDescent="0.2">
      <c r="A703">
        <v>701</v>
      </c>
      <c r="B703" t="s">
        <v>3355</v>
      </c>
      <c r="C703" t="s">
        <v>1472</v>
      </c>
      <c r="D703" t="s">
        <v>194</v>
      </c>
      <c r="E703" t="s">
        <v>136</v>
      </c>
      <c r="F703">
        <v>60867241</v>
      </c>
      <c r="G703" t="s">
        <v>195</v>
      </c>
      <c r="H703" t="s">
        <v>195</v>
      </c>
      <c r="I703" t="s">
        <v>184</v>
      </c>
    </row>
    <row r="704" spans="1:9" x14ac:dyDescent="0.2">
      <c r="A704">
        <v>702</v>
      </c>
      <c r="B704" t="s">
        <v>1473</v>
      </c>
      <c r="C704" t="s">
        <v>1474</v>
      </c>
      <c r="D704" t="s">
        <v>149</v>
      </c>
      <c r="E704" t="s">
        <v>143</v>
      </c>
      <c r="F704">
        <v>114779103</v>
      </c>
      <c r="G704" t="s">
        <v>149</v>
      </c>
      <c r="H704" t="s">
        <v>150</v>
      </c>
      <c r="I704" t="s">
        <v>145</v>
      </c>
    </row>
    <row r="705" spans="1:9" x14ac:dyDescent="0.2">
      <c r="A705">
        <v>703</v>
      </c>
      <c r="B705" t="s">
        <v>1475</v>
      </c>
      <c r="C705" t="s">
        <v>1476</v>
      </c>
      <c r="D705" t="s">
        <v>1477</v>
      </c>
      <c r="E705" t="s">
        <v>167</v>
      </c>
      <c r="F705">
        <v>12000000</v>
      </c>
      <c r="G705" t="s">
        <v>800</v>
      </c>
      <c r="H705" t="s">
        <v>138</v>
      </c>
      <c r="I705" t="s">
        <v>139</v>
      </c>
    </row>
    <row r="706" spans="1:9" x14ac:dyDescent="0.2">
      <c r="A706">
        <v>704</v>
      </c>
      <c r="B706" t="s">
        <v>1478</v>
      </c>
      <c r="C706" t="s">
        <v>1479</v>
      </c>
      <c r="D706" t="s">
        <v>166</v>
      </c>
      <c r="E706" t="s">
        <v>167</v>
      </c>
      <c r="F706">
        <v>300000000</v>
      </c>
      <c r="G706" t="s">
        <v>166</v>
      </c>
      <c r="H706" t="s">
        <v>166</v>
      </c>
      <c r="I706" t="s">
        <v>160</v>
      </c>
    </row>
    <row r="707" spans="1:9" x14ac:dyDescent="0.2">
      <c r="A707">
        <v>705</v>
      </c>
      <c r="B707" t="s">
        <v>1480</v>
      </c>
      <c r="C707" t="s">
        <v>1481</v>
      </c>
      <c r="D707" t="s">
        <v>149</v>
      </c>
      <c r="E707" t="s">
        <v>136</v>
      </c>
      <c r="F707">
        <v>57509675</v>
      </c>
      <c r="G707" t="s">
        <v>149</v>
      </c>
      <c r="H707" t="s">
        <v>150</v>
      </c>
      <c r="I707" t="s">
        <v>145</v>
      </c>
    </row>
    <row r="708" spans="1:9" x14ac:dyDescent="0.2">
      <c r="A708">
        <v>706</v>
      </c>
      <c r="B708" t="s">
        <v>1482</v>
      </c>
      <c r="C708" t="s">
        <v>1483</v>
      </c>
      <c r="D708" t="s">
        <v>194</v>
      </c>
      <c r="E708" t="s">
        <v>136</v>
      </c>
      <c r="F708">
        <v>30000000</v>
      </c>
      <c r="G708" t="s">
        <v>195</v>
      </c>
      <c r="H708" t="s">
        <v>195</v>
      </c>
      <c r="I708" t="s">
        <v>184</v>
      </c>
    </row>
    <row r="709" spans="1:9" x14ac:dyDescent="0.2">
      <c r="A709">
        <v>707</v>
      </c>
      <c r="B709" t="s">
        <v>1484</v>
      </c>
      <c r="C709" t="s">
        <v>1485</v>
      </c>
      <c r="D709" t="s">
        <v>149</v>
      </c>
      <c r="E709" t="s">
        <v>136</v>
      </c>
      <c r="F709">
        <v>49432500</v>
      </c>
      <c r="G709" t="s">
        <v>149</v>
      </c>
      <c r="H709" t="s">
        <v>150</v>
      </c>
      <c r="I709" t="s">
        <v>145</v>
      </c>
    </row>
    <row r="710" spans="1:9" x14ac:dyDescent="0.2">
      <c r="A710">
        <v>708</v>
      </c>
      <c r="B710" t="s">
        <v>1486</v>
      </c>
      <c r="C710" t="s">
        <v>1487</v>
      </c>
      <c r="D710" t="s">
        <v>652</v>
      </c>
      <c r="E710" t="s">
        <v>167</v>
      </c>
      <c r="F710">
        <v>5992020</v>
      </c>
      <c r="G710" t="s">
        <v>653</v>
      </c>
      <c r="H710" t="s">
        <v>654</v>
      </c>
      <c r="I710" t="s">
        <v>654</v>
      </c>
    </row>
    <row r="711" spans="1:9" x14ac:dyDescent="0.2">
      <c r="A711">
        <v>709</v>
      </c>
      <c r="B711" t="s">
        <v>1488</v>
      </c>
      <c r="C711" t="s">
        <v>1489</v>
      </c>
      <c r="D711" t="s">
        <v>149</v>
      </c>
      <c r="E711" t="s">
        <v>167</v>
      </c>
      <c r="F711">
        <v>200000000</v>
      </c>
      <c r="G711" t="s">
        <v>149</v>
      </c>
      <c r="H711" t="s">
        <v>150</v>
      </c>
      <c r="I711" t="s">
        <v>145</v>
      </c>
    </row>
    <row r="712" spans="1:9" x14ac:dyDescent="0.2">
      <c r="A712">
        <v>710</v>
      </c>
      <c r="B712" t="s">
        <v>1490</v>
      </c>
      <c r="C712" t="s">
        <v>1491</v>
      </c>
      <c r="D712" t="s">
        <v>237</v>
      </c>
      <c r="E712" t="s">
        <v>136</v>
      </c>
      <c r="F712">
        <v>36473833</v>
      </c>
      <c r="G712" t="s">
        <v>154</v>
      </c>
      <c r="H712" t="s">
        <v>155</v>
      </c>
      <c r="I712" t="s">
        <v>139</v>
      </c>
    </row>
    <row r="713" spans="1:9" x14ac:dyDescent="0.2">
      <c r="A713">
        <v>711</v>
      </c>
      <c r="B713" t="s">
        <v>1492</v>
      </c>
      <c r="C713" t="s">
        <v>1493</v>
      </c>
      <c r="D713" t="s">
        <v>355</v>
      </c>
      <c r="E713" t="s">
        <v>136</v>
      </c>
      <c r="F713">
        <v>6519500</v>
      </c>
      <c r="G713" t="s">
        <v>356</v>
      </c>
      <c r="H713" t="s">
        <v>150</v>
      </c>
      <c r="I713" t="s">
        <v>145</v>
      </c>
    </row>
    <row r="714" spans="1:9" x14ac:dyDescent="0.2">
      <c r="A714">
        <v>712</v>
      </c>
      <c r="B714" t="s">
        <v>1494</v>
      </c>
      <c r="C714" t="s">
        <v>1495</v>
      </c>
      <c r="D714" t="s">
        <v>237</v>
      </c>
      <c r="E714" t="s">
        <v>167</v>
      </c>
      <c r="F714">
        <v>5070000</v>
      </c>
      <c r="G714" t="s">
        <v>154</v>
      </c>
      <c r="H714" t="s">
        <v>155</v>
      </c>
      <c r="I714" t="s">
        <v>139</v>
      </c>
    </row>
    <row r="715" spans="1:9" x14ac:dyDescent="0.2">
      <c r="A715">
        <v>713</v>
      </c>
      <c r="B715" t="s">
        <v>3356</v>
      </c>
      <c r="C715" t="s">
        <v>1496</v>
      </c>
      <c r="D715" t="s">
        <v>208</v>
      </c>
      <c r="E715" t="s">
        <v>136</v>
      </c>
      <c r="F715">
        <v>2955000</v>
      </c>
      <c r="G715" t="s">
        <v>195</v>
      </c>
      <c r="H715" t="s">
        <v>195</v>
      </c>
      <c r="I715" t="s">
        <v>184</v>
      </c>
    </row>
    <row r="716" spans="1:9" x14ac:dyDescent="0.2">
      <c r="A716">
        <v>714</v>
      </c>
      <c r="B716" t="s">
        <v>1497</v>
      </c>
      <c r="C716" t="s">
        <v>1498</v>
      </c>
      <c r="D716" t="s">
        <v>355</v>
      </c>
      <c r="E716" t="s">
        <v>136</v>
      </c>
      <c r="F716">
        <v>49500000</v>
      </c>
      <c r="G716" t="s">
        <v>356</v>
      </c>
      <c r="H716" t="s">
        <v>150</v>
      </c>
      <c r="I716" t="s">
        <v>145</v>
      </c>
    </row>
    <row r="717" spans="1:9" x14ac:dyDescent="0.2">
      <c r="A717">
        <v>715</v>
      </c>
      <c r="B717" t="s">
        <v>3357</v>
      </c>
      <c r="C717" t="s">
        <v>3358</v>
      </c>
      <c r="D717" t="s">
        <v>383</v>
      </c>
      <c r="E717" t="s">
        <v>136</v>
      </c>
      <c r="F717">
        <v>3800000</v>
      </c>
      <c r="G717" t="s">
        <v>311</v>
      </c>
      <c r="H717" t="s">
        <v>312</v>
      </c>
      <c r="I717" t="s">
        <v>313</v>
      </c>
    </row>
    <row r="718" spans="1:9" x14ac:dyDescent="0.2">
      <c r="A718">
        <v>716</v>
      </c>
      <c r="B718" t="s">
        <v>3359</v>
      </c>
      <c r="C718" t="s">
        <v>1499</v>
      </c>
      <c r="D718" t="s">
        <v>289</v>
      </c>
      <c r="E718" t="s">
        <v>143</v>
      </c>
      <c r="F718">
        <v>9890000</v>
      </c>
      <c r="G718" t="s">
        <v>290</v>
      </c>
      <c r="H718" t="s">
        <v>183</v>
      </c>
      <c r="I718" t="s">
        <v>184</v>
      </c>
    </row>
    <row r="719" spans="1:9" x14ac:dyDescent="0.2">
      <c r="A719">
        <v>717</v>
      </c>
      <c r="B719" t="s">
        <v>3360</v>
      </c>
      <c r="C719" t="s">
        <v>1500</v>
      </c>
      <c r="D719" t="s">
        <v>208</v>
      </c>
      <c r="E719" t="s">
        <v>136</v>
      </c>
      <c r="F719">
        <v>7000000</v>
      </c>
      <c r="G719" t="s">
        <v>195</v>
      </c>
      <c r="H719" t="s">
        <v>195</v>
      </c>
      <c r="I719" t="s">
        <v>184</v>
      </c>
    </row>
    <row r="720" spans="1:9" x14ac:dyDescent="0.2">
      <c r="A720">
        <v>718</v>
      </c>
      <c r="B720" t="s">
        <v>3361</v>
      </c>
      <c r="C720" t="s">
        <v>1501</v>
      </c>
      <c r="D720" t="s">
        <v>208</v>
      </c>
      <c r="E720" t="s">
        <v>167</v>
      </c>
      <c r="F720">
        <v>30859515</v>
      </c>
      <c r="G720" t="s">
        <v>195</v>
      </c>
      <c r="H720" t="s">
        <v>195</v>
      </c>
      <c r="I720" t="s">
        <v>184</v>
      </c>
    </row>
    <row r="721" spans="1:9" x14ac:dyDescent="0.2">
      <c r="A721">
        <v>719</v>
      </c>
      <c r="B721" t="s">
        <v>3362</v>
      </c>
      <c r="C721" t="s">
        <v>1502</v>
      </c>
      <c r="D721" t="s">
        <v>208</v>
      </c>
      <c r="E721" t="s">
        <v>167</v>
      </c>
      <c r="F721">
        <v>45739793</v>
      </c>
      <c r="G721" t="s">
        <v>195</v>
      </c>
      <c r="H721" t="s">
        <v>195</v>
      </c>
      <c r="I721" t="s">
        <v>184</v>
      </c>
    </row>
    <row r="722" spans="1:9" x14ac:dyDescent="0.2">
      <c r="A722">
        <v>720</v>
      </c>
      <c r="B722" t="s">
        <v>3363</v>
      </c>
      <c r="C722" t="s">
        <v>1503</v>
      </c>
      <c r="D722" t="s">
        <v>289</v>
      </c>
      <c r="E722" t="s">
        <v>136</v>
      </c>
      <c r="F722">
        <v>3265155</v>
      </c>
      <c r="G722" t="s">
        <v>290</v>
      </c>
      <c r="H722" t="s">
        <v>183</v>
      </c>
      <c r="I722" t="s">
        <v>184</v>
      </c>
    </row>
    <row r="723" spans="1:9" x14ac:dyDescent="0.2">
      <c r="A723">
        <v>721</v>
      </c>
      <c r="B723" t="s">
        <v>3364</v>
      </c>
      <c r="C723" t="s">
        <v>1504</v>
      </c>
      <c r="D723" t="s">
        <v>208</v>
      </c>
      <c r="E723" t="s">
        <v>167</v>
      </c>
      <c r="F723">
        <v>10800000</v>
      </c>
      <c r="G723" t="s">
        <v>195</v>
      </c>
      <c r="H723" t="s">
        <v>195</v>
      </c>
      <c r="I723" t="s">
        <v>184</v>
      </c>
    </row>
    <row r="724" spans="1:9" x14ac:dyDescent="0.2">
      <c r="A724">
        <v>722</v>
      </c>
      <c r="B724" t="s">
        <v>3365</v>
      </c>
      <c r="C724" t="s">
        <v>1505</v>
      </c>
      <c r="D724" t="s">
        <v>208</v>
      </c>
      <c r="E724" t="s">
        <v>136</v>
      </c>
      <c r="F724">
        <v>3500000</v>
      </c>
      <c r="G724" t="s">
        <v>195</v>
      </c>
      <c r="H724" t="s">
        <v>195</v>
      </c>
      <c r="I724" t="s">
        <v>184</v>
      </c>
    </row>
    <row r="725" spans="1:9" x14ac:dyDescent="0.2">
      <c r="A725">
        <v>723</v>
      </c>
      <c r="B725" t="s">
        <v>3366</v>
      </c>
      <c r="C725" t="s">
        <v>1506</v>
      </c>
      <c r="D725" t="s">
        <v>289</v>
      </c>
      <c r="E725" t="s">
        <v>136</v>
      </c>
      <c r="F725">
        <v>4000000</v>
      </c>
      <c r="G725" t="s">
        <v>290</v>
      </c>
      <c r="H725" t="s">
        <v>183</v>
      </c>
      <c r="I725" t="s">
        <v>184</v>
      </c>
    </row>
    <row r="726" spans="1:9" x14ac:dyDescent="0.2">
      <c r="A726">
        <v>724</v>
      </c>
      <c r="B726" t="s">
        <v>3367</v>
      </c>
      <c r="C726" t="s">
        <v>1507</v>
      </c>
      <c r="D726" t="s">
        <v>208</v>
      </c>
      <c r="E726" t="s">
        <v>136</v>
      </c>
      <c r="F726">
        <v>4800000</v>
      </c>
      <c r="G726" t="s">
        <v>195</v>
      </c>
      <c r="H726" t="s">
        <v>195</v>
      </c>
      <c r="I726" t="s">
        <v>184</v>
      </c>
    </row>
    <row r="727" spans="1:9" x14ac:dyDescent="0.2">
      <c r="A727">
        <v>725</v>
      </c>
      <c r="B727" t="s">
        <v>3368</v>
      </c>
      <c r="C727" t="s">
        <v>1508</v>
      </c>
      <c r="D727" t="s">
        <v>289</v>
      </c>
      <c r="E727" t="s">
        <v>136</v>
      </c>
      <c r="F727">
        <v>7576200</v>
      </c>
      <c r="G727" t="s">
        <v>290</v>
      </c>
      <c r="H727" t="s">
        <v>183</v>
      </c>
      <c r="I727" t="s">
        <v>184</v>
      </c>
    </row>
    <row r="728" spans="1:9" x14ac:dyDescent="0.2">
      <c r="A728">
        <v>726</v>
      </c>
      <c r="B728" t="s">
        <v>3369</v>
      </c>
      <c r="C728" t="s">
        <v>1509</v>
      </c>
      <c r="D728" t="s">
        <v>289</v>
      </c>
      <c r="E728" t="s">
        <v>136</v>
      </c>
      <c r="F728">
        <v>8298243</v>
      </c>
      <c r="G728" t="s">
        <v>290</v>
      </c>
      <c r="H728" t="s">
        <v>183</v>
      </c>
      <c r="I728" t="s">
        <v>184</v>
      </c>
    </row>
    <row r="729" spans="1:9" x14ac:dyDescent="0.2">
      <c r="A729">
        <v>727</v>
      </c>
      <c r="B729" t="s">
        <v>3370</v>
      </c>
      <c r="C729" t="s">
        <v>1510</v>
      </c>
      <c r="D729" t="s">
        <v>289</v>
      </c>
      <c r="E729" t="s">
        <v>136</v>
      </c>
      <c r="F729">
        <v>8279361</v>
      </c>
      <c r="G729" t="s">
        <v>290</v>
      </c>
      <c r="H729" t="s">
        <v>183</v>
      </c>
      <c r="I729" t="s">
        <v>184</v>
      </c>
    </row>
    <row r="730" spans="1:9" x14ac:dyDescent="0.2">
      <c r="A730">
        <v>728</v>
      </c>
      <c r="B730" t="s">
        <v>1511</v>
      </c>
      <c r="C730" t="s">
        <v>1512</v>
      </c>
      <c r="D730" t="s">
        <v>237</v>
      </c>
      <c r="E730" t="s">
        <v>143</v>
      </c>
      <c r="F730">
        <v>15228019</v>
      </c>
      <c r="G730" t="s">
        <v>154</v>
      </c>
      <c r="H730" t="s">
        <v>155</v>
      </c>
      <c r="I730" t="s">
        <v>139</v>
      </c>
    </row>
    <row r="731" spans="1:9" x14ac:dyDescent="0.2">
      <c r="A731">
        <v>729</v>
      </c>
      <c r="B731" t="s">
        <v>3371</v>
      </c>
      <c r="C731" t="s">
        <v>1513</v>
      </c>
      <c r="D731" t="s">
        <v>208</v>
      </c>
      <c r="E731" t="s">
        <v>136</v>
      </c>
      <c r="F731">
        <v>17100000</v>
      </c>
      <c r="G731" t="s">
        <v>195</v>
      </c>
      <c r="H731" t="s">
        <v>195</v>
      </c>
      <c r="I731" t="s">
        <v>184</v>
      </c>
    </row>
    <row r="732" spans="1:9" x14ac:dyDescent="0.2">
      <c r="A732">
        <v>730</v>
      </c>
      <c r="B732" t="s">
        <v>1514</v>
      </c>
      <c r="C732" t="s">
        <v>1515</v>
      </c>
      <c r="D732" t="s">
        <v>293</v>
      </c>
      <c r="E732" t="s">
        <v>167</v>
      </c>
      <c r="F732">
        <v>112856400</v>
      </c>
      <c r="G732" t="s">
        <v>144</v>
      </c>
      <c r="H732" t="s">
        <v>144</v>
      </c>
      <c r="I732" t="s">
        <v>145</v>
      </c>
    </row>
    <row r="733" spans="1:9" x14ac:dyDescent="0.2">
      <c r="A733">
        <v>731</v>
      </c>
      <c r="B733" t="s">
        <v>1516</v>
      </c>
      <c r="C733" t="s">
        <v>1517</v>
      </c>
      <c r="D733" t="s">
        <v>383</v>
      </c>
      <c r="E733" t="s">
        <v>136</v>
      </c>
      <c r="F733">
        <v>12200000</v>
      </c>
      <c r="G733" t="s">
        <v>311</v>
      </c>
      <c r="H733" t="s">
        <v>312</v>
      </c>
      <c r="I733" t="s">
        <v>313</v>
      </c>
    </row>
    <row r="734" spans="1:9" x14ac:dyDescent="0.2">
      <c r="A734">
        <v>732</v>
      </c>
      <c r="B734" t="s">
        <v>1518</v>
      </c>
      <c r="C734" t="s">
        <v>1519</v>
      </c>
      <c r="D734" t="s">
        <v>215</v>
      </c>
      <c r="E734" t="s">
        <v>167</v>
      </c>
      <c r="F734">
        <v>1999934</v>
      </c>
      <c r="G734" t="s">
        <v>216</v>
      </c>
      <c r="H734" t="s">
        <v>216</v>
      </c>
      <c r="I734" t="s">
        <v>217</v>
      </c>
    </row>
    <row r="735" spans="1:9" x14ac:dyDescent="0.2">
      <c r="A735">
        <v>733</v>
      </c>
      <c r="B735" t="s">
        <v>3372</v>
      </c>
      <c r="C735" t="s">
        <v>1520</v>
      </c>
      <c r="D735" t="s">
        <v>194</v>
      </c>
      <c r="E735" t="s">
        <v>143</v>
      </c>
      <c r="F735">
        <v>40000000</v>
      </c>
      <c r="G735" t="s">
        <v>195</v>
      </c>
      <c r="H735" t="s">
        <v>195</v>
      </c>
      <c r="I735" t="s">
        <v>184</v>
      </c>
    </row>
    <row r="736" spans="1:9" x14ac:dyDescent="0.2">
      <c r="A736">
        <v>734</v>
      </c>
      <c r="B736" t="s">
        <v>3373</v>
      </c>
      <c r="C736" t="s">
        <v>1521</v>
      </c>
      <c r="D736" t="s">
        <v>194</v>
      </c>
      <c r="E736" t="s">
        <v>136</v>
      </c>
      <c r="F736">
        <v>5838999</v>
      </c>
      <c r="G736" t="s">
        <v>195</v>
      </c>
      <c r="H736" t="s">
        <v>195</v>
      </c>
      <c r="I736" t="s">
        <v>184</v>
      </c>
    </row>
    <row r="737" spans="1:9" x14ac:dyDescent="0.2">
      <c r="A737">
        <v>735</v>
      </c>
      <c r="B737" t="s">
        <v>3374</v>
      </c>
      <c r="C737" t="s">
        <v>1522</v>
      </c>
      <c r="D737" t="s">
        <v>208</v>
      </c>
      <c r="E737" t="s">
        <v>167</v>
      </c>
      <c r="F737">
        <v>1474000</v>
      </c>
      <c r="G737" t="s">
        <v>195</v>
      </c>
      <c r="H737" t="s">
        <v>195</v>
      </c>
      <c r="I737" t="s">
        <v>184</v>
      </c>
    </row>
    <row r="738" spans="1:9" x14ac:dyDescent="0.2">
      <c r="A738">
        <v>736</v>
      </c>
      <c r="B738" t="s">
        <v>1523</v>
      </c>
      <c r="C738" t="s">
        <v>1524</v>
      </c>
      <c r="D738" t="s">
        <v>208</v>
      </c>
      <c r="E738" t="s">
        <v>143</v>
      </c>
      <c r="F738">
        <v>195091170</v>
      </c>
      <c r="G738" t="s">
        <v>195</v>
      </c>
      <c r="H738" t="s">
        <v>195</v>
      </c>
      <c r="I738" t="s">
        <v>184</v>
      </c>
    </row>
    <row r="739" spans="1:9" x14ac:dyDescent="0.2">
      <c r="A739">
        <v>737</v>
      </c>
      <c r="B739" t="s">
        <v>1525</v>
      </c>
      <c r="C739" t="s">
        <v>1526</v>
      </c>
      <c r="D739" t="s">
        <v>149</v>
      </c>
      <c r="E739" t="s">
        <v>136</v>
      </c>
      <c r="F739">
        <v>24633000</v>
      </c>
      <c r="G739" t="s">
        <v>149</v>
      </c>
      <c r="H739" t="s">
        <v>150</v>
      </c>
      <c r="I739" t="s">
        <v>145</v>
      </c>
    </row>
    <row r="740" spans="1:9" x14ac:dyDescent="0.2">
      <c r="A740">
        <v>738</v>
      </c>
      <c r="B740" t="s">
        <v>3375</v>
      </c>
      <c r="C740" t="s">
        <v>1527</v>
      </c>
      <c r="D740" t="s">
        <v>208</v>
      </c>
      <c r="E740" t="s">
        <v>136</v>
      </c>
      <c r="F740">
        <v>7600000</v>
      </c>
      <c r="G740" t="s">
        <v>195</v>
      </c>
      <c r="H740" t="s">
        <v>195</v>
      </c>
      <c r="I740" t="s">
        <v>184</v>
      </c>
    </row>
    <row r="741" spans="1:9" x14ac:dyDescent="0.2">
      <c r="A741">
        <v>739</v>
      </c>
      <c r="B741" t="s">
        <v>1528</v>
      </c>
      <c r="C741" t="s">
        <v>1529</v>
      </c>
      <c r="D741" t="s">
        <v>415</v>
      </c>
      <c r="E741" t="s">
        <v>143</v>
      </c>
      <c r="F741">
        <v>256972585</v>
      </c>
      <c r="G741" t="s">
        <v>166</v>
      </c>
      <c r="H741" t="s">
        <v>166</v>
      </c>
      <c r="I741" t="s">
        <v>160</v>
      </c>
    </row>
    <row r="742" spans="1:9" x14ac:dyDescent="0.2">
      <c r="A742">
        <v>740</v>
      </c>
      <c r="B742" t="s">
        <v>1530</v>
      </c>
      <c r="C742" t="s">
        <v>1531</v>
      </c>
      <c r="D742" t="s">
        <v>240</v>
      </c>
      <c r="E742" t="s">
        <v>167</v>
      </c>
      <c r="F742">
        <v>13338167</v>
      </c>
      <c r="G742" t="s">
        <v>240</v>
      </c>
      <c r="H742" t="s">
        <v>241</v>
      </c>
      <c r="I742" t="s">
        <v>242</v>
      </c>
    </row>
    <row r="743" spans="1:9" x14ac:dyDescent="0.2">
      <c r="A743">
        <v>741</v>
      </c>
      <c r="B743" t="s">
        <v>1532</v>
      </c>
      <c r="C743" t="s">
        <v>1533</v>
      </c>
      <c r="D743" t="s">
        <v>383</v>
      </c>
      <c r="E743" t="s">
        <v>136</v>
      </c>
      <c r="F743">
        <v>78800000</v>
      </c>
      <c r="G743" t="s">
        <v>311</v>
      </c>
      <c r="H743" t="s">
        <v>312</v>
      </c>
      <c r="I743" t="s">
        <v>313</v>
      </c>
    </row>
    <row r="744" spans="1:9" x14ac:dyDescent="0.2">
      <c r="A744">
        <v>742</v>
      </c>
      <c r="B744" t="s">
        <v>1534</v>
      </c>
      <c r="C744" t="s">
        <v>1535</v>
      </c>
      <c r="D744" t="s">
        <v>166</v>
      </c>
      <c r="E744" t="s">
        <v>136</v>
      </c>
      <c r="F744">
        <v>26100000</v>
      </c>
      <c r="G744" t="s">
        <v>166</v>
      </c>
      <c r="H744" t="s">
        <v>166</v>
      </c>
      <c r="I744" t="s">
        <v>160</v>
      </c>
    </row>
    <row r="745" spans="1:9" x14ac:dyDescent="0.2">
      <c r="A745">
        <v>743</v>
      </c>
      <c r="B745" t="s">
        <v>3376</v>
      </c>
      <c r="C745" t="s">
        <v>1536</v>
      </c>
      <c r="D745" t="s">
        <v>208</v>
      </c>
      <c r="E745" t="s">
        <v>136</v>
      </c>
      <c r="F745">
        <v>5026600</v>
      </c>
      <c r="G745" t="s">
        <v>195</v>
      </c>
      <c r="H745" t="s">
        <v>195</v>
      </c>
      <c r="I745" t="s">
        <v>184</v>
      </c>
    </row>
    <row r="746" spans="1:9" x14ac:dyDescent="0.2">
      <c r="A746">
        <v>744</v>
      </c>
      <c r="B746" t="s">
        <v>3377</v>
      </c>
      <c r="C746" t="s">
        <v>1537</v>
      </c>
      <c r="D746" t="s">
        <v>208</v>
      </c>
      <c r="E746" t="s">
        <v>143</v>
      </c>
      <c r="F746">
        <v>192854765</v>
      </c>
      <c r="G746" t="s">
        <v>195</v>
      </c>
      <c r="H746" t="s">
        <v>195</v>
      </c>
      <c r="I746" t="s">
        <v>184</v>
      </c>
    </row>
    <row r="747" spans="1:9" x14ac:dyDescent="0.2">
      <c r="A747">
        <v>745</v>
      </c>
      <c r="B747" t="s">
        <v>1538</v>
      </c>
      <c r="C747" t="s">
        <v>1539</v>
      </c>
      <c r="D747" t="s">
        <v>166</v>
      </c>
      <c r="E747" t="s">
        <v>143</v>
      </c>
      <c r="F747">
        <v>51500000</v>
      </c>
      <c r="G747" t="s">
        <v>166</v>
      </c>
      <c r="H747" t="s">
        <v>166</v>
      </c>
      <c r="I747" t="s">
        <v>160</v>
      </c>
    </row>
    <row r="748" spans="1:9" x14ac:dyDescent="0.2">
      <c r="A748">
        <v>746</v>
      </c>
      <c r="B748" t="s">
        <v>1540</v>
      </c>
      <c r="C748" t="s">
        <v>1541</v>
      </c>
      <c r="D748" t="s">
        <v>163</v>
      </c>
      <c r="E748" t="s">
        <v>136</v>
      </c>
      <c r="F748">
        <v>11840000</v>
      </c>
      <c r="G748" t="s">
        <v>137</v>
      </c>
      <c r="H748" t="s">
        <v>138</v>
      </c>
      <c r="I748" t="s">
        <v>139</v>
      </c>
    </row>
    <row r="749" spans="1:9" x14ac:dyDescent="0.2">
      <c r="A749">
        <v>747</v>
      </c>
      <c r="B749" t="s">
        <v>3378</v>
      </c>
      <c r="C749" t="s">
        <v>1542</v>
      </c>
      <c r="D749" t="s">
        <v>208</v>
      </c>
      <c r="E749" t="s">
        <v>167</v>
      </c>
      <c r="F749">
        <v>14400000</v>
      </c>
      <c r="G749" t="s">
        <v>195</v>
      </c>
      <c r="H749" t="s">
        <v>195</v>
      </c>
      <c r="I749" t="s">
        <v>184</v>
      </c>
    </row>
    <row r="750" spans="1:9" x14ac:dyDescent="0.2">
      <c r="A750">
        <v>748</v>
      </c>
      <c r="B750" t="s">
        <v>1543</v>
      </c>
      <c r="C750" t="s">
        <v>1544</v>
      </c>
      <c r="D750" t="s">
        <v>166</v>
      </c>
      <c r="E750" t="s">
        <v>143</v>
      </c>
      <c r="F750">
        <v>50012010</v>
      </c>
      <c r="G750" t="s">
        <v>166</v>
      </c>
      <c r="H750" t="s">
        <v>166</v>
      </c>
      <c r="I750" t="s">
        <v>160</v>
      </c>
    </row>
    <row r="751" spans="1:9" x14ac:dyDescent="0.2">
      <c r="A751">
        <v>749</v>
      </c>
      <c r="B751" t="s">
        <v>3379</v>
      </c>
      <c r="C751" t="s">
        <v>1545</v>
      </c>
      <c r="D751" t="s">
        <v>208</v>
      </c>
      <c r="E751" t="s">
        <v>136</v>
      </c>
      <c r="F751">
        <v>90000000</v>
      </c>
      <c r="G751" t="s">
        <v>195</v>
      </c>
      <c r="H751" t="s">
        <v>195</v>
      </c>
      <c r="I751" t="s">
        <v>184</v>
      </c>
    </row>
    <row r="752" spans="1:9" x14ac:dyDescent="0.2">
      <c r="A752">
        <v>750</v>
      </c>
      <c r="B752" t="s">
        <v>3380</v>
      </c>
      <c r="C752" t="s">
        <v>1546</v>
      </c>
      <c r="D752" t="s">
        <v>208</v>
      </c>
      <c r="E752" t="s">
        <v>167</v>
      </c>
      <c r="F752">
        <v>95084569</v>
      </c>
      <c r="G752" t="s">
        <v>195</v>
      </c>
      <c r="H752" t="s">
        <v>195</v>
      </c>
      <c r="I752" t="s">
        <v>184</v>
      </c>
    </row>
    <row r="753" spans="1:9" x14ac:dyDescent="0.2">
      <c r="A753">
        <v>751</v>
      </c>
      <c r="B753" t="s">
        <v>1547</v>
      </c>
      <c r="C753" t="s">
        <v>1548</v>
      </c>
      <c r="D753" t="s">
        <v>137</v>
      </c>
      <c r="E753" t="s">
        <v>143</v>
      </c>
      <c r="F753">
        <v>64800000</v>
      </c>
      <c r="G753" t="s">
        <v>137</v>
      </c>
      <c r="H753" t="s">
        <v>138</v>
      </c>
      <c r="I753" t="s">
        <v>139</v>
      </c>
    </row>
    <row r="754" spans="1:9" x14ac:dyDescent="0.2">
      <c r="A754">
        <v>752</v>
      </c>
      <c r="B754" t="s">
        <v>1549</v>
      </c>
      <c r="C754" t="s">
        <v>1550</v>
      </c>
      <c r="D754" t="s">
        <v>383</v>
      </c>
      <c r="E754" t="s">
        <v>136</v>
      </c>
      <c r="F754">
        <v>2500000</v>
      </c>
      <c r="G754" t="s">
        <v>311</v>
      </c>
      <c r="H754" t="s">
        <v>312</v>
      </c>
      <c r="I754" t="s">
        <v>313</v>
      </c>
    </row>
    <row r="755" spans="1:9" x14ac:dyDescent="0.2">
      <c r="A755">
        <v>753</v>
      </c>
      <c r="B755" t="s">
        <v>3381</v>
      </c>
      <c r="C755" t="s">
        <v>1551</v>
      </c>
      <c r="D755" t="s">
        <v>289</v>
      </c>
      <c r="E755" t="s">
        <v>136</v>
      </c>
      <c r="F755">
        <v>79726104</v>
      </c>
      <c r="G755" t="s">
        <v>290</v>
      </c>
      <c r="H755" t="s">
        <v>183</v>
      </c>
      <c r="I755" t="s">
        <v>184</v>
      </c>
    </row>
    <row r="756" spans="1:9" x14ac:dyDescent="0.2">
      <c r="A756">
        <v>754</v>
      </c>
      <c r="B756" t="s">
        <v>3382</v>
      </c>
      <c r="C756" t="s">
        <v>1552</v>
      </c>
      <c r="D756" t="s">
        <v>208</v>
      </c>
      <c r="E756" t="s">
        <v>136</v>
      </c>
      <c r="F756">
        <v>5150000</v>
      </c>
      <c r="G756" t="s">
        <v>195</v>
      </c>
      <c r="H756" t="s">
        <v>195</v>
      </c>
      <c r="I756" t="s">
        <v>184</v>
      </c>
    </row>
    <row r="757" spans="1:9" x14ac:dyDescent="0.2">
      <c r="A757">
        <v>755</v>
      </c>
      <c r="B757" t="s">
        <v>3383</v>
      </c>
      <c r="C757" t="s">
        <v>1553</v>
      </c>
      <c r="D757" t="s">
        <v>289</v>
      </c>
      <c r="E757" t="s">
        <v>136</v>
      </c>
      <c r="F757">
        <v>4957000</v>
      </c>
      <c r="G757" t="s">
        <v>290</v>
      </c>
      <c r="H757" t="s">
        <v>183</v>
      </c>
      <c r="I757" t="s">
        <v>184</v>
      </c>
    </row>
    <row r="758" spans="1:9" x14ac:dyDescent="0.2">
      <c r="A758">
        <v>756</v>
      </c>
      <c r="B758" t="s">
        <v>3384</v>
      </c>
      <c r="C758" t="s">
        <v>1554</v>
      </c>
      <c r="D758" t="s">
        <v>208</v>
      </c>
      <c r="E758" t="s">
        <v>143</v>
      </c>
      <c r="F758">
        <v>9388682</v>
      </c>
      <c r="G758" t="s">
        <v>195</v>
      </c>
      <c r="H758" t="s">
        <v>195</v>
      </c>
      <c r="I758" t="s">
        <v>184</v>
      </c>
    </row>
    <row r="759" spans="1:9" x14ac:dyDescent="0.2">
      <c r="A759">
        <v>757</v>
      </c>
      <c r="B759" t="s">
        <v>1555</v>
      </c>
      <c r="C759" t="s">
        <v>1556</v>
      </c>
      <c r="D759" t="s">
        <v>149</v>
      </c>
      <c r="E759" t="s">
        <v>136</v>
      </c>
      <c r="F759">
        <v>1500000</v>
      </c>
      <c r="G759" t="s">
        <v>149</v>
      </c>
      <c r="H759" t="s">
        <v>150</v>
      </c>
      <c r="I759" t="s">
        <v>145</v>
      </c>
    </row>
    <row r="760" spans="1:9" x14ac:dyDescent="0.2">
      <c r="A760">
        <v>758</v>
      </c>
      <c r="B760" t="s">
        <v>1557</v>
      </c>
      <c r="C760" t="s">
        <v>1558</v>
      </c>
      <c r="D760" t="s">
        <v>166</v>
      </c>
      <c r="E760" t="s">
        <v>136</v>
      </c>
      <c r="F760">
        <v>25629995</v>
      </c>
      <c r="G760" t="s">
        <v>166</v>
      </c>
      <c r="H760" t="s">
        <v>166</v>
      </c>
      <c r="I760" t="s">
        <v>160</v>
      </c>
    </row>
    <row r="761" spans="1:9" x14ac:dyDescent="0.2">
      <c r="A761">
        <v>759</v>
      </c>
      <c r="B761" t="s">
        <v>3385</v>
      </c>
      <c r="C761" t="s">
        <v>1559</v>
      </c>
      <c r="D761" t="s">
        <v>289</v>
      </c>
      <c r="E761" t="s">
        <v>136</v>
      </c>
      <c r="F761">
        <v>5500000</v>
      </c>
      <c r="G761" t="s">
        <v>290</v>
      </c>
      <c r="H761" t="s">
        <v>183</v>
      </c>
      <c r="I761" t="s">
        <v>184</v>
      </c>
    </row>
    <row r="762" spans="1:9" x14ac:dyDescent="0.2">
      <c r="A762">
        <v>760</v>
      </c>
      <c r="B762" t="s">
        <v>1560</v>
      </c>
      <c r="C762" t="s">
        <v>1561</v>
      </c>
      <c r="D762" t="s">
        <v>142</v>
      </c>
      <c r="E762" t="s">
        <v>136</v>
      </c>
      <c r="F762">
        <v>8230067</v>
      </c>
      <c r="G762" t="s">
        <v>144</v>
      </c>
      <c r="H762" t="s">
        <v>144</v>
      </c>
      <c r="I762" t="s">
        <v>145</v>
      </c>
    </row>
    <row r="763" spans="1:9" x14ac:dyDescent="0.2">
      <c r="A763">
        <v>761</v>
      </c>
      <c r="B763" t="s">
        <v>3386</v>
      </c>
      <c r="C763" t="s">
        <v>1562</v>
      </c>
      <c r="D763" t="s">
        <v>289</v>
      </c>
      <c r="E763" t="s">
        <v>136</v>
      </c>
      <c r="F763">
        <v>5149791</v>
      </c>
      <c r="G763" t="s">
        <v>290</v>
      </c>
      <c r="H763" t="s">
        <v>183</v>
      </c>
      <c r="I763" t="s">
        <v>184</v>
      </c>
    </row>
    <row r="764" spans="1:9" x14ac:dyDescent="0.2">
      <c r="A764">
        <v>762</v>
      </c>
      <c r="B764" t="s">
        <v>1563</v>
      </c>
      <c r="C764" t="s">
        <v>2986</v>
      </c>
      <c r="D764" t="s">
        <v>170</v>
      </c>
      <c r="E764" t="s">
        <v>143</v>
      </c>
      <c r="F764">
        <v>2987282100</v>
      </c>
      <c r="G764" t="s">
        <v>170</v>
      </c>
      <c r="H764" t="s">
        <v>170</v>
      </c>
      <c r="I764" t="s">
        <v>170</v>
      </c>
    </row>
    <row r="765" spans="1:9" x14ac:dyDescent="0.2">
      <c r="A765">
        <v>763</v>
      </c>
      <c r="B765" t="s">
        <v>3387</v>
      </c>
      <c r="C765" t="s">
        <v>1564</v>
      </c>
      <c r="D765" t="s">
        <v>567</v>
      </c>
      <c r="E765" t="s">
        <v>136</v>
      </c>
      <c r="F765">
        <v>12000000</v>
      </c>
      <c r="G765" t="s">
        <v>182</v>
      </c>
      <c r="H765" t="s">
        <v>183</v>
      </c>
      <c r="I765" t="s">
        <v>184</v>
      </c>
    </row>
    <row r="766" spans="1:9" x14ac:dyDescent="0.2">
      <c r="A766">
        <v>764</v>
      </c>
      <c r="B766" t="s">
        <v>3388</v>
      </c>
      <c r="C766" t="s">
        <v>1565</v>
      </c>
      <c r="D766" t="s">
        <v>194</v>
      </c>
      <c r="E766" t="s">
        <v>136</v>
      </c>
      <c r="F766">
        <v>1893540</v>
      </c>
      <c r="G766" t="s">
        <v>195</v>
      </c>
      <c r="H766" t="s">
        <v>195</v>
      </c>
      <c r="I766" t="s">
        <v>184</v>
      </c>
    </row>
    <row r="767" spans="1:9" x14ac:dyDescent="0.2">
      <c r="A767">
        <v>765</v>
      </c>
      <c r="B767" t="s">
        <v>1566</v>
      </c>
      <c r="C767" t="s">
        <v>1567</v>
      </c>
      <c r="D767" t="s">
        <v>166</v>
      </c>
      <c r="E767" t="s">
        <v>136</v>
      </c>
      <c r="F767">
        <v>90000000</v>
      </c>
      <c r="G767" t="s">
        <v>166</v>
      </c>
      <c r="H767" t="s">
        <v>166</v>
      </c>
      <c r="I767" t="s">
        <v>160</v>
      </c>
    </row>
    <row r="768" spans="1:9" x14ac:dyDescent="0.2">
      <c r="A768">
        <v>766</v>
      </c>
      <c r="B768" t="s">
        <v>1568</v>
      </c>
      <c r="C768" t="s">
        <v>1569</v>
      </c>
      <c r="D768" t="s">
        <v>237</v>
      </c>
      <c r="E768" t="s">
        <v>143</v>
      </c>
      <c r="F768">
        <v>85741623</v>
      </c>
      <c r="G768" t="s">
        <v>154</v>
      </c>
      <c r="H768" t="s">
        <v>155</v>
      </c>
      <c r="I768" t="s">
        <v>139</v>
      </c>
    </row>
    <row r="769" spans="1:9" x14ac:dyDescent="0.2">
      <c r="A769">
        <v>767</v>
      </c>
      <c r="B769" t="s">
        <v>1570</v>
      </c>
      <c r="C769" t="s">
        <v>1571</v>
      </c>
      <c r="D769" t="s">
        <v>1424</v>
      </c>
      <c r="E769" t="s">
        <v>136</v>
      </c>
      <c r="F769">
        <v>4586000</v>
      </c>
      <c r="G769" t="s">
        <v>653</v>
      </c>
      <c r="H769" t="s">
        <v>654</v>
      </c>
      <c r="I769" t="s">
        <v>654</v>
      </c>
    </row>
    <row r="770" spans="1:9" x14ac:dyDescent="0.2">
      <c r="A770">
        <v>768</v>
      </c>
      <c r="B770" t="s">
        <v>1572</v>
      </c>
      <c r="C770" t="s">
        <v>1573</v>
      </c>
      <c r="D770" t="s">
        <v>153</v>
      </c>
      <c r="E770" t="s">
        <v>136</v>
      </c>
      <c r="F770">
        <v>100741465</v>
      </c>
      <c r="G770" t="s">
        <v>154</v>
      </c>
      <c r="H770" t="s">
        <v>155</v>
      </c>
      <c r="I770" t="s">
        <v>139</v>
      </c>
    </row>
    <row r="771" spans="1:9" x14ac:dyDescent="0.2">
      <c r="A771">
        <v>769</v>
      </c>
      <c r="B771" t="s">
        <v>3389</v>
      </c>
      <c r="C771" t="s">
        <v>1574</v>
      </c>
      <c r="D771" t="s">
        <v>208</v>
      </c>
      <c r="E771" t="s">
        <v>136</v>
      </c>
      <c r="F771">
        <v>15000000</v>
      </c>
      <c r="G771" t="s">
        <v>195</v>
      </c>
      <c r="H771" t="s">
        <v>195</v>
      </c>
      <c r="I771" t="s">
        <v>184</v>
      </c>
    </row>
    <row r="772" spans="1:9" x14ac:dyDescent="0.2">
      <c r="A772">
        <v>770</v>
      </c>
      <c r="B772" t="s">
        <v>1575</v>
      </c>
      <c r="C772" t="s">
        <v>1576</v>
      </c>
      <c r="D772" t="s">
        <v>163</v>
      </c>
      <c r="E772" t="s">
        <v>136</v>
      </c>
      <c r="F772">
        <v>31751000</v>
      </c>
      <c r="G772" t="s">
        <v>137</v>
      </c>
      <c r="H772" t="s">
        <v>138</v>
      </c>
      <c r="I772" t="s">
        <v>139</v>
      </c>
    </row>
    <row r="773" spans="1:9" x14ac:dyDescent="0.2">
      <c r="A773">
        <v>771</v>
      </c>
      <c r="B773" t="s">
        <v>1577</v>
      </c>
      <c r="C773" t="s">
        <v>1578</v>
      </c>
      <c r="D773" t="s">
        <v>166</v>
      </c>
      <c r="E773" t="s">
        <v>136</v>
      </c>
      <c r="F773">
        <v>10050392</v>
      </c>
      <c r="G773" t="s">
        <v>166</v>
      </c>
      <c r="H773" t="s">
        <v>166</v>
      </c>
      <c r="I773" t="s">
        <v>160</v>
      </c>
    </row>
    <row r="774" spans="1:9" x14ac:dyDescent="0.2">
      <c r="A774">
        <v>772</v>
      </c>
      <c r="B774" t="s">
        <v>3390</v>
      </c>
      <c r="C774" t="s">
        <v>1579</v>
      </c>
      <c r="D774" t="s">
        <v>773</v>
      </c>
      <c r="E774" t="s">
        <v>167</v>
      </c>
      <c r="F774">
        <v>22709408</v>
      </c>
      <c r="G774" t="s">
        <v>290</v>
      </c>
      <c r="H774" t="s">
        <v>183</v>
      </c>
      <c r="I774" t="s">
        <v>184</v>
      </c>
    </row>
    <row r="775" spans="1:9" x14ac:dyDescent="0.2">
      <c r="A775">
        <v>773</v>
      </c>
      <c r="B775" t="s">
        <v>1580</v>
      </c>
      <c r="C775" t="s">
        <v>1581</v>
      </c>
      <c r="D775" t="s">
        <v>430</v>
      </c>
      <c r="E775" t="s">
        <v>167</v>
      </c>
      <c r="F775">
        <v>4267683</v>
      </c>
      <c r="G775" t="s">
        <v>326</v>
      </c>
      <c r="H775" t="s">
        <v>327</v>
      </c>
      <c r="I775" t="s">
        <v>217</v>
      </c>
    </row>
    <row r="776" spans="1:9" x14ac:dyDescent="0.2">
      <c r="A776">
        <v>774</v>
      </c>
      <c r="B776" t="s">
        <v>1582</v>
      </c>
      <c r="C776" t="s">
        <v>1583</v>
      </c>
      <c r="D776" t="s">
        <v>170</v>
      </c>
      <c r="E776" t="s">
        <v>143</v>
      </c>
      <c r="F776">
        <v>6102272659</v>
      </c>
      <c r="G776" t="s">
        <v>170</v>
      </c>
      <c r="H776" t="s">
        <v>170</v>
      </c>
      <c r="I776" t="s">
        <v>170</v>
      </c>
    </row>
    <row r="777" spans="1:9" x14ac:dyDescent="0.2">
      <c r="A777">
        <v>775</v>
      </c>
      <c r="B777" t="s">
        <v>3391</v>
      </c>
      <c r="C777" t="s">
        <v>1584</v>
      </c>
      <c r="D777" t="s">
        <v>194</v>
      </c>
      <c r="E777" t="s">
        <v>167</v>
      </c>
      <c r="F777">
        <v>120218540</v>
      </c>
      <c r="G777" t="s">
        <v>195</v>
      </c>
      <c r="H777" t="s">
        <v>195</v>
      </c>
      <c r="I777" t="s">
        <v>184</v>
      </c>
    </row>
    <row r="778" spans="1:9" x14ac:dyDescent="0.2">
      <c r="A778">
        <v>776</v>
      </c>
      <c r="B778" t="s">
        <v>3392</v>
      </c>
      <c r="C778" t="s">
        <v>1585</v>
      </c>
      <c r="D778" t="s">
        <v>437</v>
      </c>
      <c r="E778" t="s">
        <v>136</v>
      </c>
      <c r="F778">
        <v>5750000</v>
      </c>
      <c r="G778" t="s">
        <v>182</v>
      </c>
      <c r="H778" t="s">
        <v>183</v>
      </c>
      <c r="I778" t="s">
        <v>184</v>
      </c>
    </row>
    <row r="779" spans="1:9" x14ac:dyDescent="0.2">
      <c r="A779">
        <v>777</v>
      </c>
      <c r="B779" t="s">
        <v>1586</v>
      </c>
      <c r="C779" t="s">
        <v>1587</v>
      </c>
      <c r="D779" t="s">
        <v>158</v>
      </c>
      <c r="E779" t="s">
        <v>167</v>
      </c>
      <c r="F779">
        <v>572812981</v>
      </c>
      <c r="G779" t="s">
        <v>159</v>
      </c>
      <c r="H779" t="s">
        <v>159</v>
      </c>
      <c r="I779" t="s">
        <v>160</v>
      </c>
    </row>
    <row r="780" spans="1:9" x14ac:dyDescent="0.2">
      <c r="A780">
        <v>778</v>
      </c>
      <c r="B780" t="s">
        <v>3393</v>
      </c>
      <c r="C780" t="s">
        <v>3394</v>
      </c>
      <c r="D780" t="s">
        <v>166</v>
      </c>
      <c r="E780" t="s">
        <v>136</v>
      </c>
      <c r="F780">
        <v>3800000</v>
      </c>
      <c r="G780" t="s">
        <v>166</v>
      </c>
      <c r="H780" t="s">
        <v>166</v>
      </c>
      <c r="I780" t="s">
        <v>160</v>
      </c>
    </row>
    <row r="781" spans="1:9" x14ac:dyDescent="0.2">
      <c r="A781">
        <v>779</v>
      </c>
      <c r="B781" t="s">
        <v>3395</v>
      </c>
      <c r="C781" t="s">
        <v>1588</v>
      </c>
      <c r="D781" t="s">
        <v>194</v>
      </c>
      <c r="E781" t="s">
        <v>167</v>
      </c>
      <c r="F781">
        <v>5016124</v>
      </c>
      <c r="G781" t="s">
        <v>195</v>
      </c>
      <c r="H781" t="s">
        <v>195</v>
      </c>
      <c r="I781" t="s">
        <v>184</v>
      </c>
    </row>
    <row r="782" spans="1:9" x14ac:dyDescent="0.2">
      <c r="A782">
        <v>780</v>
      </c>
      <c r="B782" t="s">
        <v>1589</v>
      </c>
      <c r="C782" t="s">
        <v>1590</v>
      </c>
      <c r="D782" t="s">
        <v>237</v>
      </c>
      <c r="E782" t="s">
        <v>167</v>
      </c>
      <c r="F782">
        <v>10777838</v>
      </c>
      <c r="G782" t="s">
        <v>154</v>
      </c>
      <c r="H782" t="s">
        <v>155</v>
      </c>
      <c r="I782" t="s">
        <v>139</v>
      </c>
    </row>
    <row r="783" spans="1:9" x14ac:dyDescent="0.2">
      <c r="A783">
        <v>781</v>
      </c>
      <c r="B783" t="s">
        <v>3396</v>
      </c>
      <c r="C783" t="s">
        <v>1591</v>
      </c>
      <c r="D783" t="s">
        <v>208</v>
      </c>
      <c r="E783" t="s">
        <v>136</v>
      </c>
      <c r="F783">
        <v>57510000</v>
      </c>
      <c r="G783" t="s">
        <v>195</v>
      </c>
      <c r="H783" t="s">
        <v>195</v>
      </c>
      <c r="I783" t="s">
        <v>184</v>
      </c>
    </row>
    <row r="784" spans="1:9" x14ac:dyDescent="0.2">
      <c r="A784">
        <v>782</v>
      </c>
      <c r="B784" t="s">
        <v>1592</v>
      </c>
      <c r="C784" t="s">
        <v>1593</v>
      </c>
      <c r="D784" t="s">
        <v>237</v>
      </c>
      <c r="E784" t="s">
        <v>136</v>
      </c>
      <c r="F784">
        <v>1062364822</v>
      </c>
      <c r="G784" t="s">
        <v>154</v>
      </c>
      <c r="H784" t="s">
        <v>155</v>
      </c>
      <c r="I784" t="s">
        <v>139</v>
      </c>
    </row>
    <row r="785" spans="1:9" x14ac:dyDescent="0.2">
      <c r="A785">
        <v>783</v>
      </c>
      <c r="B785" t="s">
        <v>2987</v>
      </c>
      <c r="C785" t="s">
        <v>2988</v>
      </c>
      <c r="D785" t="s">
        <v>237</v>
      </c>
      <c r="E785" t="s">
        <v>143</v>
      </c>
      <c r="F785">
        <v>110000000</v>
      </c>
      <c r="G785" t="s">
        <v>154</v>
      </c>
      <c r="H785" t="s">
        <v>155</v>
      </c>
      <c r="I785" t="s">
        <v>139</v>
      </c>
    </row>
    <row r="786" spans="1:9" x14ac:dyDescent="0.2">
      <c r="A786">
        <v>784</v>
      </c>
      <c r="B786" t="s">
        <v>3397</v>
      </c>
      <c r="C786" t="s">
        <v>1594</v>
      </c>
      <c r="D786" t="s">
        <v>208</v>
      </c>
      <c r="E786" t="s">
        <v>167</v>
      </c>
      <c r="F786">
        <v>4103929</v>
      </c>
      <c r="G786" t="s">
        <v>195</v>
      </c>
      <c r="H786" t="s">
        <v>195</v>
      </c>
      <c r="I786" t="s">
        <v>184</v>
      </c>
    </row>
    <row r="787" spans="1:9" x14ac:dyDescent="0.2">
      <c r="A787">
        <v>785</v>
      </c>
      <c r="B787" t="s">
        <v>3398</v>
      </c>
      <c r="C787" t="s">
        <v>1595</v>
      </c>
      <c r="D787" t="s">
        <v>283</v>
      </c>
      <c r="E787" t="s">
        <v>143</v>
      </c>
      <c r="F787">
        <v>18081053</v>
      </c>
      <c r="G787" t="s">
        <v>284</v>
      </c>
      <c r="H787" t="s">
        <v>183</v>
      </c>
      <c r="I787" t="s">
        <v>184</v>
      </c>
    </row>
    <row r="788" spans="1:9" x14ac:dyDescent="0.2">
      <c r="A788">
        <v>786</v>
      </c>
      <c r="B788" t="s">
        <v>3399</v>
      </c>
      <c r="C788" t="s">
        <v>1596</v>
      </c>
      <c r="D788" t="s">
        <v>437</v>
      </c>
      <c r="E788" t="s">
        <v>136</v>
      </c>
      <c r="F788">
        <v>1200000</v>
      </c>
      <c r="G788" t="s">
        <v>182</v>
      </c>
      <c r="H788" t="s">
        <v>183</v>
      </c>
      <c r="I788" t="s">
        <v>184</v>
      </c>
    </row>
    <row r="789" spans="1:9" x14ac:dyDescent="0.2">
      <c r="A789">
        <v>787</v>
      </c>
      <c r="B789" t="s">
        <v>1597</v>
      </c>
      <c r="C789" t="s">
        <v>1598</v>
      </c>
      <c r="D789" t="s">
        <v>148</v>
      </c>
      <c r="E789" t="s">
        <v>167</v>
      </c>
      <c r="F789">
        <v>21418346</v>
      </c>
      <c r="G789" t="s">
        <v>149</v>
      </c>
      <c r="H789" t="s">
        <v>150</v>
      </c>
      <c r="I789" t="s">
        <v>145</v>
      </c>
    </row>
    <row r="790" spans="1:9" x14ac:dyDescent="0.2">
      <c r="A790">
        <v>788</v>
      </c>
      <c r="B790" t="s">
        <v>1599</v>
      </c>
      <c r="C790" t="s">
        <v>1600</v>
      </c>
      <c r="D790" t="s">
        <v>200</v>
      </c>
      <c r="E790" t="s">
        <v>136</v>
      </c>
      <c r="F790">
        <v>55113595</v>
      </c>
      <c r="G790" t="s">
        <v>201</v>
      </c>
      <c r="H790" t="s">
        <v>150</v>
      </c>
      <c r="I790" t="s">
        <v>145</v>
      </c>
    </row>
    <row r="791" spans="1:9" x14ac:dyDescent="0.2">
      <c r="A791">
        <v>789</v>
      </c>
      <c r="B791" t="s">
        <v>3400</v>
      </c>
      <c r="C791" t="s">
        <v>1601</v>
      </c>
      <c r="D791" t="s">
        <v>194</v>
      </c>
      <c r="E791" t="s">
        <v>143</v>
      </c>
      <c r="F791">
        <v>10889031</v>
      </c>
      <c r="G791" t="s">
        <v>195</v>
      </c>
      <c r="H791" t="s">
        <v>195</v>
      </c>
      <c r="I791" t="s">
        <v>184</v>
      </c>
    </row>
    <row r="792" spans="1:9" x14ac:dyDescent="0.2">
      <c r="A792">
        <v>790</v>
      </c>
      <c r="B792" t="s">
        <v>3401</v>
      </c>
      <c r="C792" t="s">
        <v>1602</v>
      </c>
      <c r="D792" t="s">
        <v>208</v>
      </c>
      <c r="E792" t="s">
        <v>136</v>
      </c>
      <c r="F792">
        <v>8353620</v>
      </c>
      <c r="G792" t="s">
        <v>195</v>
      </c>
      <c r="H792" t="s">
        <v>195</v>
      </c>
      <c r="I792" t="s">
        <v>184</v>
      </c>
    </row>
    <row r="793" spans="1:9" x14ac:dyDescent="0.2">
      <c r="A793">
        <v>791</v>
      </c>
      <c r="B793" t="s">
        <v>1603</v>
      </c>
      <c r="C793" t="s">
        <v>1604</v>
      </c>
      <c r="D793" t="s">
        <v>240</v>
      </c>
      <c r="E793" t="s">
        <v>167</v>
      </c>
      <c r="F793">
        <v>12410000</v>
      </c>
      <c r="G793" t="s">
        <v>240</v>
      </c>
      <c r="H793" t="s">
        <v>241</v>
      </c>
      <c r="I793" t="s">
        <v>242</v>
      </c>
    </row>
    <row r="794" spans="1:9" x14ac:dyDescent="0.2">
      <c r="A794">
        <v>792</v>
      </c>
      <c r="B794" t="s">
        <v>1605</v>
      </c>
      <c r="C794" t="s">
        <v>1606</v>
      </c>
      <c r="D794" t="s">
        <v>870</v>
      </c>
      <c r="E794" t="s">
        <v>136</v>
      </c>
      <c r="F794">
        <v>4135097</v>
      </c>
      <c r="G794" t="s">
        <v>269</v>
      </c>
      <c r="H794" t="s">
        <v>241</v>
      </c>
      <c r="I794" t="s">
        <v>242</v>
      </c>
    </row>
    <row r="795" spans="1:9" x14ac:dyDescent="0.2">
      <c r="A795">
        <v>793</v>
      </c>
      <c r="B795" t="s">
        <v>1607</v>
      </c>
      <c r="C795" t="s">
        <v>1608</v>
      </c>
      <c r="D795" t="s">
        <v>355</v>
      </c>
      <c r="E795" t="s">
        <v>167</v>
      </c>
      <c r="F795">
        <v>15000000</v>
      </c>
      <c r="G795" t="s">
        <v>356</v>
      </c>
      <c r="H795" t="s">
        <v>150</v>
      </c>
      <c r="I795" t="s">
        <v>145</v>
      </c>
    </row>
    <row r="796" spans="1:9" x14ac:dyDescent="0.2">
      <c r="A796">
        <v>794</v>
      </c>
      <c r="B796" t="s">
        <v>3402</v>
      </c>
      <c r="C796" t="s">
        <v>1609</v>
      </c>
      <c r="D796" t="s">
        <v>208</v>
      </c>
      <c r="E796" t="s">
        <v>136</v>
      </c>
      <c r="F796">
        <v>18600000</v>
      </c>
      <c r="G796" t="s">
        <v>195</v>
      </c>
      <c r="H796" t="s">
        <v>195</v>
      </c>
      <c r="I796" t="s">
        <v>184</v>
      </c>
    </row>
    <row r="797" spans="1:9" x14ac:dyDescent="0.2">
      <c r="A797">
        <v>795</v>
      </c>
      <c r="B797" t="s">
        <v>1610</v>
      </c>
      <c r="C797" t="s">
        <v>1611</v>
      </c>
      <c r="D797" t="s">
        <v>173</v>
      </c>
      <c r="E797" t="s">
        <v>136</v>
      </c>
      <c r="F797">
        <v>7062979</v>
      </c>
      <c r="G797" t="s">
        <v>173</v>
      </c>
      <c r="H797" t="s">
        <v>174</v>
      </c>
      <c r="I797" t="s">
        <v>174</v>
      </c>
    </row>
    <row r="798" spans="1:9" x14ac:dyDescent="0.2">
      <c r="A798">
        <v>796</v>
      </c>
      <c r="B798" t="s">
        <v>1612</v>
      </c>
      <c r="C798" t="s">
        <v>1613</v>
      </c>
      <c r="D798" t="s">
        <v>149</v>
      </c>
      <c r="E798" t="s">
        <v>136</v>
      </c>
      <c r="F798">
        <v>10800000</v>
      </c>
      <c r="G798" t="s">
        <v>149</v>
      </c>
      <c r="H798" t="s">
        <v>150</v>
      </c>
      <c r="I798" t="s">
        <v>145</v>
      </c>
    </row>
    <row r="799" spans="1:9" x14ac:dyDescent="0.2">
      <c r="A799">
        <v>797</v>
      </c>
      <c r="B799" t="s">
        <v>1614</v>
      </c>
      <c r="C799" t="s">
        <v>1615</v>
      </c>
      <c r="D799" t="s">
        <v>163</v>
      </c>
      <c r="E799" t="s">
        <v>136</v>
      </c>
      <c r="F799">
        <v>8999622</v>
      </c>
      <c r="G799" t="s">
        <v>137</v>
      </c>
      <c r="H799" t="s">
        <v>138</v>
      </c>
      <c r="I799" t="s">
        <v>139</v>
      </c>
    </row>
    <row r="800" spans="1:9" x14ac:dyDescent="0.2">
      <c r="A800">
        <v>798</v>
      </c>
      <c r="B800" t="s">
        <v>1616</v>
      </c>
      <c r="C800" t="s">
        <v>1617</v>
      </c>
      <c r="D800" t="s">
        <v>166</v>
      </c>
      <c r="E800" t="s">
        <v>136</v>
      </c>
      <c r="F800">
        <v>20000000</v>
      </c>
      <c r="G800" t="s">
        <v>166</v>
      </c>
      <c r="H800" t="s">
        <v>166</v>
      </c>
      <c r="I800" t="s">
        <v>160</v>
      </c>
    </row>
    <row r="801" spans="1:9" x14ac:dyDescent="0.2">
      <c r="A801">
        <v>799</v>
      </c>
      <c r="B801" t="s">
        <v>1618</v>
      </c>
      <c r="C801" t="s">
        <v>1619</v>
      </c>
      <c r="D801" t="s">
        <v>166</v>
      </c>
      <c r="E801" t="s">
        <v>136</v>
      </c>
      <c r="F801">
        <v>24000000</v>
      </c>
      <c r="G801" t="s">
        <v>166</v>
      </c>
      <c r="H801" t="s">
        <v>166</v>
      </c>
      <c r="I801" t="s">
        <v>160</v>
      </c>
    </row>
    <row r="802" spans="1:9" x14ac:dyDescent="0.2">
      <c r="A802">
        <v>800</v>
      </c>
      <c r="B802" t="s">
        <v>3403</v>
      </c>
      <c r="C802" t="s">
        <v>1620</v>
      </c>
      <c r="D802" t="s">
        <v>882</v>
      </c>
      <c r="E802" t="s">
        <v>143</v>
      </c>
      <c r="F802">
        <v>43476318</v>
      </c>
      <c r="G802" t="s">
        <v>212</v>
      </c>
      <c r="H802" t="s">
        <v>183</v>
      </c>
      <c r="I802" t="s">
        <v>184</v>
      </c>
    </row>
    <row r="803" spans="1:9" x14ac:dyDescent="0.2">
      <c r="A803">
        <v>801</v>
      </c>
      <c r="B803" t="s">
        <v>3404</v>
      </c>
      <c r="C803" t="s">
        <v>3405</v>
      </c>
      <c r="D803" t="s">
        <v>355</v>
      </c>
      <c r="E803" t="s">
        <v>136</v>
      </c>
      <c r="F803">
        <v>5430923</v>
      </c>
      <c r="G803" t="s">
        <v>356</v>
      </c>
      <c r="H803" t="s">
        <v>150</v>
      </c>
      <c r="I803" t="s">
        <v>145</v>
      </c>
    </row>
    <row r="804" spans="1:9" x14ac:dyDescent="0.2">
      <c r="A804">
        <v>802</v>
      </c>
      <c r="B804" t="s">
        <v>1621</v>
      </c>
      <c r="C804" t="s">
        <v>1622</v>
      </c>
      <c r="D804" t="s">
        <v>149</v>
      </c>
      <c r="E804" t="s">
        <v>167</v>
      </c>
      <c r="F804">
        <v>5544946</v>
      </c>
      <c r="G804" t="s">
        <v>149</v>
      </c>
      <c r="H804" t="s">
        <v>150</v>
      </c>
      <c r="I804" t="s">
        <v>145</v>
      </c>
    </row>
    <row r="805" spans="1:9" x14ac:dyDescent="0.2">
      <c r="A805">
        <v>803</v>
      </c>
      <c r="B805" t="s">
        <v>3406</v>
      </c>
      <c r="C805" t="s">
        <v>1623</v>
      </c>
      <c r="D805" t="s">
        <v>289</v>
      </c>
      <c r="E805" t="s">
        <v>136</v>
      </c>
      <c r="F805">
        <v>141991500</v>
      </c>
      <c r="G805" t="s">
        <v>290</v>
      </c>
      <c r="H805" t="s">
        <v>183</v>
      </c>
      <c r="I805" t="s">
        <v>184</v>
      </c>
    </row>
    <row r="806" spans="1:9" x14ac:dyDescent="0.2">
      <c r="A806">
        <v>804</v>
      </c>
      <c r="B806" t="s">
        <v>1624</v>
      </c>
      <c r="C806" t="s">
        <v>1625</v>
      </c>
      <c r="D806" t="s">
        <v>177</v>
      </c>
      <c r="E806" t="s">
        <v>143</v>
      </c>
      <c r="F806">
        <v>201433375</v>
      </c>
      <c r="G806" t="s">
        <v>177</v>
      </c>
      <c r="H806" t="s">
        <v>178</v>
      </c>
      <c r="I806" t="s">
        <v>160</v>
      </c>
    </row>
    <row r="807" spans="1:9" x14ac:dyDescent="0.2">
      <c r="A807">
        <v>805</v>
      </c>
      <c r="B807" t="s">
        <v>1626</v>
      </c>
      <c r="C807" t="s">
        <v>1627</v>
      </c>
      <c r="D807" t="s">
        <v>149</v>
      </c>
      <c r="E807" t="s">
        <v>136</v>
      </c>
      <c r="F807">
        <v>3409860</v>
      </c>
      <c r="G807" t="s">
        <v>149</v>
      </c>
      <c r="H807" t="s">
        <v>150</v>
      </c>
      <c r="I807" t="s">
        <v>145</v>
      </c>
    </row>
    <row r="808" spans="1:9" x14ac:dyDescent="0.2">
      <c r="A808">
        <v>806</v>
      </c>
      <c r="B808" t="s">
        <v>1628</v>
      </c>
      <c r="C808" t="s">
        <v>1629</v>
      </c>
      <c r="D808" t="s">
        <v>240</v>
      </c>
      <c r="E808" t="s">
        <v>136</v>
      </c>
      <c r="F808">
        <v>25545867</v>
      </c>
      <c r="G808" t="s">
        <v>240</v>
      </c>
      <c r="H808" t="s">
        <v>241</v>
      </c>
      <c r="I808" t="s">
        <v>242</v>
      </c>
    </row>
    <row r="809" spans="1:9" x14ac:dyDescent="0.2">
      <c r="A809">
        <v>807</v>
      </c>
      <c r="B809" t="s">
        <v>1630</v>
      </c>
      <c r="C809" t="s">
        <v>1631</v>
      </c>
      <c r="D809" t="s">
        <v>240</v>
      </c>
      <c r="E809" t="s">
        <v>167</v>
      </c>
      <c r="F809">
        <v>5000038</v>
      </c>
      <c r="G809" t="s">
        <v>240</v>
      </c>
      <c r="H809" t="s">
        <v>241</v>
      </c>
      <c r="I809" t="s">
        <v>242</v>
      </c>
    </row>
    <row r="810" spans="1:9" x14ac:dyDescent="0.2">
      <c r="A810">
        <v>808</v>
      </c>
      <c r="B810" t="s">
        <v>3407</v>
      </c>
      <c r="C810" t="s">
        <v>1632</v>
      </c>
      <c r="D810" t="s">
        <v>437</v>
      </c>
      <c r="E810" t="s">
        <v>136</v>
      </c>
      <c r="F810">
        <v>4171175</v>
      </c>
      <c r="G810" t="s">
        <v>182</v>
      </c>
      <c r="H810" t="s">
        <v>183</v>
      </c>
      <c r="I810" t="s">
        <v>184</v>
      </c>
    </row>
    <row r="811" spans="1:9" x14ac:dyDescent="0.2">
      <c r="A811">
        <v>809</v>
      </c>
      <c r="B811" t="s">
        <v>1633</v>
      </c>
      <c r="C811" t="s">
        <v>1634</v>
      </c>
      <c r="D811" t="s">
        <v>153</v>
      </c>
      <c r="E811" t="s">
        <v>136</v>
      </c>
      <c r="F811">
        <v>4000000</v>
      </c>
      <c r="G811" t="s">
        <v>154</v>
      </c>
      <c r="H811" t="s">
        <v>155</v>
      </c>
      <c r="I811" t="s">
        <v>139</v>
      </c>
    </row>
    <row r="812" spans="1:9" x14ac:dyDescent="0.2">
      <c r="A812">
        <v>810</v>
      </c>
      <c r="B812" t="s">
        <v>1635</v>
      </c>
      <c r="C812" t="s">
        <v>1636</v>
      </c>
      <c r="D812" t="s">
        <v>237</v>
      </c>
      <c r="E812" t="s">
        <v>136</v>
      </c>
      <c r="F812">
        <v>329052593</v>
      </c>
      <c r="G812" t="s">
        <v>154</v>
      </c>
      <c r="H812" t="s">
        <v>155</v>
      </c>
      <c r="I812" t="s">
        <v>139</v>
      </c>
    </row>
    <row r="813" spans="1:9" x14ac:dyDescent="0.2">
      <c r="A813">
        <v>811</v>
      </c>
      <c r="B813" t="s">
        <v>1637</v>
      </c>
      <c r="C813" t="s">
        <v>1638</v>
      </c>
      <c r="D813" t="s">
        <v>163</v>
      </c>
      <c r="E813" t="s">
        <v>136</v>
      </c>
      <c r="F813">
        <v>20000000</v>
      </c>
      <c r="G813" t="s">
        <v>137</v>
      </c>
      <c r="H813" t="s">
        <v>138</v>
      </c>
      <c r="I813" t="s">
        <v>139</v>
      </c>
    </row>
    <row r="814" spans="1:9" x14ac:dyDescent="0.2">
      <c r="A814">
        <v>812</v>
      </c>
      <c r="B814" t="s">
        <v>3408</v>
      </c>
      <c r="C814" t="s">
        <v>1639</v>
      </c>
      <c r="D814" t="s">
        <v>437</v>
      </c>
      <c r="E814" t="s">
        <v>136</v>
      </c>
      <c r="F814">
        <v>2194475</v>
      </c>
      <c r="G814" t="s">
        <v>182</v>
      </c>
      <c r="H814" t="s">
        <v>183</v>
      </c>
      <c r="I814" t="s">
        <v>184</v>
      </c>
    </row>
    <row r="815" spans="1:9" x14ac:dyDescent="0.2">
      <c r="A815">
        <v>813</v>
      </c>
      <c r="B815" t="s">
        <v>1640</v>
      </c>
      <c r="C815" t="s">
        <v>1641</v>
      </c>
      <c r="D815" t="s">
        <v>153</v>
      </c>
      <c r="E815" t="s">
        <v>136</v>
      </c>
      <c r="F815">
        <v>400938300</v>
      </c>
      <c r="G815" t="s">
        <v>154</v>
      </c>
      <c r="H815" t="s">
        <v>155</v>
      </c>
      <c r="I815" t="s">
        <v>139</v>
      </c>
    </row>
    <row r="816" spans="1:9" x14ac:dyDescent="0.2">
      <c r="A816">
        <v>814</v>
      </c>
      <c r="B816" t="s">
        <v>1642</v>
      </c>
      <c r="C816" t="s">
        <v>1643</v>
      </c>
      <c r="D816" t="s">
        <v>163</v>
      </c>
      <c r="E816" t="s">
        <v>136</v>
      </c>
      <c r="F816">
        <v>17107164</v>
      </c>
      <c r="G816" t="s">
        <v>137</v>
      </c>
      <c r="H816" t="s">
        <v>138</v>
      </c>
      <c r="I816" t="s">
        <v>139</v>
      </c>
    </row>
    <row r="817" spans="1:9" x14ac:dyDescent="0.2">
      <c r="A817">
        <v>815</v>
      </c>
      <c r="B817" t="s">
        <v>3409</v>
      </c>
      <c r="C817" t="s">
        <v>1644</v>
      </c>
      <c r="D817" t="s">
        <v>437</v>
      </c>
      <c r="E817" t="s">
        <v>136</v>
      </c>
      <c r="F817">
        <v>6143000</v>
      </c>
      <c r="G817" t="s">
        <v>182</v>
      </c>
      <c r="H817" t="s">
        <v>183</v>
      </c>
      <c r="I817" t="s">
        <v>184</v>
      </c>
    </row>
    <row r="818" spans="1:9" x14ac:dyDescent="0.2">
      <c r="A818">
        <v>816</v>
      </c>
      <c r="B818" t="s">
        <v>3410</v>
      </c>
      <c r="C818" t="s">
        <v>1645</v>
      </c>
      <c r="D818" t="s">
        <v>437</v>
      </c>
      <c r="E818" t="s">
        <v>136</v>
      </c>
      <c r="F818">
        <v>3675675</v>
      </c>
      <c r="G818" t="s">
        <v>182</v>
      </c>
      <c r="H818" t="s">
        <v>183</v>
      </c>
      <c r="I818" t="s">
        <v>184</v>
      </c>
    </row>
    <row r="819" spans="1:9" x14ac:dyDescent="0.2">
      <c r="A819">
        <v>817</v>
      </c>
      <c r="B819" t="s">
        <v>3411</v>
      </c>
      <c r="C819" t="s">
        <v>1646</v>
      </c>
      <c r="D819" t="s">
        <v>437</v>
      </c>
      <c r="E819" t="s">
        <v>136</v>
      </c>
      <c r="F819">
        <v>7018925</v>
      </c>
      <c r="G819" t="s">
        <v>182</v>
      </c>
      <c r="H819" t="s">
        <v>183</v>
      </c>
      <c r="I819" t="s">
        <v>184</v>
      </c>
    </row>
    <row r="820" spans="1:9" x14ac:dyDescent="0.2">
      <c r="A820">
        <v>818</v>
      </c>
      <c r="B820" t="s">
        <v>1647</v>
      </c>
      <c r="C820" t="s">
        <v>1648</v>
      </c>
      <c r="D820" t="s">
        <v>268</v>
      </c>
      <c r="E820" t="s">
        <v>136</v>
      </c>
      <c r="F820">
        <v>6796172</v>
      </c>
      <c r="G820" t="s">
        <v>269</v>
      </c>
      <c r="H820" t="s">
        <v>241</v>
      </c>
      <c r="I820" t="s">
        <v>242</v>
      </c>
    </row>
    <row r="821" spans="1:9" x14ac:dyDescent="0.2">
      <c r="A821">
        <v>819</v>
      </c>
      <c r="B821" t="s">
        <v>1649</v>
      </c>
      <c r="C821" t="s">
        <v>1650</v>
      </c>
      <c r="D821" t="s">
        <v>170</v>
      </c>
      <c r="E821" t="s">
        <v>143</v>
      </c>
      <c r="F821">
        <v>2600000000</v>
      </c>
      <c r="G821" t="s">
        <v>170</v>
      </c>
      <c r="H821" t="s">
        <v>170</v>
      </c>
      <c r="I821" t="s">
        <v>170</v>
      </c>
    </row>
    <row r="822" spans="1:9" x14ac:dyDescent="0.2">
      <c r="A822">
        <v>820</v>
      </c>
      <c r="B822" t="s">
        <v>1651</v>
      </c>
      <c r="C822" t="s">
        <v>1652</v>
      </c>
      <c r="D822" t="s">
        <v>163</v>
      </c>
      <c r="E822" t="s">
        <v>143</v>
      </c>
      <c r="F822">
        <v>112521020</v>
      </c>
      <c r="G822" t="s">
        <v>137</v>
      </c>
      <c r="H822" t="s">
        <v>138</v>
      </c>
      <c r="I822" t="s">
        <v>139</v>
      </c>
    </row>
    <row r="823" spans="1:9" x14ac:dyDescent="0.2">
      <c r="A823">
        <v>821</v>
      </c>
      <c r="B823" t="s">
        <v>1653</v>
      </c>
      <c r="C823" t="s">
        <v>1654</v>
      </c>
      <c r="D823" t="s">
        <v>237</v>
      </c>
      <c r="E823" t="s">
        <v>143</v>
      </c>
      <c r="F823">
        <v>1445915457</v>
      </c>
      <c r="G823" t="s">
        <v>154</v>
      </c>
      <c r="H823" t="s">
        <v>155</v>
      </c>
      <c r="I823" t="s">
        <v>139</v>
      </c>
    </row>
    <row r="824" spans="1:9" x14ac:dyDescent="0.2">
      <c r="A824">
        <v>822</v>
      </c>
      <c r="B824" t="s">
        <v>1655</v>
      </c>
      <c r="C824" t="s">
        <v>1656</v>
      </c>
      <c r="D824" t="s">
        <v>149</v>
      </c>
      <c r="E824" t="s">
        <v>136</v>
      </c>
      <c r="F824">
        <v>1099155420</v>
      </c>
      <c r="G824" t="s">
        <v>149</v>
      </c>
      <c r="H824" t="s">
        <v>150</v>
      </c>
      <c r="I824" t="s">
        <v>145</v>
      </c>
    </row>
    <row r="825" spans="1:9" x14ac:dyDescent="0.2">
      <c r="A825">
        <v>823</v>
      </c>
      <c r="B825" t="s">
        <v>3147</v>
      </c>
      <c r="C825" t="s">
        <v>1657</v>
      </c>
      <c r="D825" t="s">
        <v>208</v>
      </c>
      <c r="E825" t="s">
        <v>167</v>
      </c>
      <c r="F825">
        <v>76004301</v>
      </c>
      <c r="G825" t="s">
        <v>195</v>
      </c>
      <c r="H825" t="s">
        <v>195</v>
      </c>
      <c r="I825" t="s">
        <v>184</v>
      </c>
    </row>
    <row r="826" spans="1:9" x14ac:dyDescent="0.2">
      <c r="A826">
        <v>824</v>
      </c>
      <c r="B826" t="s">
        <v>1658</v>
      </c>
      <c r="C826" t="s">
        <v>1659</v>
      </c>
      <c r="D826" t="s">
        <v>149</v>
      </c>
      <c r="E826" t="s">
        <v>136</v>
      </c>
      <c r="F826">
        <v>110113591</v>
      </c>
      <c r="G826" t="s">
        <v>149</v>
      </c>
      <c r="H826" t="s">
        <v>150</v>
      </c>
      <c r="I826" t="s">
        <v>145</v>
      </c>
    </row>
    <row r="827" spans="1:9" x14ac:dyDescent="0.2">
      <c r="A827">
        <v>825</v>
      </c>
      <c r="B827" t="s">
        <v>3412</v>
      </c>
      <c r="C827" t="s">
        <v>1660</v>
      </c>
      <c r="D827" t="s">
        <v>437</v>
      </c>
      <c r="E827" t="s">
        <v>136</v>
      </c>
      <c r="F827">
        <v>6278259</v>
      </c>
      <c r="G827" t="s">
        <v>182</v>
      </c>
      <c r="H827" t="s">
        <v>183</v>
      </c>
      <c r="I827" t="s">
        <v>184</v>
      </c>
    </row>
    <row r="828" spans="1:9" x14ac:dyDescent="0.2">
      <c r="A828">
        <v>826</v>
      </c>
      <c r="B828" t="s">
        <v>1661</v>
      </c>
      <c r="C828" t="s">
        <v>1662</v>
      </c>
      <c r="D828" t="s">
        <v>310</v>
      </c>
      <c r="E828" t="s">
        <v>136</v>
      </c>
      <c r="F828">
        <v>10450000</v>
      </c>
      <c r="G828" t="s">
        <v>311</v>
      </c>
      <c r="H828" t="s">
        <v>312</v>
      </c>
      <c r="I828" t="s">
        <v>313</v>
      </c>
    </row>
    <row r="829" spans="1:9" x14ac:dyDescent="0.2">
      <c r="A829">
        <v>827</v>
      </c>
      <c r="B829" t="s">
        <v>3413</v>
      </c>
      <c r="C829" t="s">
        <v>1663</v>
      </c>
      <c r="D829" t="s">
        <v>437</v>
      </c>
      <c r="E829" t="s">
        <v>136</v>
      </c>
      <c r="F829">
        <v>4787910</v>
      </c>
      <c r="G829" t="s">
        <v>182</v>
      </c>
      <c r="H829" t="s">
        <v>183</v>
      </c>
      <c r="I829" t="s">
        <v>184</v>
      </c>
    </row>
    <row r="830" spans="1:9" x14ac:dyDescent="0.2">
      <c r="A830">
        <v>828</v>
      </c>
      <c r="B830" t="s">
        <v>3414</v>
      </c>
      <c r="C830" t="s">
        <v>1664</v>
      </c>
      <c r="D830" t="s">
        <v>437</v>
      </c>
      <c r="E830" t="s">
        <v>136</v>
      </c>
      <c r="F830">
        <v>6000000</v>
      </c>
      <c r="G830" t="s">
        <v>182</v>
      </c>
      <c r="H830" t="s">
        <v>183</v>
      </c>
      <c r="I830" t="s">
        <v>184</v>
      </c>
    </row>
    <row r="831" spans="1:9" x14ac:dyDescent="0.2">
      <c r="A831">
        <v>829</v>
      </c>
      <c r="B831" t="s">
        <v>1665</v>
      </c>
      <c r="C831" t="s">
        <v>1666</v>
      </c>
      <c r="D831" t="s">
        <v>240</v>
      </c>
      <c r="E831" t="s">
        <v>136</v>
      </c>
      <c r="F831">
        <v>7455406</v>
      </c>
      <c r="G831" t="s">
        <v>240</v>
      </c>
      <c r="H831" t="s">
        <v>241</v>
      </c>
      <c r="I831" t="s">
        <v>242</v>
      </c>
    </row>
    <row r="832" spans="1:9" x14ac:dyDescent="0.2">
      <c r="A832">
        <v>830</v>
      </c>
      <c r="B832" t="s">
        <v>3415</v>
      </c>
      <c r="C832" t="s">
        <v>1667</v>
      </c>
      <c r="D832" t="s">
        <v>265</v>
      </c>
      <c r="E832" t="s">
        <v>136</v>
      </c>
      <c r="F832">
        <v>15000000</v>
      </c>
      <c r="G832" t="s">
        <v>182</v>
      </c>
      <c r="H832" t="s">
        <v>183</v>
      </c>
      <c r="I832" t="s">
        <v>184</v>
      </c>
    </row>
    <row r="833" spans="1:9" x14ac:dyDescent="0.2">
      <c r="A833">
        <v>831</v>
      </c>
      <c r="B833" t="s">
        <v>3416</v>
      </c>
      <c r="C833" t="s">
        <v>1668</v>
      </c>
      <c r="D833" t="s">
        <v>437</v>
      </c>
      <c r="E833" t="s">
        <v>136</v>
      </c>
      <c r="F833">
        <v>5400000</v>
      </c>
      <c r="G833" t="s">
        <v>182</v>
      </c>
      <c r="H833" t="s">
        <v>183</v>
      </c>
      <c r="I833" t="s">
        <v>184</v>
      </c>
    </row>
    <row r="834" spans="1:9" x14ac:dyDescent="0.2">
      <c r="A834">
        <v>832</v>
      </c>
      <c r="B834" t="s">
        <v>3417</v>
      </c>
      <c r="C834" t="s">
        <v>3062</v>
      </c>
      <c r="D834" t="s">
        <v>437</v>
      </c>
      <c r="E834" t="s">
        <v>136</v>
      </c>
      <c r="F834">
        <v>645000</v>
      </c>
      <c r="G834" t="s">
        <v>182</v>
      </c>
      <c r="H834" t="s">
        <v>183</v>
      </c>
      <c r="I834" t="s">
        <v>184</v>
      </c>
    </row>
    <row r="835" spans="1:9" x14ac:dyDescent="0.2">
      <c r="A835">
        <v>833</v>
      </c>
      <c r="B835" t="s">
        <v>1669</v>
      </c>
      <c r="C835" t="s">
        <v>1670</v>
      </c>
      <c r="D835" t="s">
        <v>149</v>
      </c>
      <c r="E835" t="s">
        <v>167</v>
      </c>
      <c r="F835">
        <v>105000000</v>
      </c>
      <c r="G835" t="s">
        <v>149</v>
      </c>
      <c r="H835" t="s">
        <v>150</v>
      </c>
      <c r="I835" t="s">
        <v>145</v>
      </c>
    </row>
    <row r="836" spans="1:9" x14ac:dyDescent="0.2">
      <c r="A836">
        <v>834</v>
      </c>
      <c r="B836" t="s">
        <v>3418</v>
      </c>
      <c r="C836" t="s">
        <v>1671</v>
      </c>
      <c r="D836" t="s">
        <v>194</v>
      </c>
      <c r="E836" t="s">
        <v>136</v>
      </c>
      <c r="F836">
        <v>100000000</v>
      </c>
      <c r="G836" t="s">
        <v>195</v>
      </c>
      <c r="H836" t="s">
        <v>195</v>
      </c>
      <c r="I836" t="s">
        <v>184</v>
      </c>
    </row>
    <row r="837" spans="1:9" x14ac:dyDescent="0.2">
      <c r="A837">
        <v>835</v>
      </c>
      <c r="B837" t="s">
        <v>3161</v>
      </c>
      <c r="C837" t="s">
        <v>1672</v>
      </c>
      <c r="D837" t="s">
        <v>806</v>
      </c>
      <c r="E837" t="s">
        <v>136</v>
      </c>
      <c r="F837">
        <v>6374700</v>
      </c>
      <c r="G837" t="s">
        <v>212</v>
      </c>
      <c r="H837" t="s">
        <v>183</v>
      </c>
      <c r="I837" t="s">
        <v>184</v>
      </c>
    </row>
    <row r="838" spans="1:9" x14ac:dyDescent="0.2">
      <c r="A838">
        <v>836</v>
      </c>
      <c r="B838" t="s">
        <v>1673</v>
      </c>
      <c r="C838" t="s">
        <v>1674</v>
      </c>
      <c r="D838" t="s">
        <v>316</v>
      </c>
      <c r="E838" t="s">
        <v>143</v>
      </c>
      <c r="F838">
        <v>1479693177</v>
      </c>
      <c r="G838" t="s">
        <v>229</v>
      </c>
      <c r="H838" t="s">
        <v>229</v>
      </c>
      <c r="I838" t="s">
        <v>217</v>
      </c>
    </row>
    <row r="839" spans="1:9" x14ac:dyDescent="0.2">
      <c r="A839">
        <v>837</v>
      </c>
      <c r="B839" t="s">
        <v>3419</v>
      </c>
      <c r="C839" t="s">
        <v>3420</v>
      </c>
      <c r="D839" t="s">
        <v>564</v>
      </c>
      <c r="E839" t="s">
        <v>136</v>
      </c>
      <c r="F839">
        <v>105915068</v>
      </c>
      <c r="G839" t="s">
        <v>201</v>
      </c>
      <c r="H839" t="s">
        <v>150</v>
      </c>
      <c r="I839" t="s">
        <v>145</v>
      </c>
    </row>
    <row r="840" spans="1:9" x14ac:dyDescent="0.2">
      <c r="A840">
        <v>838</v>
      </c>
      <c r="B840" t="s">
        <v>1675</v>
      </c>
      <c r="C840" t="s">
        <v>1676</v>
      </c>
      <c r="D840" t="s">
        <v>170</v>
      </c>
      <c r="E840" t="s">
        <v>143</v>
      </c>
      <c r="F840">
        <v>1715686480</v>
      </c>
      <c r="G840" t="s">
        <v>170</v>
      </c>
      <c r="H840" t="s">
        <v>170</v>
      </c>
      <c r="I840" t="s">
        <v>170</v>
      </c>
    </row>
    <row r="841" spans="1:9" x14ac:dyDescent="0.2">
      <c r="A841">
        <v>839</v>
      </c>
      <c r="B841" t="s">
        <v>3421</v>
      </c>
      <c r="C841" t="s">
        <v>1677</v>
      </c>
      <c r="D841" t="s">
        <v>208</v>
      </c>
      <c r="E841" t="s">
        <v>136</v>
      </c>
      <c r="F841">
        <v>2835000</v>
      </c>
      <c r="G841" t="s">
        <v>195</v>
      </c>
      <c r="H841" t="s">
        <v>195</v>
      </c>
      <c r="I841" t="s">
        <v>184</v>
      </c>
    </row>
    <row r="842" spans="1:9" x14ac:dyDescent="0.2">
      <c r="A842">
        <v>840</v>
      </c>
      <c r="B842" t="s">
        <v>1678</v>
      </c>
      <c r="C842" t="s">
        <v>1679</v>
      </c>
      <c r="D842" t="s">
        <v>400</v>
      </c>
      <c r="E842" t="s">
        <v>143</v>
      </c>
      <c r="F842">
        <v>55620348</v>
      </c>
      <c r="G842" t="s">
        <v>348</v>
      </c>
      <c r="H842" t="s">
        <v>155</v>
      </c>
      <c r="I842" t="s">
        <v>139</v>
      </c>
    </row>
    <row r="843" spans="1:9" x14ac:dyDescent="0.2">
      <c r="A843">
        <v>841</v>
      </c>
      <c r="B843" t="s">
        <v>3422</v>
      </c>
      <c r="C843" t="s">
        <v>1680</v>
      </c>
      <c r="D843" t="s">
        <v>570</v>
      </c>
      <c r="E843" t="s">
        <v>167</v>
      </c>
      <c r="F843">
        <v>38620235</v>
      </c>
      <c r="G843" t="s">
        <v>260</v>
      </c>
      <c r="H843" t="s">
        <v>183</v>
      </c>
      <c r="I843" t="s">
        <v>184</v>
      </c>
    </row>
    <row r="844" spans="1:9" x14ac:dyDescent="0.2">
      <c r="A844">
        <v>842</v>
      </c>
      <c r="B844" t="s">
        <v>3423</v>
      </c>
      <c r="C844" t="s">
        <v>1681</v>
      </c>
      <c r="D844" t="s">
        <v>211</v>
      </c>
      <c r="E844" t="s">
        <v>167</v>
      </c>
      <c r="F844">
        <v>21517200</v>
      </c>
      <c r="G844" t="s">
        <v>212</v>
      </c>
      <c r="H844" t="s">
        <v>183</v>
      </c>
      <c r="I844" t="s">
        <v>184</v>
      </c>
    </row>
    <row r="845" spans="1:9" x14ac:dyDescent="0.2">
      <c r="A845">
        <v>843</v>
      </c>
      <c r="B845" t="s">
        <v>3424</v>
      </c>
      <c r="C845" t="s">
        <v>1682</v>
      </c>
      <c r="D845" t="s">
        <v>211</v>
      </c>
      <c r="E845" t="s">
        <v>136</v>
      </c>
      <c r="F845">
        <v>8315764</v>
      </c>
      <c r="G845" t="s">
        <v>212</v>
      </c>
      <c r="H845" t="s">
        <v>183</v>
      </c>
      <c r="I845" t="s">
        <v>184</v>
      </c>
    </row>
    <row r="846" spans="1:9" x14ac:dyDescent="0.2">
      <c r="A846">
        <v>844</v>
      </c>
      <c r="B846" t="s">
        <v>3425</v>
      </c>
      <c r="C846" t="s">
        <v>1683</v>
      </c>
      <c r="D846" t="s">
        <v>437</v>
      </c>
      <c r="E846" t="s">
        <v>136</v>
      </c>
      <c r="F846">
        <v>3669999</v>
      </c>
      <c r="G846" t="s">
        <v>182</v>
      </c>
      <c r="H846" t="s">
        <v>183</v>
      </c>
      <c r="I846" t="s">
        <v>184</v>
      </c>
    </row>
    <row r="847" spans="1:9" x14ac:dyDescent="0.2">
      <c r="A847">
        <v>845</v>
      </c>
      <c r="B847" t="s">
        <v>3426</v>
      </c>
      <c r="C847" t="s">
        <v>273</v>
      </c>
      <c r="D847" t="s">
        <v>194</v>
      </c>
      <c r="E847" t="s">
        <v>143</v>
      </c>
      <c r="F847">
        <v>8000000</v>
      </c>
      <c r="G847" t="s">
        <v>195</v>
      </c>
      <c r="H847" t="s">
        <v>195</v>
      </c>
      <c r="I847" t="s">
        <v>184</v>
      </c>
    </row>
    <row r="848" spans="1:9" x14ac:dyDescent="0.2">
      <c r="A848">
        <v>846</v>
      </c>
      <c r="B848" t="s">
        <v>1684</v>
      </c>
      <c r="C848" t="s">
        <v>1685</v>
      </c>
      <c r="D848" t="s">
        <v>383</v>
      </c>
      <c r="E848" t="s">
        <v>136</v>
      </c>
      <c r="F848">
        <v>37385983</v>
      </c>
      <c r="G848" t="s">
        <v>311</v>
      </c>
      <c r="H848" t="s">
        <v>312</v>
      </c>
      <c r="I848" t="s">
        <v>313</v>
      </c>
    </row>
    <row r="849" spans="1:9" x14ac:dyDescent="0.2">
      <c r="A849">
        <v>847</v>
      </c>
      <c r="B849" t="s">
        <v>1686</v>
      </c>
      <c r="C849" t="s">
        <v>1687</v>
      </c>
      <c r="D849" t="s">
        <v>166</v>
      </c>
      <c r="E849" t="s">
        <v>143</v>
      </c>
      <c r="F849">
        <v>100475656</v>
      </c>
      <c r="G849" t="s">
        <v>166</v>
      </c>
      <c r="H849" t="s">
        <v>166</v>
      </c>
      <c r="I849" t="s">
        <v>160</v>
      </c>
    </row>
    <row r="850" spans="1:9" x14ac:dyDescent="0.2">
      <c r="A850">
        <v>848</v>
      </c>
      <c r="B850" t="s">
        <v>1688</v>
      </c>
      <c r="C850" t="s">
        <v>1689</v>
      </c>
      <c r="D850" t="s">
        <v>148</v>
      </c>
      <c r="E850" t="s">
        <v>167</v>
      </c>
      <c r="F850">
        <v>36999124</v>
      </c>
      <c r="G850" t="s">
        <v>149</v>
      </c>
      <c r="H850" t="s">
        <v>150</v>
      </c>
      <c r="I850" t="s">
        <v>145</v>
      </c>
    </row>
    <row r="851" spans="1:9" x14ac:dyDescent="0.2">
      <c r="A851">
        <v>849</v>
      </c>
      <c r="B851" t="s">
        <v>1690</v>
      </c>
      <c r="C851" t="s">
        <v>1691</v>
      </c>
      <c r="D851" t="s">
        <v>215</v>
      </c>
      <c r="E851" t="s">
        <v>136</v>
      </c>
      <c r="F851">
        <v>5000000</v>
      </c>
      <c r="G851" t="s">
        <v>216</v>
      </c>
      <c r="H851" t="s">
        <v>216</v>
      </c>
      <c r="I851" t="s">
        <v>217</v>
      </c>
    </row>
    <row r="852" spans="1:9" x14ac:dyDescent="0.2">
      <c r="A852">
        <v>850</v>
      </c>
      <c r="B852" t="s">
        <v>1692</v>
      </c>
      <c r="C852" t="s">
        <v>1693</v>
      </c>
      <c r="D852" t="s">
        <v>330</v>
      </c>
      <c r="E852" t="s">
        <v>167</v>
      </c>
      <c r="F852">
        <v>12865500</v>
      </c>
      <c r="G852" t="s">
        <v>330</v>
      </c>
      <c r="H852" t="s">
        <v>312</v>
      </c>
      <c r="I852" t="s">
        <v>313</v>
      </c>
    </row>
    <row r="853" spans="1:9" x14ac:dyDescent="0.2">
      <c r="A853">
        <v>851</v>
      </c>
      <c r="B853" t="s">
        <v>1694</v>
      </c>
      <c r="C853" t="s">
        <v>1695</v>
      </c>
      <c r="D853" t="s">
        <v>383</v>
      </c>
      <c r="E853" t="s">
        <v>136</v>
      </c>
      <c r="F853">
        <v>29400000</v>
      </c>
      <c r="G853" t="s">
        <v>311</v>
      </c>
      <c r="H853" t="s">
        <v>312</v>
      </c>
      <c r="I853" t="s">
        <v>313</v>
      </c>
    </row>
    <row r="854" spans="1:9" x14ac:dyDescent="0.2">
      <c r="A854">
        <v>852</v>
      </c>
      <c r="B854" t="s">
        <v>1696</v>
      </c>
      <c r="C854" t="s">
        <v>1697</v>
      </c>
      <c r="D854" t="s">
        <v>383</v>
      </c>
      <c r="E854" t="s">
        <v>167</v>
      </c>
      <c r="F854">
        <v>10900000</v>
      </c>
      <c r="G854" t="s">
        <v>311</v>
      </c>
      <c r="H854" t="s">
        <v>312</v>
      </c>
      <c r="I854" t="s">
        <v>313</v>
      </c>
    </row>
    <row r="855" spans="1:9" x14ac:dyDescent="0.2">
      <c r="A855">
        <v>853</v>
      </c>
      <c r="B855" t="s">
        <v>1698</v>
      </c>
      <c r="C855" t="s">
        <v>1699</v>
      </c>
      <c r="D855" t="s">
        <v>153</v>
      </c>
      <c r="E855" t="s">
        <v>136</v>
      </c>
      <c r="F855">
        <v>119784325</v>
      </c>
      <c r="G855" t="s">
        <v>154</v>
      </c>
      <c r="H855" t="s">
        <v>155</v>
      </c>
      <c r="I855" t="s">
        <v>139</v>
      </c>
    </row>
    <row r="856" spans="1:9" x14ac:dyDescent="0.2">
      <c r="A856">
        <v>854</v>
      </c>
      <c r="B856" t="s">
        <v>1700</v>
      </c>
      <c r="C856" t="s">
        <v>1701</v>
      </c>
      <c r="D856" t="s">
        <v>237</v>
      </c>
      <c r="E856" t="s">
        <v>136</v>
      </c>
      <c r="F856">
        <v>17949098</v>
      </c>
      <c r="G856" t="s">
        <v>154</v>
      </c>
      <c r="H856" t="s">
        <v>155</v>
      </c>
      <c r="I856" t="s">
        <v>139</v>
      </c>
    </row>
    <row r="857" spans="1:9" x14ac:dyDescent="0.2">
      <c r="A857">
        <v>855</v>
      </c>
      <c r="B857" t="s">
        <v>1702</v>
      </c>
      <c r="C857" t="s">
        <v>1703</v>
      </c>
      <c r="D857" t="s">
        <v>211</v>
      </c>
      <c r="E857" t="s">
        <v>143</v>
      </c>
      <c r="F857">
        <v>26166940</v>
      </c>
      <c r="G857" t="s">
        <v>212</v>
      </c>
      <c r="H857" t="s">
        <v>183</v>
      </c>
      <c r="I857" t="s">
        <v>184</v>
      </c>
    </row>
    <row r="858" spans="1:9" x14ac:dyDescent="0.2">
      <c r="A858">
        <v>856</v>
      </c>
      <c r="B858" t="s">
        <v>1704</v>
      </c>
      <c r="C858" t="s">
        <v>1705</v>
      </c>
      <c r="D858" t="s">
        <v>330</v>
      </c>
      <c r="E858" t="s">
        <v>136</v>
      </c>
      <c r="F858">
        <v>49993960</v>
      </c>
      <c r="G858" t="s">
        <v>330</v>
      </c>
      <c r="H858" t="s">
        <v>312</v>
      </c>
      <c r="I858" t="s">
        <v>313</v>
      </c>
    </row>
    <row r="859" spans="1:9" x14ac:dyDescent="0.2">
      <c r="A859">
        <v>857</v>
      </c>
      <c r="B859" t="s">
        <v>1706</v>
      </c>
      <c r="C859" t="s">
        <v>1707</v>
      </c>
      <c r="D859" t="s">
        <v>240</v>
      </c>
      <c r="E859" t="s">
        <v>136</v>
      </c>
      <c r="F859">
        <v>5964000</v>
      </c>
      <c r="G859" t="s">
        <v>240</v>
      </c>
      <c r="H859" t="s">
        <v>241</v>
      </c>
      <c r="I859" t="s">
        <v>242</v>
      </c>
    </row>
    <row r="860" spans="1:9" x14ac:dyDescent="0.2">
      <c r="A860">
        <v>858</v>
      </c>
      <c r="B860" t="s">
        <v>1708</v>
      </c>
      <c r="C860" t="s">
        <v>1709</v>
      </c>
      <c r="D860" t="s">
        <v>237</v>
      </c>
      <c r="E860" t="s">
        <v>136</v>
      </c>
      <c r="F860">
        <v>7853800</v>
      </c>
      <c r="G860" t="s">
        <v>154</v>
      </c>
      <c r="H860" t="s">
        <v>155</v>
      </c>
      <c r="I860" t="s">
        <v>139</v>
      </c>
    </row>
    <row r="861" spans="1:9" x14ac:dyDescent="0.2">
      <c r="A861">
        <v>859</v>
      </c>
      <c r="B861" t="s">
        <v>1710</v>
      </c>
      <c r="C861" t="s">
        <v>1711</v>
      </c>
      <c r="D861" t="s">
        <v>166</v>
      </c>
      <c r="E861" t="s">
        <v>167</v>
      </c>
      <c r="F861">
        <v>71657936</v>
      </c>
      <c r="G861" t="s">
        <v>166</v>
      </c>
      <c r="H861" t="s">
        <v>166</v>
      </c>
      <c r="I861" t="s">
        <v>160</v>
      </c>
    </row>
    <row r="862" spans="1:9" x14ac:dyDescent="0.2">
      <c r="A862">
        <v>860</v>
      </c>
      <c r="B862" t="s">
        <v>1712</v>
      </c>
      <c r="C862" t="s">
        <v>1713</v>
      </c>
      <c r="D862" t="s">
        <v>240</v>
      </c>
      <c r="E862" t="s">
        <v>136</v>
      </c>
      <c r="F862">
        <v>11100000</v>
      </c>
      <c r="G862" t="s">
        <v>240</v>
      </c>
      <c r="H862" t="s">
        <v>241</v>
      </c>
      <c r="I862" t="s">
        <v>242</v>
      </c>
    </row>
    <row r="863" spans="1:9" x14ac:dyDescent="0.2">
      <c r="A863">
        <v>861</v>
      </c>
      <c r="B863" t="s">
        <v>1714</v>
      </c>
      <c r="C863" t="s">
        <v>1715</v>
      </c>
      <c r="D863" t="s">
        <v>163</v>
      </c>
      <c r="E863" t="s">
        <v>136</v>
      </c>
      <c r="F863">
        <v>15639976</v>
      </c>
      <c r="G863" t="s">
        <v>137</v>
      </c>
      <c r="H863" t="s">
        <v>138</v>
      </c>
      <c r="I863" t="s">
        <v>139</v>
      </c>
    </row>
    <row r="864" spans="1:9" x14ac:dyDescent="0.2">
      <c r="A864">
        <v>862</v>
      </c>
      <c r="B864" t="s">
        <v>1716</v>
      </c>
      <c r="C864" t="s">
        <v>1717</v>
      </c>
      <c r="D864" t="s">
        <v>383</v>
      </c>
      <c r="E864" t="s">
        <v>136</v>
      </c>
      <c r="F864">
        <v>34311748</v>
      </c>
      <c r="G864" t="s">
        <v>311</v>
      </c>
      <c r="H864" t="s">
        <v>312</v>
      </c>
      <c r="I864" t="s">
        <v>313</v>
      </c>
    </row>
    <row r="865" spans="1:9" x14ac:dyDescent="0.2">
      <c r="A865">
        <v>863</v>
      </c>
      <c r="B865" t="s">
        <v>3427</v>
      </c>
      <c r="C865" t="s">
        <v>1718</v>
      </c>
      <c r="D865" t="s">
        <v>208</v>
      </c>
      <c r="E865" t="s">
        <v>167</v>
      </c>
      <c r="F865">
        <v>9987557</v>
      </c>
      <c r="G865" t="s">
        <v>195</v>
      </c>
      <c r="H865" t="s">
        <v>195</v>
      </c>
      <c r="I865" t="s">
        <v>184</v>
      </c>
    </row>
    <row r="866" spans="1:9" x14ac:dyDescent="0.2">
      <c r="A866">
        <v>864</v>
      </c>
      <c r="B866" t="s">
        <v>3428</v>
      </c>
      <c r="C866" t="s">
        <v>1719</v>
      </c>
      <c r="D866" t="s">
        <v>208</v>
      </c>
      <c r="E866" t="s">
        <v>136</v>
      </c>
      <c r="F866">
        <v>40500000</v>
      </c>
      <c r="G866" t="s">
        <v>195</v>
      </c>
      <c r="H866" t="s">
        <v>195</v>
      </c>
      <c r="I866" t="s">
        <v>184</v>
      </c>
    </row>
    <row r="867" spans="1:9" x14ac:dyDescent="0.2">
      <c r="A867">
        <v>865</v>
      </c>
      <c r="B867" t="s">
        <v>3429</v>
      </c>
      <c r="C867" t="s">
        <v>1720</v>
      </c>
      <c r="D867" t="s">
        <v>259</v>
      </c>
      <c r="E867" t="s">
        <v>136</v>
      </c>
      <c r="F867">
        <v>8848500</v>
      </c>
      <c r="G867" t="s">
        <v>260</v>
      </c>
      <c r="H867" t="s">
        <v>183</v>
      </c>
      <c r="I867" t="s">
        <v>184</v>
      </c>
    </row>
    <row r="868" spans="1:9" x14ac:dyDescent="0.2">
      <c r="A868">
        <v>866</v>
      </c>
      <c r="B868" t="s">
        <v>1721</v>
      </c>
      <c r="C868" t="s">
        <v>1722</v>
      </c>
      <c r="D868" t="s">
        <v>137</v>
      </c>
      <c r="E868" t="s">
        <v>167</v>
      </c>
      <c r="F868">
        <v>22398374</v>
      </c>
      <c r="G868" t="s">
        <v>137</v>
      </c>
      <c r="H868" t="s">
        <v>138</v>
      </c>
      <c r="I868" t="s">
        <v>139</v>
      </c>
    </row>
    <row r="869" spans="1:9" x14ac:dyDescent="0.2">
      <c r="A869">
        <v>867</v>
      </c>
      <c r="B869" t="s">
        <v>1723</v>
      </c>
      <c r="C869" t="s">
        <v>1724</v>
      </c>
      <c r="D869" t="s">
        <v>293</v>
      </c>
      <c r="E869" t="s">
        <v>167</v>
      </c>
      <c r="F869">
        <v>15731260</v>
      </c>
      <c r="G869" t="s">
        <v>144</v>
      </c>
      <c r="H869" t="s">
        <v>144</v>
      </c>
      <c r="I869" t="s">
        <v>145</v>
      </c>
    </row>
    <row r="870" spans="1:9" x14ac:dyDescent="0.2">
      <c r="A870">
        <v>868</v>
      </c>
      <c r="B870" t="s">
        <v>1725</v>
      </c>
      <c r="C870" t="s">
        <v>1726</v>
      </c>
      <c r="D870" t="s">
        <v>153</v>
      </c>
      <c r="E870" t="s">
        <v>136</v>
      </c>
      <c r="F870">
        <v>2299854</v>
      </c>
      <c r="G870" t="s">
        <v>154</v>
      </c>
      <c r="H870" t="s">
        <v>155</v>
      </c>
      <c r="I870" t="s">
        <v>139</v>
      </c>
    </row>
    <row r="871" spans="1:9" x14ac:dyDescent="0.2">
      <c r="A871">
        <v>869</v>
      </c>
      <c r="B871" t="s">
        <v>3430</v>
      </c>
      <c r="C871" t="s">
        <v>1727</v>
      </c>
      <c r="D871" t="s">
        <v>208</v>
      </c>
      <c r="E871" t="s">
        <v>143</v>
      </c>
      <c r="F871">
        <v>48591709</v>
      </c>
      <c r="G871" t="s">
        <v>195</v>
      </c>
      <c r="H871" t="s">
        <v>195</v>
      </c>
      <c r="I871" t="s">
        <v>184</v>
      </c>
    </row>
    <row r="872" spans="1:9" x14ac:dyDescent="0.2">
      <c r="A872">
        <v>870</v>
      </c>
      <c r="B872" t="s">
        <v>3431</v>
      </c>
      <c r="C872" t="s">
        <v>1728</v>
      </c>
      <c r="D872" t="s">
        <v>194</v>
      </c>
      <c r="E872" t="s">
        <v>167</v>
      </c>
      <c r="F872">
        <v>3041542</v>
      </c>
      <c r="G872" t="s">
        <v>195</v>
      </c>
      <c r="H872" t="s">
        <v>195</v>
      </c>
      <c r="I872" t="s">
        <v>184</v>
      </c>
    </row>
    <row r="873" spans="1:9" x14ac:dyDescent="0.2">
      <c r="A873">
        <v>871</v>
      </c>
      <c r="B873" t="s">
        <v>1729</v>
      </c>
      <c r="C873" t="s">
        <v>1730</v>
      </c>
      <c r="D873" t="s">
        <v>142</v>
      </c>
      <c r="E873" t="s">
        <v>143</v>
      </c>
      <c r="F873">
        <v>72880000</v>
      </c>
      <c r="G873" t="s">
        <v>144</v>
      </c>
      <c r="H873" t="s">
        <v>144</v>
      </c>
      <c r="I873" t="s">
        <v>145</v>
      </c>
    </row>
    <row r="874" spans="1:9" x14ac:dyDescent="0.2">
      <c r="A874">
        <v>872</v>
      </c>
      <c r="B874" t="s">
        <v>3432</v>
      </c>
      <c r="C874" t="s">
        <v>1731</v>
      </c>
      <c r="D874" t="s">
        <v>283</v>
      </c>
      <c r="E874" t="s">
        <v>136</v>
      </c>
      <c r="F874">
        <v>27576490</v>
      </c>
      <c r="G874" t="s">
        <v>284</v>
      </c>
      <c r="H874" t="s">
        <v>183</v>
      </c>
      <c r="I874" t="s">
        <v>184</v>
      </c>
    </row>
    <row r="875" spans="1:9" x14ac:dyDescent="0.2">
      <c r="A875">
        <v>873</v>
      </c>
      <c r="B875" t="s">
        <v>1732</v>
      </c>
      <c r="C875" t="s">
        <v>1733</v>
      </c>
      <c r="D875" t="s">
        <v>1734</v>
      </c>
      <c r="E875" t="s">
        <v>143</v>
      </c>
      <c r="F875">
        <v>24028169</v>
      </c>
      <c r="G875" t="s">
        <v>389</v>
      </c>
      <c r="H875" t="s">
        <v>138</v>
      </c>
      <c r="I875" t="s">
        <v>139</v>
      </c>
    </row>
    <row r="876" spans="1:9" x14ac:dyDescent="0.2">
      <c r="A876">
        <v>874</v>
      </c>
      <c r="B876" t="s">
        <v>1735</v>
      </c>
      <c r="C876" t="s">
        <v>1736</v>
      </c>
      <c r="D876" t="s">
        <v>1465</v>
      </c>
      <c r="E876" t="s">
        <v>136</v>
      </c>
      <c r="F876">
        <v>5480112</v>
      </c>
      <c r="G876" t="s">
        <v>356</v>
      </c>
      <c r="H876" t="s">
        <v>150</v>
      </c>
      <c r="I876" t="s">
        <v>145</v>
      </c>
    </row>
    <row r="877" spans="1:9" x14ac:dyDescent="0.2">
      <c r="A877">
        <v>875</v>
      </c>
      <c r="B877" t="s">
        <v>1737</v>
      </c>
      <c r="C877" t="s">
        <v>1738</v>
      </c>
      <c r="D877" t="s">
        <v>163</v>
      </c>
      <c r="E877" t="s">
        <v>136</v>
      </c>
      <c r="F877">
        <v>4750000</v>
      </c>
      <c r="G877" t="s">
        <v>137</v>
      </c>
      <c r="H877" t="s">
        <v>138</v>
      </c>
      <c r="I877" t="s">
        <v>139</v>
      </c>
    </row>
    <row r="878" spans="1:9" x14ac:dyDescent="0.2">
      <c r="A878">
        <v>876</v>
      </c>
      <c r="B878" t="s">
        <v>1739</v>
      </c>
      <c r="C878" t="s">
        <v>1740</v>
      </c>
      <c r="D878" t="s">
        <v>355</v>
      </c>
      <c r="E878" t="s">
        <v>143</v>
      </c>
      <c r="F878">
        <v>447570881</v>
      </c>
      <c r="G878" t="s">
        <v>356</v>
      </c>
      <c r="H878" t="s">
        <v>150</v>
      </c>
      <c r="I878" t="s">
        <v>145</v>
      </c>
    </row>
    <row r="879" spans="1:9" x14ac:dyDescent="0.2">
      <c r="A879">
        <v>877</v>
      </c>
      <c r="B879" t="s">
        <v>1741</v>
      </c>
      <c r="C879" t="s">
        <v>1742</v>
      </c>
      <c r="D879" t="s">
        <v>166</v>
      </c>
      <c r="E879" t="s">
        <v>143</v>
      </c>
      <c r="F879">
        <v>385075304</v>
      </c>
      <c r="G879" t="s">
        <v>166</v>
      </c>
      <c r="H879" t="s">
        <v>166</v>
      </c>
      <c r="I879" t="s">
        <v>160</v>
      </c>
    </row>
    <row r="880" spans="1:9" x14ac:dyDescent="0.2">
      <c r="A880">
        <v>878</v>
      </c>
      <c r="B880" t="s">
        <v>1743</v>
      </c>
      <c r="C880" t="s">
        <v>1744</v>
      </c>
      <c r="D880" t="s">
        <v>383</v>
      </c>
      <c r="E880" t="s">
        <v>136</v>
      </c>
      <c r="F880">
        <v>5009800</v>
      </c>
      <c r="G880" t="s">
        <v>311</v>
      </c>
      <c r="H880" t="s">
        <v>312</v>
      </c>
      <c r="I880" t="s">
        <v>313</v>
      </c>
    </row>
    <row r="881" spans="1:9" x14ac:dyDescent="0.2">
      <c r="A881">
        <v>879</v>
      </c>
      <c r="B881" t="s">
        <v>3433</v>
      </c>
      <c r="C881" t="s">
        <v>1745</v>
      </c>
      <c r="D881" t="s">
        <v>194</v>
      </c>
      <c r="E881" t="s">
        <v>143</v>
      </c>
      <c r="F881">
        <v>21920000</v>
      </c>
      <c r="G881" t="s">
        <v>195</v>
      </c>
      <c r="H881" t="s">
        <v>195</v>
      </c>
      <c r="I881" t="s">
        <v>184</v>
      </c>
    </row>
    <row r="882" spans="1:9" x14ac:dyDescent="0.2">
      <c r="A882">
        <v>880</v>
      </c>
      <c r="B882" t="s">
        <v>1746</v>
      </c>
      <c r="C882" t="s">
        <v>1747</v>
      </c>
      <c r="D882" t="s">
        <v>383</v>
      </c>
      <c r="E882" t="s">
        <v>136</v>
      </c>
      <c r="F882">
        <v>9490841</v>
      </c>
      <c r="G882" t="s">
        <v>311</v>
      </c>
      <c r="H882" t="s">
        <v>312</v>
      </c>
      <c r="I882" t="s">
        <v>313</v>
      </c>
    </row>
    <row r="883" spans="1:9" x14ac:dyDescent="0.2">
      <c r="A883">
        <v>881</v>
      </c>
      <c r="B883" t="s">
        <v>1748</v>
      </c>
      <c r="C883" t="s">
        <v>1749</v>
      </c>
      <c r="D883" t="s">
        <v>289</v>
      </c>
      <c r="E883" t="s">
        <v>143</v>
      </c>
      <c r="F883">
        <v>24000000</v>
      </c>
      <c r="G883" t="s">
        <v>290</v>
      </c>
      <c r="H883" t="s">
        <v>183</v>
      </c>
      <c r="I883" t="s">
        <v>184</v>
      </c>
    </row>
    <row r="884" spans="1:9" x14ac:dyDescent="0.2">
      <c r="A884">
        <v>882</v>
      </c>
      <c r="B884" t="s">
        <v>3434</v>
      </c>
      <c r="C884" t="s">
        <v>1750</v>
      </c>
      <c r="D884" t="s">
        <v>806</v>
      </c>
      <c r="E884" t="s">
        <v>136</v>
      </c>
      <c r="F884">
        <v>20056000</v>
      </c>
      <c r="G884" t="s">
        <v>212</v>
      </c>
      <c r="H884" t="s">
        <v>183</v>
      </c>
      <c r="I884" t="s">
        <v>184</v>
      </c>
    </row>
    <row r="885" spans="1:9" x14ac:dyDescent="0.2">
      <c r="A885">
        <v>883</v>
      </c>
      <c r="B885" t="s">
        <v>1751</v>
      </c>
      <c r="C885" t="s">
        <v>1752</v>
      </c>
      <c r="D885" t="s">
        <v>383</v>
      </c>
      <c r="E885" t="s">
        <v>136</v>
      </c>
      <c r="F885">
        <v>17230204</v>
      </c>
      <c r="G885" t="s">
        <v>311</v>
      </c>
      <c r="H885" t="s">
        <v>312</v>
      </c>
      <c r="I885" t="s">
        <v>313</v>
      </c>
    </row>
    <row r="886" spans="1:9" x14ac:dyDescent="0.2">
      <c r="A886">
        <v>884</v>
      </c>
      <c r="B886" t="s">
        <v>1753</v>
      </c>
      <c r="C886" t="s">
        <v>1754</v>
      </c>
      <c r="D886" t="s">
        <v>383</v>
      </c>
      <c r="E886" t="s">
        <v>136</v>
      </c>
      <c r="F886">
        <v>50831593</v>
      </c>
      <c r="G886" t="s">
        <v>311</v>
      </c>
      <c r="H886" t="s">
        <v>312</v>
      </c>
      <c r="I886" t="s">
        <v>313</v>
      </c>
    </row>
    <row r="887" spans="1:9" x14ac:dyDescent="0.2">
      <c r="A887">
        <v>885</v>
      </c>
      <c r="B887" t="s">
        <v>1755</v>
      </c>
      <c r="C887" t="s">
        <v>1756</v>
      </c>
      <c r="D887" t="s">
        <v>166</v>
      </c>
      <c r="E887" t="s">
        <v>167</v>
      </c>
      <c r="F887">
        <v>92597762</v>
      </c>
      <c r="G887" t="s">
        <v>166</v>
      </c>
      <c r="H887" t="s">
        <v>166</v>
      </c>
      <c r="I887" t="s">
        <v>160</v>
      </c>
    </row>
    <row r="888" spans="1:9" x14ac:dyDescent="0.2">
      <c r="A888">
        <v>886</v>
      </c>
      <c r="B888" t="s">
        <v>1757</v>
      </c>
      <c r="C888" t="s">
        <v>1758</v>
      </c>
      <c r="D888" t="s">
        <v>383</v>
      </c>
      <c r="E888" t="s">
        <v>136</v>
      </c>
      <c r="F888">
        <v>56800000</v>
      </c>
      <c r="G888" t="s">
        <v>311</v>
      </c>
      <c r="H888" t="s">
        <v>312</v>
      </c>
      <c r="I888" t="s">
        <v>313</v>
      </c>
    </row>
    <row r="889" spans="1:9" x14ac:dyDescent="0.2">
      <c r="A889">
        <v>887</v>
      </c>
      <c r="B889" t="s">
        <v>1759</v>
      </c>
      <c r="C889" t="s">
        <v>1760</v>
      </c>
      <c r="D889" t="s">
        <v>153</v>
      </c>
      <c r="E889" t="s">
        <v>143</v>
      </c>
      <c r="F889">
        <v>17586988</v>
      </c>
      <c r="G889" t="s">
        <v>154</v>
      </c>
      <c r="H889" t="s">
        <v>155</v>
      </c>
      <c r="I889" t="s">
        <v>139</v>
      </c>
    </row>
    <row r="890" spans="1:9" x14ac:dyDescent="0.2">
      <c r="A890">
        <v>888</v>
      </c>
      <c r="B890" t="s">
        <v>1761</v>
      </c>
      <c r="C890" t="s">
        <v>1762</v>
      </c>
      <c r="D890" t="s">
        <v>142</v>
      </c>
      <c r="E890" t="s">
        <v>136</v>
      </c>
      <c r="F890">
        <v>8639208</v>
      </c>
      <c r="G890" t="s">
        <v>144</v>
      </c>
      <c r="H890" t="s">
        <v>144</v>
      </c>
      <c r="I890" t="s">
        <v>145</v>
      </c>
    </row>
    <row r="891" spans="1:9" x14ac:dyDescent="0.2">
      <c r="A891">
        <v>889</v>
      </c>
      <c r="B891" t="s">
        <v>1763</v>
      </c>
      <c r="C891" t="s">
        <v>1764</v>
      </c>
      <c r="D891" t="s">
        <v>1765</v>
      </c>
      <c r="E891" t="s">
        <v>167</v>
      </c>
      <c r="F891">
        <v>20693437</v>
      </c>
      <c r="G891" t="s">
        <v>356</v>
      </c>
      <c r="H891" t="s">
        <v>150</v>
      </c>
      <c r="I891" t="s">
        <v>145</v>
      </c>
    </row>
    <row r="892" spans="1:9" x14ac:dyDescent="0.2">
      <c r="A892">
        <v>890</v>
      </c>
      <c r="B892" t="s">
        <v>1766</v>
      </c>
      <c r="C892" t="s">
        <v>1767</v>
      </c>
      <c r="D892" t="s">
        <v>383</v>
      </c>
      <c r="E892" t="s">
        <v>136</v>
      </c>
      <c r="F892">
        <v>12499872</v>
      </c>
      <c r="G892" t="s">
        <v>311</v>
      </c>
      <c r="H892" t="s">
        <v>312</v>
      </c>
      <c r="I892" t="s">
        <v>313</v>
      </c>
    </row>
    <row r="893" spans="1:9" x14ac:dyDescent="0.2">
      <c r="A893">
        <v>891</v>
      </c>
      <c r="B893" t="s">
        <v>1768</v>
      </c>
      <c r="C893" t="s">
        <v>1769</v>
      </c>
      <c r="D893" t="s">
        <v>153</v>
      </c>
      <c r="E893" t="s">
        <v>136</v>
      </c>
      <c r="F893">
        <v>10263942</v>
      </c>
      <c r="G893" t="s">
        <v>154</v>
      </c>
      <c r="H893" t="s">
        <v>155</v>
      </c>
      <c r="I893" t="s">
        <v>139</v>
      </c>
    </row>
    <row r="894" spans="1:9" x14ac:dyDescent="0.2">
      <c r="A894">
        <v>892</v>
      </c>
      <c r="B894" t="s">
        <v>1770</v>
      </c>
      <c r="C894" t="s">
        <v>1771</v>
      </c>
      <c r="D894" t="s">
        <v>657</v>
      </c>
      <c r="E894" t="s">
        <v>167</v>
      </c>
      <c r="F894">
        <v>11202003</v>
      </c>
      <c r="G894" t="s">
        <v>657</v>
      </c>
      <c r="H894" t="s">
        <v>138</v>
      </c>
      <c r="I894" t="s">
        <v>139</v>
      </c>
    </row>
    <row r="895" spans="1:9" x14ac:dyDescent="0.2">
      <c r="A895">
        <v>893</v>
      </c>
      <c r="B895" t="s">
        <v>1772</v>
      </c>
      <c r="C895" t="s">
        <v>1773</v>
      </c>
      <c r="D895" t="s">
        <v>330</v>
      </c>
      <c r="E895" t="s">
        <v>143</v>
      </c>
      <c r="F895">
        <v>287876029</v>
      </c>
      <c r="G895" t="s">
        <v>330</v>
      </c>
      <c r="H895" t="s">
        <v>312</v>
      </c>
      <c r="I895" t="s">
        <v>313</v>
      </c>
    </row>
    <row r="896" spans="1:9" x14ac:dyDescent="0.2">
      <c r="A896">
        <v>894</v>
      </c>
      <c r="B896" t="s">
        <v>1774</v>
      </c>
      <c r="C896" t="s">
        <v>1775</v>
      </c>
      <c r="D896" t="s">
        <v>166</v>
      </c>
      <c r="E896" t="s">
        <v>136</v>
      </c>
      <c r="F896">
        <v>39779577</v>
      </c>
      <c r="G896" t="s">
        <v>166</v>
      </c>
      <c r="H896" t="s">
        <v>166</v>
      </c>
      <c r="I896" t="s">
        <v>160</v>
      </c>
    </row>
    <row r="897" spans="1:9" x14ac:dyDescent="0.2">
      <c r="A897">
        <v>895</v>
      </c>
      <c r="B897" t="s">
        <v>1776</v>
      </c>
      <c r="C897" t="s">
        <v>1777</v>
      </c>
      <c r="D897" t="s">
        <v>166</v>
      </c>
      <c r="E897" t="s">
        <v>136</v>
      </c>
      <c r="F897">
        <v>23999980</v>
      </c>
      <c r="G897" t="s">
        <v>166</v>
      </c>
      <c r="H897" t="s">
        <v>166</v>
      </c>
      <c r="I897" t="s">
        <v>160</v>
      </c>
    </row>
    <row r="898" spans="1:9" x14ac:dyDescent="0.2">
      <c r="A898">
        <v>896</v>
      </c>
      <c r="B898" t="s">
        <v>1778</v>
      </c>
      <c r="C898" t="s">
        <v>1779</v>
      </c>
      <c r="D898" t="s">
        <v>240</v>
      </c>
      <c r="E898" t="s">
        <v>136</v>
      </c>
      <c r="F898">
        <v>6000000</v>
      </c>
      <c r="G898" t="s">
        <v>240</v>
      </c>
      <c r="H898" t="s">
        <v>241</v>
      </c>
      <c r="I898" t="s">
        <v>242</v>
      </c>
    </row>
    <row r="899" spans="1:9" x14ac:dyDescent="0.2">
      <c r="A899">
        <v>897</v>
      </c>
      <c r="B899" t="s">
        <v>1780</v>
      </c>
      <c r="C899" t="s">
        <v>1781</v>
      </c>
      <c r="D899" t="s">
        <v>330</v>
      </c>
      <c r="E899" t="s">
        <v>167</v>
      </c>
      <c r="F899">
        <v>10802053</v>
      </c>
      <c r="G899" t="s">
        <v>330</v>
      </c>
      <c r="H899" t="s">
        <v>312</v>
      </c>
      <c r="I899" t="s">
        <v>313</v>
      </c>
    </row>
    <row r="900" spans="1:9" x14ac:dyDescent="0.2">
      <c r="A900">
        <v>898</v>
      </c>
      <c r="B900" t="s">
        <v>1782</v>
      </c>
      <c r="C900" t="s">
        <v>1783</v>
      </c>
      <c r="D900" t="s">
        <v>166</v>
      </c>
      <c r="E900" t="s">
        <v>143</v>
      </c>
      <c r="F900">
        <v>121979900</v>
      </c>
      <c r="G900" t="s">
        <v>166</v>
      </c>
      <c r="H900" t="s">
        <v>166</v>
      </c>
      <c r="I900" t="s">
        <v>160</v>
      </c>
    </row>
    <row r="901" spans="1:9" x14ac:dyDescent="0.2">
      <c r="A901">
        <v>899</v>
      </c>
      <c r="B901" t="s">
        <v>3138</v>
      </c>
      <c r="C901" t="s">
        <v>1784</v>
      </c>
      <c r="D901" t="s">
        <v>194</v>
      </c>
      <c r="E901" t="s">
        <v>167</v>
      </c>
      <c r="F901">
        <v>171038220</v>
      </c>
      <c r="G901" t="s">
        <v>195</v>
      </c>
      <c r="H901" t="s">
        <v>195</v>
      </c>
      <c r="I901" t="s">
        <v>184</v>
      </c>
    </row>
    <row r="902" spans="1:9" x14ac:dyDescent="0.2">
      <c r="A902">
        <v>900</v>
      </c>
      <c r="B902" t="s">
        <v>1785</v>
      </c>
      <c r="C902" t="s">
        <v>1786</v>
      </c>
      <c r="D902" t="s">
        <v>163</v>
      </c>
      <c r="E902" t="s">
        <v>136</v>
      </c>
      <c r="F902">
        <v>23500000</v>
      </c>
      <c r="G902" t="s">
        <v>137</v>
      </c>
      <c r="H902" t="s">
        <v>138</v>
      </c>
      <c r="I902" t="s">
        <v>139</v>
      </c>
    </row>
    <row r="903" spans="1:9" x14ac:dyDescent="0.2">
      <c r="A903">
        <v>901</v>
      </c>
      <c r="B903" t="s">
        <v>1787</v>
      </c>
      <c r="C903" t="s">
        <v>1788</v>
      </c>
      <c r="D903" t="s">
        <v>383</v>
      </c>
      <c r="E903" t="s">
        <v>136</v>
      </c>
      <c r="F903">
        <v>10000000</v>
      </c>
      <c r="G903" t="s">
        <v>311</v>
      </c>
      <c r="H903" t="s">
        <v>312</v>
      </c>
      <c r="I903" t="s">
        <v>313</v>
      </c>
    </row>
    <row r="904" spans="1:9" x14ac:dyDescent="0.2">
      <c r="A904">
        <v>902</v>
      </c>
      <c r="B904" t="s">
        <v>3435</v>
      </c>
      <c r="C904" t="s">
        <v>1789</v>
      </c>
      <c r="D904" t="s">
        <v>437</v>
      </c>
      <c r="E904" t="s">
        <v>136</v>
      </c>
      <c r="F904">
        <v>6000000</v>
      </c>
      <c r="G904" t="s">
        <v>182</v>
      </c>
      <c r="H904" t="s">
        <v>183</v>
      </c>
      <c r="I904" t="s">
        <v>184</v>
      </c>
    </row>
    <row r="905" spans="1:9" x14ac:dyDescent="0.2">
      <c r="A905">
        <v>903</v>
      </c>
      <c r="B905" t="s">
        <v>1790</v>
      </c>
      <c r="C905" t="s">
        <v>1791</v>
      </c>
      <c r="D905" t="s">
        <v>170</v>
      </c>
      <c r="E905" t="s">
        <v>167</v>
      </c>
      <c r="F905">
        <v>1177984751</v>
      </c>
      <c r="G905" t="s">
        <v>170</v>
      </c>
      <c r="H905" t="s">
        <v>170</v>
      </c>
      <c r="I905" t="s">
        <v>170</v>
      </c>
    </row>
    <row r="906" spans="1:9" x14ac:dyDescent="0.2">
      <c r="A906">
        <v>904</v>
      </c>
      <c r="B906" t="s">
        <v>122</v>
      </c>
      <c r="C906" t="s">
        <v>1792</v>
      </c>
      <c r="D906" t="s">
        <v>166</v>
      </c>
      <c r="E906" t="s">
        <v>143</v>
      </c>
      <c r="F906">
        <v>1950104538</v>
      </c>
      <c r="G906" t="s">
        <v>166</v>
      </c>
      <c r="H906" t="s">
        <v>166</v>
      </c>
      <c r="I906" t="s">
        <v>160</v>
      </c>
    </row>
    <row r="907" spans="1:9" x14ac:dyDescent="0.2">
      <c r="A907">
        <v>905</v>
      </c>
      <c r="B907" t="s">
        <v>1793</v>
      </c>
      <c r="C907" t="s">
        <v>1794</v>
      </c>
      <c r="D907" t="s">
        <v>383</v>
      </c>
      <c r="E907" t="s">
        <v>136</v>
      </c>
      <c r="F907">
        <v>10963000</v>
      </c>
      <c r="G907" t="s">
        <v>311</v>
      </c>
      <c r="H907" t="s">
        <v>312</v>
      </c>
      <c r="I907" t="s">
        <v>313</v>
      </c>
    </row>
    <row r="908" spans="1:9" x14ac:dyDescent="0.2">
      <c r="A908">
        <v>906</v>
      </c>
      <c r="B908" t="s">
        <v>1795</v>
      </c>
      <c r="C908" t="s">
        <v>1796</v>
      </c>
      <c r="D908" t="s">
        <v>166</v>
      </c>
      <c r="E908" t="s">
        <v>143</v>
      </c>
      <c r="F908">
        <v>90500000</v>
      </c>
      <c r="G908" t="s">
        <v>166</v>
      </c>
      <c r="H908" t="s">
        <v>166</v>
      </c>
      <c r="I908" t="s">
        <v>160</v>
      </c>
    </row>
    <row r="909" spans="1:9" x14ac:dyDescent="0.2">
      <c r="A909">
        <v>907</v>
      </c>
      <c r="B909" t="s">
        <v>1797</v>
      </c>
      <c r="C909" t="s">
        <v>1798</v>
      </c>
      <c r="D909" t="s">
        <v>430</v>
      </c>
      <c r="E909" t="s">
        <v>136</v>
      </c>
      <c r="F909">
        <v>8500000</v>
      </c>
      <c r="G909" t="s">
        <v>326</v>
      </c>
      <c r="H909" t="s">
        <v>327</v>
      </c>
      <c r="I909" t="s">
        <v>217</v>
      </c>
    </row>
    <row r="910" spans="1:9" x14ac:dyDescent="0.2">
      <c r="A910">
        <v>908</v>
      </c>
      <c r="B910" t="s">
        <v>3436</v>
      </c>
      <c r="C910" t="s">
        <v>1799</v>
      </c>
      <c r="D910" t="s">
        <v>194</v>
      </c>
      <c r="E910" t="s">
        <v>136</v>
      </c>
      <c r="F910">
        <v>6600000</v>
      </c>
      <c r="G910" t="s">
        <v>195</v>
      </c>
      <c r="H910" t="s">
        <v>195</v>
      </c>
      <c r="I910" t="s">
        <v>184</v>
      </c>
    </row>
    <row r="911" spans="1:9" x14ac:dyDescent="0.2">
      <c r="A911">
        <v>909</v>
      </c>
      <c r="B911" t="s">
        <v>1800</v>
      </c>
      <c r="C911" t="s">
        <v>1801</v>
      </c>
      <c r="D911" t="s">
        <v>170</v>
      </c>
      <c r="E911" t="s">
        <v>143</v>
      </c>
      <c r="F911">
        <v>2465789152</v>
      </c>
      <c r="G911" t="s">
        <v>170</v>
      </c>
      <c r="H911" t="s">
        <v>170</v>
      </c>
      <c r="I911" t="s">
        <v>170</v>
      </c>
    </row>
    <row r="912" spans="1:9" x14ac:dyDescent="0.2">
      <c r="A912">
        <v>910</v>
      </c>
      <c r="B912" t="s">
        <v>1802</v>
      </c>
      <c r="C912" t="s">
        <v>1803</v>
      </c>
      <c r="D912" t="s">
        <v>237</v>
      </c>
      <c r="E912" t="s">
        <v>167</v>
      </c>
      <c r="F912">
        <v>200000000</v>
      </c>
      <c r="G912" t="s">
        <v>154</v>
      </c>
      <c r="H912" t="s">
        <v>155</v>
      </c>
      <c r="I912" t="s">
        <v>139</v>
      </c>
    </row>
    <row r="913" spans="1:9" x14ac:dyDescent="0.2">
      <c r="A913">
        <v>911</v>
      </c>
      <c r="B913" t="s">
        <v>1804</v>
      </c>
      <c r="C913" t="s">
        <v>1805</v>
      </c>
      <c r="D913" t="s">
        <v>555</v>
      </c>
      <c r="E913" t="s">
        <v>136</v>
      </c>
      <c r="F913">
        <v>10000000</v>
      </c>
      <c r="G913" t="s">
        <v>216</v>
      </c>
      <c r="H913" t="s">
        <v>216</v>
      </c>
      <c r="I913" t="s">
        <v>217</v>
      </c>
    </row>
    <row r="914" spans="1:9" x14ac:dyDescent="0.2">
      <c r="A914">
        <v>912</v>
      </c>
      <c r="B914" t="s">
        <v>1806</v>
      </c>
      <c r="C914" t="s">
        <v>1807</v>
      </c>
      <c r="D914" t="s">
        <v>367</v>
      </c>
      <c r="E914" t="s">
        <v>143</v>
      </c>
      <c r="F914">
        <v>300000000</v>
      </c>
      <c r="G914" t="s">
        <v>159</v>
      </c>
      <c r="H914" t="s">
        <v>159</v>
      </c>
      <c r="I914" t="s">
        <v>160</v>
      </c>
    </row>
    <row r="915" spans="1:9" x14ac:dyDescent="0.2">
      <c r="A915">
        <v>913</v>
      </c>
      <c r="B915" t="s">
        <v>1808</v>
      </c>
      <c r="C915" t="s">
        <v>1809</v>
      </c>
      <c r="D915" t="s">
        <v>488</v>
      </c>
      <c r="E915" t="s">
        <v>136</v>
      </c>
      <c r="F915">
        <v>201425936</v>
      </c>
      <c r="G915" t="s">
        <v>489</v>
      </c>
      <c r="H915" t="s">
        <v>490</v>
      </c>
      <c r="I915" t="s">
        <v>490</v>
      </c>
    </row>
    <row r="916" spans="1:9" x14ac:dyDescent="0.2">
      <c r="A916">
        <v>914</v>
      </c>
      <c r="B916" t="s">
        <v>1810</v>
      </c>
      <c r="C916" t="s">
        <v>1811</v>
      </c>
      <c r="D916" t="s">
        <v>1424</v>
      </c>
      <c r="E916" t="s">
        <v>167</v>
      </c>
      <c r="F916">
        <v>7960310</v>
      </c>
      <c r="G916" t="s">
        <v>653</v>
      </c>
      <c r="H916" t="s">
        <v>654</v>
      </c>
      <c r="I916" t="s">
        <v>654</v>
      </c>
    </row>
    <row r="917" spans="1:9" x14ac:dyDescent="0.2">
      <c r="A917">
        <v>915</v>
      </c>
      <c r="B917" t="s">
        <v>1812</v>
      </c>
      <c r="C917" t="s">
        <v>1813</v>
      </c>
      <c r="D917" t="s">
        <v>876</v>
      </c>
      <c r="E917" t="s">
        <v>136</v>
      </c>
      <c r="F917">
        <v>2000000</v>
      </c>
      <c r="G917" t="s">
        <v>326</v>
      </c>
      <c r="H917" t="s">
        <v>327</v>
      </c>
      <c r="I917" t="s">
        <v>217</v>
      </c>
    </row>
    <row r="918" spans="1:9" x14ac:dyDescent="0.2">
      <c r="A918">
        <v>916</v>
      </c>
      <c r="B918" t="s">
        <v>1814</v>
      </c>
      <c r="C918" t="s">
        <v>1815</v>
      </c>
      <c r="D918" t="s">
        <v>240</v>
      </c>
      <c r="E918" t="s">
        <v>143</v>
      </c>
      <c r="F918">
        <v>64050892</v>
      </c>
      <c r="G918" t="s">
        <v>240</v>
      </c>
      <c r="H918" t="s">
        <v>241</v>
      </c>
      <c r="I918" t="s">
        <v>242</v>
      </c>
    </row>
    <row r="919" spans="1:9" x14ac:dyDescent="0.2">
      <c r="A919">
        <v>917</v>
      </c>
      <c r="B919" t="s">
        <v>1816</v>
      </c>
      <c r="C919" t="s">
        <v>1817</v>
      </c>
      <c r="D919" t="s">
        <v>158</v>
      </c>
      <c r="E919" t="s">
        <v>143</v>
      </c>
      <c r="F919">
        <v>335999743</v>
      </c>
      <c r="G919" t="s">
        <v>159</v>
      </c>
      <c r="H919" t="s">
        <v>159</v>
      </c>
      <c r="I919" t="s">
        <v>160</v>
      </c>
    </row>
    <row r="920" spans="1:9" x14ac:dyDescent="0.2">
      <c r="A920">
        <v>918</v>
      </c>
      <c r="B920" t="s">
        <v>1818</v>
      </c>
      <c r="C920" t="s">
        <v>1819</v>
      </c>
      <c r="D920" t="s">
        <v>570</v>
      </c>
      <c r="E920" t="s">
        <v>143</v>
      </c>
      <c r="F920">
        <v>69707328</v>
      </c>
      <c r="G920" t="s">
        <v>260</v>
      </c>
      <c r="H920" t="s">
        <v>183</v>
      </c>
      <c r="I920" t="s">
        <v>184</v>
      </c>
    </row>
    <row r="921" spans="1:9" x14ac:dyDescent="0.2">
      <c r="A921">
        <v>919</v>
      </c>
      <c r="B921" t="s">
        <v>1820</v>
      </c>
      <c r="C921" t="s">
        <v>1821</v>
      </c>
      <c r="D921" t="s">
        <v>1037</v>
      </c>
      <c r="E921" t="s">
        <v>136</v>
      </c>
      <c r="F921">
        <v>4235290</v>
      </c>
      <c r="G921" t="s">
        <v>1037</v>
      </c>
      <c r="H921" t="s">
        <v>174</v>
      </c>
      <c r="I921" t="s">
        <v>174</v>
      </c>
    </row>
    <row r="922" spans="1:9" x14ac:dyDescent="0.2">
      <c r="A922">
        <v>920</v>
      </c>
      <c r="B922" t="s">
        <v>1822</v>
      </c>
      <c r="C922" t="s">
        <v>1823</v>
      </c>
      <c r="D922" t="s">
        <v>237</v>
      </c>
      <c r="E922" t="s">
        <v>143</v>
      </c>
      <c r="F922">
        <v>216294580</v>
      </c>
      <c r="G922" t="s">
        <v>154</v>
      </c>
      <c r="H922" t="s">
        <v>155</v>
      </c>
      <c r="I922" t="s">
        <v>139</v>
      </c>
    </row>
    <row r="923" spans="1:9" x14ac:dyDescent="0.2">
      <c r="A923">
        <v>921</v>
      </c>
      <c r="B923" t="s">
        <v>3437</v>
      </c>
      <c r="C923" t="s">
        <v>1824</v>
      </c>
      <c r="D923" t="s">
        <v>211</v>
      </c>
      <c r="E923" t="s">
        <v>136</v>
      </c>
      <c r="F923">
        <v>232000000</v>
      </c>
      <c r="G923" t="s">
        <v>212</v>
      </c>
      <c r="H923" t="s">
        <v>183</v>
      </c>
      <c r="I923" t="s">
        <v>184</v>
      </c>
    </row>
    <row r="924" spans="1:9" x14ac:dyDescent="0.2">
      <c r="A924">
        <v>922</v>
      </c>
      <c r="B924" t="s">
        <v>1825</v>
      </c>
      <c r="C924" t="s">
        <v>1826</v>
      </c>
      <c r="D924" t="s">
        <v>355</v>
      </c>
      <c r="E924" t="s">
        <v>136</v>
      </c>
      <c r="F924">
        <v>28049968</v>
      </c>
      <c r="G924" t="s">
        <v>356</v>
      </c>
      <c r="H924" t="s">
        <v>150</v>
      </c>
      <c r="I924" t="s">
        <v>145</v>
      </c>
    </row>
    <row r="925" spans="1:9" x14ac:dyDescent="0.2">
      <c r="A925">
        <v>923</v>
      </c>
      <c r="B925" t="s">
        <v>1827</v>
      </c>
      <c r="C925" t="s">
        <v>1828</v>
      </c>
      <c r="D925" t="s">
        <v>293</v>
      </c>
      <c r="E925" t="s">
        <v>136</v>
      </c>
      <c r="F925">
        <v>25000000</v>
      </c>
      <c r="G925" t="s">
        <v>144</v>
      </c>
      <c r="H925" t="s">
        <v>144</v>
      </c>
      <c r="I925" t="s">
        <v>145</v>
      </c>
    </row>
    <row r="926" spans="1:9" x14ac:dyDescent="0.2">
      <c r="A926">
        <v>924</v>
      </c>
      <c r="B926" t="s">
        <v>1829</v>
      </c>
      <c r="C926" t="s">
        <v>1830</v>
      </c>
      <c r="D926" t="s">
        <v>240</v>
      </c>
      <c r="E926" t="s">
        <v>136</v>
      </c>
      <c r="F926">
        <v>113299902</v>
      </c>
      <c r="G926" t="s">
        <v>240</v>
      </c>
      <c r="H926" t="s">
        <v>241</v>
      </c>
      <c r="I926" t="s">
        <v>242</v>
      </c>
    </row>
    <row r="927" spans="1:9" x14ac:dyDescent="0.2">
      <c r="A927">
        <v>925</v>
      </c>
      <c r="B927" t="s">
        <v>3438</v>
      </c>
      <c r="C927" t="s">
        <v>1831</v>
      </c>
      <c r="D927" t="s">
        <v>283</v>
      </c>
      <c r="E927" t="s">
        <v>167</v>
      </c>
      <c r="F927">
        <v>4799516</v>
      </c>
      <c r="G927" t="s">
        <v>284</v>
      </c>
      <c r="H927" t="s">
        <v>183</v>
      </c>
      <c r="I927" t="s">
        <v>184</v>
      </c>
    </row>
    <row r="928" spans="1:9" x14ac:dyDescent="0.2">
      <c r="A928">
        <v>926</v>
      </c>
      <c r="B928" t="s">
        <v>3439</v>
      </c>
      <c r="C928" t="s">
        <v>1832</v>
      </c>
      <c r="D928" t="s">
        <v>283</v>
      </c>
      <c r="E928" t="s">
        <v>136</v>
      </c>
      <c r="F928">
        <v>17522284</v>
      </c>
      <c r="G928" t="s">
        <v>284</v>
      </c>
      <c r="H928" t="s">
        <v>183</v>
      </c>
      <c r="I928" t="s">
        <v>184</v>
      </c>
    </row>
    <row r="929" spans="1:9" x14ac:dyDescent="0.2">
      <c r="A929">
        <v>927</v>
      </c>
      <c r="B929" t="s">
        <v>1833</v>
      </c>
      <c r="C929" t="s">
        <v>1834</v>
      </c>
      <c r="D929" t="s">
        <v>208</v>
      </c>
      <c r="E929" t="s">
        <v>143</v>
      </c>
      <c r="F929">
        <v>357642121</v>
      </c>
      <c r="G929" t="s">
        <v>195</v>
      </c>
      <c r="H929" t="s">
        <v>195</v>
      </c>
      <c r="I929" t="s">
        <v>184</v>
      </c>
    </row>
    <row r="930" spans="1:9" x14ac:dyDescent="0.2">
      <c r="A930">
        <v>928</v>
      </c>
      <c r="B930" t="s">
        <v>3440</v>
      </c>
      <c r="C930" t="s">
        <v>1835</v>
      </c>
      <c r="D930" t="s">
        <v>208</v>
      </c>
      <c r="E930" t="s">
        <v>136</v>
      </c>
      <c r="F930">
        <v>11500000</v>
      </c>
      <c r="G930" t="s">
        <v>195</v>
      </c>
      <c r="H930" t="s">
        <v>195</v>
      </c>
      <c r="I930" t="s">
        <v>184</v>
      </c>
    </row>
    <row r="931" spans="1:9" x14ac:dyDescent="0.2">
      <c r="A931">
        <v>929</v>
      </c>
      <c r="B931" t="s">
        <v>1836</v>
      </c>
      <c r="C931" t="s">
        <v>1837</v>
      </c>
      <c r="D931" t="s">
        <v>293</v>
      </c>
      <c r="E931" t="s">
        <v>167</v>
      </c>
      <c r="F931">
        <v>10000000</v>
      </c>
      <c r="G931" t="s">
        <v>144</v>
      </c>
      <c r="H931" t="s">
        <v>144</v>
      </c>
      <c r="I931" t="s">
        <v>145</v>
      </c>
    </row>
    <row r="932" spans="1:9" x14ac:dyDescent="0.2">
      <c r="A932">
        <v>930</v>
      </c>
      <c r="B932" t="s">
        <v>1838</v>
      </c>
      <c r="C932" t="s">
        <v>1839</v>
      </c>
      <c r="D932" t="s">
        <v>400</v>
      </c>
      <c r="E932" t="s">
        <v>136</v>
      </c>
      <c r="F932">
        <v>3000000</v>
      </c>
      <c r="G932" t="s">
        <v>348</v>
      </c>
      <c r="H932" t="s">
        <v>155</v>
      </c>
      <c r="I932" t="s">
        <v>139</v>
      </c>
    </row>
    <row r="933" spans="1:9" x14ac:dyDescent="0.2">
      <c r="A933">
        <v>931</v>
      </c>
      <c r="B933" t="s">
        <v>1840</v>
      </c>
      <c r="C933" t="s">
        <v>1841</v>
      </c>
      <c r="D933" t="s">
        <v>310</v>
      </c>
      <c r="E933" t="s">
        <v>136</v>
      </c>
      <c r="F933">
        <v>18870000</v>
      </c>
      <c r="G933" t="s">
        <v>311</v>
      </c>
      <c r="H933" t="s">
        <v>312</v>
      </c>
      <c r="I933" t="s">
        <v>313</v>
      </c>
    </row>
    <row r="934" spans="1:9" x14ac:dyDescent="0.2">
      <c r="A934">
        <v>932</v>
      </c>
      <c r="B934" t="s">
        <v>1842</v>
      </c>
      <c r="C934" t="s">
        <v>1843</v>
      </c>
      <c r="D934" t="s">
        <v>142</v>
      </c>
      <c r="E934" t="s">
        <v>167</v>
      </c>
      <c r="F934">
        <v>24199964</v>
      </c>
      <c r="G934" t="s">
        <v>144</v>
      </c>
      <c r="H934" t="s">
        <v>144</v>
      </c>
      <c r="I934" t="s">
        <v>145</v>
      </c>
    </row>
    <row r="935" spans="1:9" x14ac:dyDescent="0.2">
      <c r="A935">
        <v>933</v>
      </c>
      <c r="B935" t="s">
        <v>3441</v>
      </c>
      <c r="C935" t="s">
        <v>1844</v>
      </c>
      <c r="D935" t="s">
        <v>194</v>
      </c>
      <c r="E935" t="s">
        <v>136</v>
      </c>
      <c r="F935">
        <v>4000000</v>
      </c>
      <c r="G935" t="s">
        <v>195</v>
      </c>
      <c r="H935" t="s">
        <v>195</v>
      </c>
      <c r="I935" t="s">
        <v>184</v>
      </c>
    </row>
    <row r="936" spans="1:9" x14ac:dyDescent="0.2">
      <c r="A936">
        <v>934</v>
      </c>
      <c r="B936" t="s">
        <v>3442</v>
      </c>
      <c r="C936" t="s">
        <v>1845</v>
      </c>
      <c r="D936" t="s">
        <v>882</v>
      </c>
      <c r="E936" t="s">
        <v>167</v>
      </c>
      <c r="F936">
        <v>50035493</v>
      </c>
      <c r="G936" t="s">
        <v>212</v>
      </c>
      <c r="H936" t="s">
        <v>183</v>
      </c>
      <c r="I936" t="s">
        <v>184</v>
      </c>
    </row>
    <row r="937" spans="1:9" x14ac:dyDescent="0.2">
      <c r="A937">
        <v>935</v>
      </c>
      <c r="B937" t="s">
        <v>3148</v>
      </c>
      <c r="C937" t="s">
        <v>1846</v>
      </c>
      <c r="D937" t="s">
        <v>194</v>
      </c>
      <c r="E937" t="s">
        <v>167</v>
      </c>
      <c r="F937">
        <v>8909981</v>
      </c>
      <c r="G937" t="s">
        <v>195</v>
      </c>
      <c r="H937" t="s">
        <v>195</v>
      </c>
      <c r="I937" t="s">
        <v>184</v>
      </c>
    </row>
    <row r="938" spans="1:9" x14ac:dyDescent="0.2">
      <c r="A938">
        <v>936</v>
      </c>
      <c r="B938" t="s">
        <v>1847</v>
      </c>
      <c r="C938" t="s">
        <v>1848</v>
      </c>
      <c r="D938" t="s">
        <v>430</v>
      </c>
      <c r="E938" t="s">
        <v>136</v>
      </c>
      <c r="F938">
        <v>15000000</v>
      </c>
      <c r="G938" t="s">
        <v>326</v>
      </c>
      <c r="H938" t="s">
        <v>327</v>
      </c>
      <c r="I938" t="s">
        <v>217</v>
      </c>
    </row>
    <row r="939" spans="1:9" x14ac:dyDescent="0.2">
      <c r="A939">
        <v>937</v>
      </c>
      <c r="B939" t="s">
        <v>3159</v>
      </c>
      <c r="C939" t="s">
        <v>1849</v>
      </c>
      <c r="D939" t="s">
        <v>211</v>
      </c>
      <c r="E939" t="s">
        <v>143</v>
      </c>
      <c r="F939">
        <v>55565820</v>
      </c>
      <c r="G939" t="s">
        <v>212</v>
      </c>
      <c r="H939" t="s">
        <v>183</v>
      </c>
      <c r="I939" t="s">
        <v>184</v>
      </c>
    </row>
    <row r="940" spans="1:9" x14ac:dyDescent="0.2">
      <c r="A940">
        <v>938</v>
      </c>
      <c r="B940" t="s">
        <v>1850</v>
      </c>
      <c r="C940" t="s">
        <v>1851</v>
      </c>
      <c r="D940" t="s">
        <v>166</v>
      </c>
      <c r="E940" t="s">
        <v>143</v>
      </c>
      <c r="F940">
        <v>979809379</v>
      </c>
      <c r="G940" t="s">
        <v>166</v>
      </c>
      <c r="H940" t="s">
        <v>166</v>
      </c>
      <c r="I940" t="s">
        <v>160</v>
      </c>
    </row>
    <row r="941" spans="1:9" x14ac:dyDescent="0.2">
      <c r="A941">
        <v>939</v>
      </c>
      <c r="B941" t="s">
        <v>3443</v>
      </c>
      <c r="C941" t="s">
        <v>1852</v>
      </c>
      <c r="D941" t="s">
        <v>806</v>
      </c>
      <c r="E941" t="s">
        <v>136</v>
      </c>
      <c r="F941">
        <v>66095966</v>
      </c>
      <c r="G941" t="s">
        <v>212</v>
      </c>
      <c r="H941" t="s">
        <v>183</v>
      </c>
      <c r="I941" t="s">
        <v>184</v>
      </c>
    </row>
    <row r="942" spans="1:9" x14ac:dyDescent="0.2">
      <c r="A942">
        <v>940</v>
      </c>
      <c r="B942" t="s">
        <v>3444</v>
      </c>
      <c r="C942" t="s">
        <v>1853</v>
      </c>
      <c r="D942" t="s">
        <v>289</v>
      </c>
      <c r="E942" t="s">
        <v>136</v>
      </c>
      <c r="F942">
        <v>3115409</v>
      </c>
      <c r="G942" t="s">
        <v>290</v>
      </c>
      <c r="H942" t="s">
        <v>183</v>
      </c>
      <c r="I942" t="s">
        <v>184</v>
      </c>
    </row>
    <row r="943" spans="1:9" x14ac:dyDescent="0.2">
      <c r="A943">
        <v>941</v>
      </c>
      <c r="B943" t="s">
        <v>1854</v>
      </c>
      <c r="C943" t="s">
        <v>1855</v>
      </c>
      <c r="D943" t="s">
        <v>310</v>
      </c>
      <c r="E943" t="s">
        <v>136</v>
      </c>
      <c r="F943">
        <v>231898919</v>
      </c>
      <c r="G943" t="s">
        <v>311</v>
      </c>
      <c r="H943" t="s">
        <v>312</v>
      </c>
      <c r="I943" t="s">
        <v>313</v>
      </c>
    </row>
    <row r="944" spans="1:9" x14ac:dyDescent="0.2">
      <c r="A944">
        <v>942</v>
      </c>
      <c r="B944" t="s">
        <v>3445</v>
      </c>
      <c r="C944" t="s">
        <v>1856</v>
      </c>
      <c r="D944" t="s">
        <v>208</v>
      </c>
      <c r="E944" t="s">
        <v>167</v>
      </c>
      <c r="F944">
        <v>5000000</v>
      </c>
      <c r="G944" t="s">
        <v>195</v>
      </c>
      <c r="H944" t="s">
        <v>195</v>
      </c>
      <c r="I944" t="s">
        <v>184</v>
      </c>
    </row>
    <row r="945" spans="1:9" x14ac:dyDescent="0.2">
      <c r="A945">
        <v>943</v>
      </c>
      <c r="B945" t="s">
        <v>1857</v>
      </c>
      <c r="C945" t="s">
        <v>1858</v>
      </c>
      <c r="D945" t="s">
        <v>1859</v>
      </c>
      <c r="E945" t="s">
        <v>136</v>
      </c>
      <c r="F945">
        <v>4965514</v>
      </c>
      <c r="G945" t="s">
        <v>1860</v>
      </c>
      <c r="H945" t="s">
        <v>490</v>
      </c>
      <c r="I945" t="s">
        <v>490</v>
      </c>
    </row>
    <row r="946" spans="1:9" x14ac:dyDescent="0.2">
      <c r="A946">
        <v>944</v>
      </c>
      <c r="B946" t="s">
        <v>1861</v>
      </c>
      <c r="C946" t="s">
        <v>1862</v>
      </c>
      <c r="D946" t="s">
        <v>316</v>
      </c>
      <c r="E946" t="s">
        <v>143</v>
      </c>
      <c r="F946">
        <v>107334831</v>
      </c>
      <c r="G946" t="s">
        <v>229</v>
      </c>
      <c r="H946" t="s">
        <v>229</v>
      </c>
      <c r="I946" t="s">
        <v>217</v>
      </c>
    </row>
    <row r="947" spans="1:9" x14ac:dyDescent="0.2">
      <c r="A947">
        <v>945</v>
      </c>
      <c r="B947" t="s">
        <v>3446</v>
      </c>
      <c r="C947" t="s">
        <v>1863</v>
      </c>
      <c r="D947" t="s">
        <v>208</v>
      </c>
      <c r="E947" t="s">
        <v>136</v>
      </c>
      <c r="F947">
        <v>50000000</v>
      </c>
      <c r="G947" t="s">
        <v>195</v>
      </c>
      <c r="H947" t="s">
        <v>195</v>
      </c>
      <c r="I947" t="s">
        <v>184</v>
      </c>
    </row>
    <row r="948" spans="1:9" x14ac:dyDescent="0.2">
      <c r="A948">
        <v>946</v>
      </c>
      <c r="B948" t="s">
        <v>1864</v>
      </c>
      <c r="C948" t="s">
        <v>1865</v>
      </c>
      <c r="D948" t="s">
        <v>170</v>
      </c>
      <c r="E948" t="s">
        <v>136</v>
      </c>
      <c r="F948">
        <v>500000000</v>
      </c>
      <c r="G948" t="s">
        <v>170</v>
      </c>
      <c r="H948" t="s">
        <v>170</v>
      </c>
      <c r="I948" t="s">
        <v>170</v>
      </c>
    </row>
    <row r="949" spans="1:9" x14ac:dyDescent="0.2">
      <c r="A949">
        <v>947</v>
      </c>
      <c r="B949" t="s">
        <v>1866</v>
      </c>
      <c r="C949" t="s">
        <v>1867</v>
      </c>
      <c r="D949" t="s">
        <v>310</v>
      </c>
      <c r="E949" t="s">
        <v>143</v>
      </c>
      <c r="F949">
        <v>60342638</v>
      </c>
      <c r="G949" t="s">
        <v>311</v>
      </c>
      <c r="H949" t="s">
        <v>312</v>
      </c>
      <c r="I949" t="s">
        <v>313</v>
      </c>
    </row>
    <row r="950" spans="1:9" x14ac:dyDescent="0.2">
      <c r="A950">
        <v>948</v>
      </c>
      <c r="B950" t="s">
        <v>1868</v>
      </c>
      <c r="C950" t="s">
        <v>1869</v>
      </c>
      <c r="D950" t="s">
        <v>310</v>
      </c>
      <c r="E950" t="s">
        <v>143</v>
      </c>
      <c r="F950">
        <v>98998266</v>
      </c>
      <c r="G950" t="s">
        <v>311</v>
      </c>
      <c r="H950" t="s">
        <v>312</v>
      </c>
      <c r="I950" t="s">
        <v>313</v>
      </c>
    </row>
    <row r="951" spans="1:9" x14ac:dyDescent="0.2">
      <c r="A951">
        <v>949</v>
      </c>
      <c r="B951" t="s">
        <v>1870</v>
      </c>
      <c r="C951" t="s">
        <v>1871</v>
      </c>
      <c r="D951" t="s">
        <v>177</v>
      </c>
      <c r="E951" t="s">
        <v>143</v>
      </c>
      <c r="F951">
        <v>110896796</v>
      </c>
      <c r="G951" t="s">
        <v>177</v>
      </c>
      <c r="H951" t="s">
        <v>178</v>
      </c>
      <c r="I951" t="s">
        <v>160</v>
      </c>
    </row>
    <row r="952" spans="1:9" x14ac:dyDescent="0.2">
      <c r="A952">
        <v>950</v>
      </c>
      <c r="B952" t="s">
        <v>1872</v>
      </c>
      <c r="C952" t="s">
        <v>1873</v>
      </c>
      <c r="D952" t="s">
        <v>142</v>
      </c>
      <c r="E952" t="s">
        <v>167</v>
      </c>
      <c r="F952">
        <v>9464859</v>
      </c>
      <c r="G952" t="s">
        <v>144</v>
      </c>
      <c r="H952" t="s">
        <v>144</v>
      </c>
      <c r="I952" t="s">
        <v>145</v>
      </c>
    </row>
    <row r="953" spans="1:9" x14ac:dyDescent="0.2">
      <c r="A953">
        <v>951</v>
      </c>
      <c r="B953" t="s">
        <v>1874</v>
      </c>
      <c r="C953" t="s">
        <v>1875</v>
      </c>
      <c r="D953" t="s">
        <v>310</v>
      </c>
      <c r="E953" t="s">
        <v>167</v>
      </c>
      <c r="F953">
        <v>50000000</v>
      </c>
      <c r="G953" t="s">
        <v>311</v>
      </c>
      <c r="H953" t="s">
        <v>312</v>
      </c>
      <c r="I953" t="s">
        <v>313</v>
      </c>
    </row>
    <row r="954" spans="1:9" x14ac:dyDescent="0.2">
      <c r="A954">
        <v>952</v>
      </c>
      <c r="B954" t="s">
        <v>1876</v>
      </c>
      <c r="C954" t="s">
        <v>1877</v>
      </c>
      <c r="D954" t="s">
        <v>430</v>
      </c>
      <c r="E954" t="s">
        <v>167</v>
      </c>
      <c r="F954">
        <v>9241801</v>
      </c>
      <c r="G954" t="s">
        <v>326</v>
      </c>
      <c r="H954" t="s">
        <v>327</v>
      </c>
      <c r="I954" t="s">
        <v>217</v>
      </c>
    </row>
    <row r="955" spans="1:9" x14ac:dyDescent="0.2">
      <c r="A955">
        <v>953</v>
      </c>
      <c r="B955" t="s">
        <v>1878</v>
      </c>
      <c r="C955" t="s">
        <v>1879</v>
      </c>
      <c r="D955" t="s">
        <v>330</v>
      </c>
      <c r="E955" t="s">
        <v>143</v>
      </c>
      <c r="F955">
        <v>1123468046</v>
      </c>
      <c r="G955" t="s">
        <v>330</v>
      </c>
      <c r="H955" t="s">
        <v>312</v>
      </c>
      <c r="I955" t="s">
        <v>313</v>
      </c>
    </row>
    <row r="956" spans="1:9" x14ac:dyDescent="0.2">
      <c r="A956">
        <v>954</v>
      </c>
      <c r="B956" t="s">
        <v>3447</v>
      </c>
      <c r="C956" t="s">
        <v>1880</v>
      </c>
      <c r="D956" t="s">
        <v>208</v>
      </c>
      <c r="E956" t="s">
        <v>143</v>
      </c>
      <c r="F956">
        <v>50602094</v>
      </c>
      <c r="G956" t="s">
        <v>195</v>
      </c>
      <c r="H956" t="s">
        <v>195</v>
      </c>
      <c r="I956" t="s">
        <v>184</v>
      </c>
    </row>
    <row r="957" spans="1:9" x14ac:dyDescent="0.2">
      <c r="A957">
        <v>955</v>
      </c>
      <c r="B957" t="s">
        <v>3448</v>
      </c>
      <c r="C957" t="s">
        <v>1881</v>
      </c>
      <c r="D957" t="s">
        <v>208</v>
      </c>
      <c r="E957" t="s">
        <v>136</v>
      </c>
      <c r="F957">
        <v>20000000</v>
      </c>
      <c r="G957" t="s">
        <v>195</v>
      </c>
      <c r="H957" t="s">
        <v>195</v>
      </c>
      <c r="I957" t="s">
        <v>184</v>
      </c>
    </row>
    <row r="958" spans="1:9" x14ac:dyDescent="0.2">
      <c r="A958">
        <v>956</v>
      </c>
      <c r="B958" t="s">
        <v>3449</v>
      </c>
      <c r="C958" t="s">
        <v>1882</v>
      </c>
      <c r="D958" t="s">
        <v>570</v>
      </c>
      <c r="E958" t="s">
        <v>167</v>
      </c>
      <c r="F958">
        <v>7253911</v>
      </c>
      <c r="G958" t="s">
        <v>260</v>
      </c>
      <c r="H958" t="s">
        <v>183</v>
      </c>
      <c r="I958" t="s">
        <v>184</v>
      </c>
    </row>
    <row r="959" spans="1:9" x14ac:dyDescent="0.2">
      <c r="A959">
        <v>957</v>
      </c>
      <c r="B959" t="s">
        <v>3158</v>
      </c>
      <c r="C959" t="s">
        <v>1883</v>
      </c>
      <c r="D959" t="s">
        <v>211</v>
      </c>
      <c r="E959" t="s">
        <v>136</v>
      </c>
      <c r="F959">
        <v>326960000</v>
      </c>
      <c r="G959" t="s">
        <v>212</v>
      </c>
      <c r="H959" t="s">
        <v>183</v>
      </c>
      <c r="I959" t="s">
        <v>184</v>
      </c>
    </row>
    <row r="960" spans="1:9" x14ac:dyDescent="0.2">
      <c r="A960">
        <v>958</v>
      </c>
      <c r="B960" t="s">
        <v>1884</v>
      </c>
      <c r="C960" t="s">
        <v>1885</v>
      </c>
      <c r="D960" t="s">
        <v>142</v>
      </c>
      <c r="E960" t="s">
        <v>143</v>
      </c>
      <c r="F960">
        <v>135499198</v>
      </c>
      <c r="G960" t="s">
        <v>144</v>
      </c>
      <c r="H960" t="s">
        <v>144</v>
      </c>
      <c r="I960" t="s">
        <v>145</v>
      </c>
    </row>
    <row r="961" spans="1:9" x14ac:dyDescent="0.2">
      <c r="A961">
        <v>959</v>
      </c>
      <c r="B961" t="s">
        <v>1886</v>
      </c>
      <c r="C961" t="s">
        <v>1887</v>
      </c>
      <c r="D961" t="s">
        <v>158</v>
      </c>
      <c r="E961" t="s">
        <v>136</v>
      </c>
      <c r="F961">
        <v>200009329</v>
      </c>
      <c r="G961" t="s">
        <v>159</v>
      </c>
      <c r="H961" t="s">
        <v>159</v>
      </c>
      <c r="I961" t="s">
        <v>160</v>
      </c>
    </row>
    <row r="962" spans="1:9" x14ac:dyDescent="0.2">
      <c r="A962">
        <v>960</v>
      </c>
      <c r="B962" t="s">
        <v>1888</v>
      </c>
      <c r="C962" t="s">
        <v>1889</v>
      </c>
      <c r="D962" t="s">
        <v>1037</v>
      </c>
      <c r="E962" t="s">
        <v>167</v>
      </c>
      <c r="F962">
        <v>3900000</v>
      </c>
      <c r="G962" t="s">
        <v>1037</v>
      </c>
      <c r="H962" t="s">
        <v>174</v>
      </c>
      <c r="I962" t="s">
        <v>174</v>
      </c>
    </row>
    <row r="963" spans="1:9" x14ac:dyDescent="0.2">
      <c r="A963">
        <v>961</v>
      </c>
      <c r="B963" t="s">
        <v>1890</v>
      </c>
      <c r="C963" t="s">
        <v>1891</v>
      </c>
      <c r="D963" t="s">
        <v>330</v>
      </c>
      <c r="E963" t="s">
        <v>167</v>
      </c>
      <c r="F963">
        <v>33339891</v>
      </c>
      <c r="G963" t="s">
        <v>330</v>
      </c>
      <c r="H963" t="s">
        <v>312</v>
      </c>
      <c r="I963" t="s">
        <v>313</v>
      </c>
    </row>
    <row r="964" spans="1:9" x14ac:dyDescent="0.2">
      <c r="A964">
        <v>962</v>
      </c>
      <c r="B964" t="s">
        <v>3450</v>
      </c>
      <c r="C964" t="s">
        <v>1892</v>
      </c>
      <c r="D964" t="s">
        <v>194</v>
      </c>
      <c r="E964" t="s">
        <v>136</v>
      </c>
      <c r="F964">
        <v>4000000</v>
      </c>
      <c r="G964" t="s">
        <v>195</v>
      </c>
      <c r="H964" t="s">
        <v>195</v>
      </c>
      <c r="I964" t="s">
        <v>184</v>
      </c>
    </row>
    <row r="965" spans="1:9" x14ac:dyDescent="0.2">
      <c r="A965">
        <v>963</v>
      </c>
      <c r="B965" t="s">
        <v>1893</v>
      </c>
      <c r="C965" t="s">
        <v>1894</v>
      </c>
      <c r="D965" t="s">
        <v>200</v>
      </c>
      <c r="E965" t="s">
        <v>136</v>
      </c>
      <c r="F965">
        <v>27500000</v>
      </c>
      <c r="G965" t="s">
        <v>201</v>
      </c>
      <c r="H965" t="s">
        <v>150</v>
      </c>
      <c r="I965" t="s">
        <v>145</v>
      </c>
    </row>
    <row r="966" spans="1:9" x14ac:dyDescent="0.2">
      <c r="A966">
        <v>964</v>
      </c>
      <c r="B966" t="s">
        <v>1895</v>
      </c>
      <c r="C966" t="s">
        <v>1896</v>
      </c>
      <c r="D966" t="s">
        <v>513</v>
      </c>
      <c r="E966" t="s">
        <v>143</v>
      </c>
      <c r="F966">
        <v>15199345</v>
      </c>
      <c r="G966" t="s">
        <v>229</v>
      </c>
      <c r="H966" t="s">
        <v>229</v>
      </c>
      <c r="I966" t="s">
        <v>217</v>
      </c>
    </row>
    <row r="967" spans="1:9" x14ac:dyDescent="0.2">
      <c r="A967">
        <v>965</v>
      </c>
      <c r="B967" t="s">
        <v>1897</v>
      </c>
      <c r="C967" t="s">
        <v>1898</v>
      </c>
      <c r="D967" t="s">
        <v>415</v>
      </c>
      <c r="E967" t="s">
        <v>136</v>
      </c>
      <c r="F967">
        <v>17324942</v>
      </c>
      <c r="G967" t="s">
        <v>166</v>
      </c>
      <c r="H967" t="s">
        <v>166</v>
      </c>
      <c r="I967" t="s">
        <v>160</v>
      </c>
    </row>
    <row r="968" spans="1:9" x14ac:dyDescent="0.2">
      <c r="A968">
        <v>966</v>
      </c>
      <c r="B968" t="s">
        <v>1899</v>
      </c>
      <c r="C968" t="s">
        <v>1900</v>
      </c>
      <c r="D968" t="s">
        <v>310</v>
      </c>
      <c r="E968" t="s">
        <v>167</v>
      </c>
      <c r="F968">
        <v>7326928</v>
      </c>
      <c r="G968" t="s">
        <v>311</v>
      </c>
      <c r="H968" t="s">
        <v>312</v>
      </c>
      <c r="I968" t="s">
        <v>313</v>
      </c>
    </row>
    <row r="969" spans="1:9" x14ac:dyDescent="0.2">
      <c r="A969">
        <v>967</v>
      </c>
      <c r="B969" t="s">
        <v>1901</v>
      </c>
      <c r="C969" t="s">
        <v>1902</v>
      </c>
      <c r="D969" t="s">
        <v>383</v>
      </c>
      <c r="E969" t="s">
        <v>136</v>
      </c>
      <c r="F969">
        <v>9000000</v>
      </c>
      <c r="G969" t="s">
        <v>311</v>
      </c>
      <c r="H969" t="s">
        <v>312</v>
      </c>
      <c r="I969" t="s">
        <v>313</v>
      </c>
    </row>
    <row r="970" spans="1:9" x14ac:dyDescent="0.2">
      <c r="A970">
        <v>968</v>
      </c>
      <c r="B970" t="s">
        <v>3451</v>
      </c>
      <c r="C970" t="s">
        <v>1903</v>
      </c>
      <c r="D970" t="s">
        <v>806</v>
      </c>
      <c r="E970" t="s">
        <v>143</v>
      </c>
      <c r="F970">
        <v>24882785</v>
      </c>
      <c r="G970" t="s">
        <v>212</v>
      </c>
      <c r="H970" t="s">
        <v>183</v>
      </c>
      <c r="I970" t="s">
        <v>184</v>
      </c>
    </row>
    <row r="971" spans="1:9" x14ac:dyDescent="0.2">
      <c r="A971">
        <v>969</v>
      </c>
      <c r="B971" t="s">
        <v>1904</v>
      </c>
      <c r="C971" t="s">
        <v>1905</v>
      </c>
      <c r="D971" t="s">
        <v>166</v>
      </c>
      <c r="E971" t="s">
        <v>136</v>
      </c>
      <c r="F971">
        <v>10000000</v>
      </c>
      <c r="G971" t="s">
        <v>166</v>
      </c>
      <c r="H971" t="s">
        <v>166</v>
      </c>
      <c r="I971" t="s">
        <v>160</v>
      </c>
    </row>
    <row r="972" spans="1:9" x14ac:dyDescent="0.2">
      <c r="A972">
        <v>970</v>
      </c>
      <c r="B972" t="s">
        <v>1906</v>
      </c>
      <c r="C972" t="s">
        <v>1907</v>
      </c>
      <c r="D972" t="s">
        <v>293</v>
      </c>
      <c r="E972" t="s">
        <v>167</v>
      </c>
      <c r="F972">
        <v>80798839</v>
      </c>
      <c r="G972" t="s">
        <v>144</v>
      </c>
      <c r="H972" t="s">
        <v>144</v>
      </c>
      <c r="I972" t="s">
        <v>145</v>
      </c>
    </row>
    <row r="973" spans="1:9" x14ac:dyDescent="0.2">
      <c r="A973">
        <v>971</v>
      </c>
      <c r="B973" t="s">
        <v>3452</v>
      </c>
      <c r="C973" t="s">
        <v>1908</v>
      </c>
      <c r="D973" t="s">
        <v>208</v>
      </c>
      <c r="E973" t="s">
        <v>136</v>
      </c>
      <c r="F973">
        <v>1215000</v>
      </c>
      <c r="G973" t="s">
        <v>195</v>
      </c>
      <c r="H973" t="s">
        <v>195</v>
      </c>
      <c r="I973" t="s">
        <v>184</v>
      </c>
    </row>
    <row r="974" spans="1:9" x14ac:dyDescent="0.2">
      <c r="A974">
        <v>972</v>
      </c>
      <c r="B974" t="s">
        <v>3453</v>
      </c>
      <c r="C974" t="s">
        <v>1909</v>
      </c>
      <c r="D974" t="s">
        <v>211</v>
      </c>
      <c r="E974" t="s">
        <v>136</v>
      </c>
      <c r="F974">
        <v>7192550</v>
      </c>
      <c r="G974" t="s">
        <v>212</v>
      </c>
      <c r="H974" t="s">
        <v>183</v>
      </c>
      <c r="I974" t="s">
        <v>184</v>
      </c>
    </row>
    <row r="975" spans="1:9" x14ac:dyDescent="0.2">
      <c r="A975">
        <v>973</v>
      </c>
      <c r="B975" t="s">
        <v>1910</v>
      </c>
      <c r="C975" t="s">
        <v>1911</v>
      </c>
      <c r="D975" t="s">
        <v>142</v>
      </c>
      <c r="E975" t="s">
        <v>143</v>
      </c>
      <c r="F975">
        <v>70000000</v>
      </c>
      <c r="G975" t="s">
        <v>144</v>
      </c>
      <c r="H975" t="s">
        <v>144</v>
      </c>
      <c r="I975" t="s">
        <v>145</v>
      </c>
    </row>
    <row r="976" spans="1:9" x14ac:dyDescent="0.2">
      <c r="A976">
        <v>974</v>
      </c>
      <c r="B976" t="s">
        <v>1912</v>
      </c>
      <c r="C976" t="s">
        <v>1913</v>
      </c>
      <c r="D976" t="s">
        <v>488</v>
      </c>
      <c r="E976" t="s">
        <v>143</v>
      </c>
      <c r="F976">
        <v>1293878081</v>
      </c>
      <c r="G976" t="s">
        <v>489</v>
      </c>
      <c r="H976" t="s">
        <v>490</v>
      </c>
      <c r="I976" t="s">
        <v>490</v>
      </c>
    </row>
    <row r="977" spans="1:9" x14ac:dyDescent="0.2">
      <c r="A977">
        <v>975</v>
      </c>
      <c r="B977" t="s">
        <v>1914</v>
      </c>
      <c r="C977" t="s">
        <v>1915</v>
      </c>
      <c r="D977" t="s">
        <v>293</v>
      </c>
      <c r="E977" t="s">
        <v>167</v>
      </c>
      <c r="F977">
        <v>12000000</v>
      </c>
      <c r="G977" t="s">
        <v>144</v>
      </c>
      <c r="H977" t="s">
        <v>144</v>
      </c>
      <c r="I977" t="s">
        <v>145</v>
      </c>
    </row>
    <row r="978" spans="1:9" x14ac:dyDescent="0.2">
      <c r="A978">
        <v>976</v>
      </c>
      <c r="B978" t="s">
        <v>1916</v>
      </c>
      <c r="C978" t="s">
        <v>1917</v>
      </c>
      <c r="D978" t="s">
        <v>240</v>
      </c>
      <c r="E978" t="s">
        <v>167</v>
      </c>
      <c r="F978">
        <v>9332573</v>
      </c>
      <c r="G978" t="s">
        <v>240</v>
      </c>
      <c r="H978" t="s">
        <v>241</v>
      </c>
      <c r="I978" t="s">
        <v>242</v>
      </c>
    </row>
    <row r="979" spans="1:9" x14ac:dyDescent="0.2">
      <c r="A979">
        <v>977</v>
      </c>
      <c r="B979" t="s">
        <v>1918</v>
      </c>
      <c r="C979" t="s">
        <v>1919</v>
      </c>
      <c r="D979" t="s">
        <v>310</v>
      </c>
      <c r="E979" t="s">
        <v>143</v>
      </c>
      <c r="F979">
        <v>46336278</v>
      </c>
      <c r="G979" t="s">
        <v>311</v>
      </c>
      <c r="H979" t="s">
        <v>312</v>
      </c>
      <c r="I979" t="s">
        <v>313</v>
      </c>
    </row>
    <row r="980" spans="1:9" x14ac:dyDescent="0.2">
      <c r="A980">
        <v>978</v>
      </c>
      <c r="B980" t="s">
        <v>1920</v>
      </c>
      <c r="C980" t="s">
        <v>1921</v>
      </c>
      <c r="D980" t="s">
        <v>652</v>
      </c>
      <c r="E980" t="s">
        <v>136</v>
      </c>
      <c r="F980">
        <v>1800000</v>
      </c>
      <c r="G980" t="s">
        <v>653</v>
      </c>
      <c r="H980" t="s">
        <v>654</v>
      </c>
      <c r="I980" t="s">
        <v>654</v>
      </c>
    </row>
    <row r="981" spans="1:9" x14ac:dyDescent="0.2">
      <c r="A981">
        <v>979</v>
      </c>
      <c r="B981" t="s">
        <v>3454</v>
      </c>
      <c r="C981" t="s">
        <v>1922</v>
      </c>
      <c r="D981" t="s">
        <v>283</v>
      </c>
      <c r="E981" t="s">
        <v>167</v>
      </c>
      <c r="F981">
        <v>4200000</v>
      </c>
      <c r="G981" t="s">
        <v>284</v>
      </c>
      <c r="H981" t="s">
        <v>183</v>
      </c>
      <c r="I981" t="s">
        <v>184</v>
      </c>
    </row>
    <row r="982" spans="1:9" x14ac:dyDescent="0.2">
      <c r="A982">
        <v>980</v>
      </c>
      <c r="B982" t="s">
        <v>3455</v>
      </c>
      <c r="C982" t="s">
        <v>1923</v>
      </c>
      <c r="D982" t="s">
        <v>289</v>
      </c>
      <c r="E982" t="s">
        <v>167</v>
      </c>
      <c r="F982">
        <v>7227662</v>
      </c>
      <c r="G982" t="s">
        <v>290</v>
      </c>
      <c r="H982" t="s">
        <v>183</v>
      </c>
      <c r="I982" t="s">
        <v>184</v>
      </c>
    </row>
    <row r="983" spans="1:9" x14ac:dyDescent="0.2">
      <c r="A983">
        <v>981</v>
      </c>
      <c r="B983" t="s">
        <v>1924</v>
      </c>
      <c r="C983" t="s">
        <v>1925</v>
      </c>
      <c r="D983" t="s">
        <v>652</v>
      </c>
      <c r="E983" t="s">
        <v>136</v>
      </c>
      <c r="F983">
        <v>5000000</v>
      </c>
      <c r="G983" t="s">
        <v>653</v>
      </c>
      <c r="H983" t="s">
        <v>654</v>
      </c>
      <c r="I983" t="s">
        <v>654</v>
      </c>
    </row>
    <row r="984" spans="1:9" x14ac:dyDescent="0.2">
      <c r="A984">
        <v>982</v>
      </c>
      <c r="B984" t="s">
        <v>1926</v>
      </c>
      <c r="C984" t="s">
        <v>1927</v>
      </c>
      <c r="D984" t="s">
        <v>383</v>
      </c>
      <c r="E984" t="s">
        <v>136</v>
      </c>
      <c r="F984">
        <v>49999832</v>
      </c>
      <c r="G984" t="s">
        <v>311</v>
      </c>
      <c r="H984" t="s">
        <v>312</v>
      </c>
      <c r="I984" t="s">
        <v>313</v>
      </c>
    </row>
    <row r="985" spans="1:9" x14ac:dyDescent="0.2">
      <c r="A985">
        <v>983</v>
      </c>
      <c r="B985" t="s">
        <v>1928</v>
      </c>
      <c r="C985" t="s">
        <v>1929</v>
      </c>
      <c r="D985" t="s">
        <v>215</v>
      </c>
      <c r="E985" t="s">
        <v>143</v>
      </c>
      <c r="F985">
        <v>11040241</v>
      </c>
      <c r="G985" t="s">
        <v>216</v>
      </c>
      <c r="H985" t="s">
        <v>216</v>
      </c>
      <c r="I985" t="s">
        <v>217</v>
      </c>
    </row>
    <row r="986" spans="1:9" x14ac:dyDescent="0.2">
      <c r="A986">
        <v>984</v>
      </c>
      <c r="B986" t="s">
        <v>1930</v>
      </c>
      <c r="C986" t="s">
        <v>1931</v>
      </c>
      <c r="D986" t="s">
        <v>310</v>
      </c>
      <c r="E986" t="s">
        <v>136</v>
      </c>
      <c r="F986">
        <v>6666666</v>
      </c>
      <c r="G986" t="s">
        <v>311</v>
      </c>
      <c r="H986" t="s">
        <v>312</v>
      </c>
      <c r="I986" t="s">
        <v>313</v>
      </c>
    </row>
    <row r="987" spans="1:9" x14ac:dyDescent="0.2">
      <c r="A987">
        <v>985</v>
      </c>
      <c r="B987" t="s">
        <v>1932</v>
      </c>
      <c r="C987" t="s">
        <v>1933</v>
      </c>
      <c r="D987" t="s">
        <v>325</v>
      </c>
      <c r="E987" t="s">
        <v>136</v>
      </c>
      <c r="F987">
        <v>9000000</v>
      </c>
      <c r="G987" t="s">
        <v>326</v>
      </c>
      <c r="H987" t="s">
        <v>327</v>
      </c>
      <c r="I987" t="s">
        <v>217</v>
      </c>
    </row>
    <row r="988" spans="1:9" x14ac:dyDescent="0.2">
      <c r="A988">
        <v>986</v>
      </c>
      <c r="B988" t="s">
        <v>1934</v>
      </c>
      <c r="C988" t="s">
        <v>1935</v>
      </c>
      <c r="D988" t="s">
        <v>137</v>
      </c>
      <c r="E988" t="s">
        <v>143</v>
      </c>
      <c r="F988">
        <v>338074776</v>
      </c>
      <c r="G988" t="s">
        <v>137</v>
      </c>
      <c r="H988" t="s">
        <v>138</v>
      </c>
      <c r="I988" t="s">
        <v>139</v>
      </c>
    </row>
    <row r="989" spans="1:9" x14ac:dyDescent="0.2">
      <c r="A989">
        <v>987</v>
      </c>
      <c r="B989" t="s">
        <v>3456</v>
      </c>
      <c r="C989" t="s">
        <v>1936</v>
      </c>
      <c r="D989" t="s">
        <v>806</v>
      </c>
      <c r="E989" t="s">
        <v>136</v>
      </c>
      <c r="F989">
        <v>16100000</v>
      </c>
      <c r="G989" t="s">
        <v>212</v>
      </c>
      <c r="H989" t="s">
        <v>183</v>
      </c>
      <c r="I989" t="s">
        <v>184</v>
      </c>
    </row>
    <row r="990" spans="1:9" x14ac:dyDescent="0.2">
      <c r="A990">
        <v>988</v>
      </c>
      <c r="B990" t="s">
        <v>3457</v>
      </c>
      <c r="C990" t="s">
        <v>1937</v>
      </c>
      <c r="D990" t="s">
        <v>208</v>
      </c>
      <c r="E990" t="s">
        <v>136</v>
      </c>
      <c r="F990">
        <v>9282802</v>
      </c>
      <c r="G990" t="s">
        <v>195</v>
      </c>
      <c r="H990" t="s">
        <v>195</v>
      </c>
      <c r="I990" t="s">
        <v>184</v>
      </c>
    </row>
    <row r="991" spans="1:9" x14ac:dyDescent="0.2">
      <c r="A991">
        <v>989</v>
      </c>
      <c r="B991" t="s">
        <v>1938</v>
      </c>
      <c r="C991" t="s">
        <v>1939</v>
      </c>
      <c r="D991" t="s">
        <v>310</v>
      </c>
      <c r="E991" t="s">
        <v>136</v>
      </c>
      <c r="F991">
        <v>10900000</v>
      </c>
      <c r="G991" t="s">
        <v>311</v>
      </c>
      <c r="H991" t="s">
        <v>312</v>
      </c>
      <c r="I991" t="s">
        <v>313</v>
      </c>
    </row>
    <row r="992" spans="1:9" x14ac:dyDescent="0.2">
      <c r="A992">
        <v>990</v>
      </c>
      <c r="B992" t="s">
        <v>1940</v>
      </c>
      <c r="C992" t="s">
        <v>1941</v>
      </c>
      <c r="D992" t="s">
        <v>355</v>
      </c>
      <c r="E992" t="s">
        <v>136</v>
      </c>
      <c r="F992">
        <v>279676336</v>
      </c>
      <c r="G992" t="s">
        <v>356</v>
      </c>
      <c r="H992" t="s">
        <v>150</v>
      </c>
      <c r="I992" t="s">
        <v>145</v>
      </c>
    </row>
    <row r="993" spans="1:9" x14ac:dyDescent="0.2">
      <c r="A993">
        <v>991</v>
      </c>
      <c r="B993" t="s">
        <v>1942</v>
      </c>
      <c r="C993" t="s">
        <v>1943</v>
      </c>
      <c r="D993" t="s">
        <v>1859</v>
      </c>
      <c r="E993" t="s">
        <v>136</v>
      </c>
      <c r="F993">
        <v>40000000</v>
      </c>
      <c r="G993" t="s">
        <v>1860</v>
      </c>
      <c r="H993" t="s">
        <v>490</v>
      </c>
      <c r="I993" t="s">
        <v>490</v>
      </c>
    </row>
    <row r="994" spans="1:9" x14ac:dyDescent="0.2">
      <c r="A994">
        <v>992</v>
      </c>
      <c r="B994" t="s">
        <v>1944</v>
      </c>
      <c r="C994" t="s">
        <v>1945</v>
      </c>
      <c r="D994" t="s">
        <v>1424</v>
      </c>
      <c r="E994" t="s">
        <v>167</v>
      </c>
      <c r="F994">
        <v>19430006</v>
      </c>
      <c r="G994" t="s">
        <v>653</v>
      </c>
      <c r="H994" t="s">
        <v>654</v>
      </c>
      <c r="I994" t="s">
        <v>654</v>
      </c>
    </row>
    <row r="995" spans="1:9" x14ac:dyDescent="0.2">
      <c r="A995">
        <v>993</v>
      </c>
      <c r="B995" t="s">
        <v>1946</v>
      </c>
      <c r="C995" t="s">
        <v>1947</v>
      </c>
      <c r="D995" t="s">
        <v>310</v>
      </c>
      <c r="E995" t="s">
        <v>136</v>
      </c>
      <c r="F995">
        <v>12499612</v>
      </c>
      <c r="G995" t="s">
        <v>311</v>
      </c>
      <c r="H995" t="s">
        <v>312</v>
      </c>
      <c r="I995" t="s">
        <v>313</v>
      </c>
    </row>
    <row r="996" spans="1:9" x14ac:dyDescent="0.2">
      <c r="A996">
        <v>994</v>
      </c>
      <c r="B996" t="s">
        <v>1948</v>
      </c>
      <c r="C996" t="s">
        <v>1949</v>
      </c>
      <c r="D996" t="s">
        <v>330</v>
      </c>
      <c r="E996" t="s">
        <v>143</v>
      </c>
      <c r="F996">
        <v>2341871600</v>
      </c>
      <c r="G996" t="s">
        <v>330</v>
      </c>
      <c r="H996" t="s">
        <v>312</v>
      </c>
      <c r="I996" t="s">
        <v>313</v>
      </c>
    </row>
    <row r="997" spans="1:9" x14ac:dyDescent="0.2">
      <c r="A997">
        <v>995</v>
      </c>
      <c r="B997" t="s">
        <v>1950</v>
      </c>
      <c r="C997" t="s">
        <v>1951</v>
      </c>
      <c r="D997" t="s">
        <v>330</v>
      </c>
      <c r="E997" t="s">
        <v>143</v>
      </c>
      <c r="F997">
        <v>326235000</v>
      </c>
      <c r="G997" t="s">
        <v>330</v>
      </c>
      <c r="H997" t="s">
        <v>312</v>
      </c>
      <c r="I997" t="s">
        <v>313</v>
      </c>
    </row>
    <row r="998" spans="1:9" x14ac:dyDescent="0.2">
      <c r="A998">
        <v>996</v>
      </c>
      <c r="B998" t="s">
        <v>3458</v>
      </c>
      <c r="C998" t="s">
        <v>1952</v>
      </c>
      <c r="D998" t="s">
        <v>181</v>
      </c>
      <c r="E998" t="s">
        <v>167</v>
      </c>
      <c r="F998">
        <v>2000000</v>
      </c>
      <c r="G998" t="s">
        <v>182</v>
      </c>
      <c r="H998" t="s">
        <v>183</v>
      </c>
      <c r="I998" t="s">
        <v>184</v>
      </c>
    </row>
    <row r="999" spans="1:9" x14ac:dyDescent="0.2">
      <c r="A999">
        <v>997</v>
      </c>
      <c r="B999" t="s">
        <v>1953</v>
      </c>
      <c r="C999" t="s">
        <v>1954</v>
      </c>
      <c r="D999" t="s">
        <v>163</v>
      </c>
      <c r="E999" t="s">
        <v>136</v>
      </c>
      <c r="F999">
        <v>74670891</v>
      </c>
      <c r="G999" t="s">
        <v>137</v>
      </c>
      <c r="H999" t="s">
        <v>138</v>
      </c>
      <c r="I999" t="s">
        <v>139</v>
      </c>
    </row>
    <row r="1000" spans="1:9" x14ac:dyDescent="0.2">
      <c r="A1000">
        <v>998</v>
      </c>
      <c r="B1000" t="s">
        <v>1955</v>
      </c>
      <c r="C1000" t="s">
        <v>1956</v>
      </c>
      <c r="D1000" t="s">
        <v>166</v>
      </c>
      <c r="E1000" t="s">
        <v>136</v>
      </c>
      <c r="F1000">
        <v>48290629</v>
      </c>
      <c r="G1000" t="s">
        <v>166</v>
      </c>
      <c r="H1000" t="s">
        <v>166</v>
      </c>
      <c r="I1000" t="s">
        <v>160</v>
      </c>
    </row>
    <row r="1001" spans="1:9" x14ac:dyDescent="0.2">
      <c r="A1001">
        <v>999</v>
      </c>
      <c r="B1001" t="s">
        <v>1957</v>
      </c>
      <c r="C1001" t="s">
        <v>1958</v>
      </c>
      <c r="D1001" t="s">
        <v>240</v>
      </c>
      <c r="E1001" t="s">
        <v>167</v>
      </c>
      <c r="F1001">
        <v>8799991</v>
      </c>
      <c r="G1001" t="s">
        <v>240</v>
      </c>
      <c r="H1001" t="s">
        <v>241</v>
      </c>
      <c r="I1001" t="s">
        <v>242</v>
      </c>
    </row>
    <row r="1002" spans="1:9" x14ac:dyDescent="0.2">
      <c r="A1002">
        <v>1000</v>
      </c>
      <c r="B1002" t="s">
        <v>3459</v>
      </c>
      <c r="C1002" t="s">
        <v>1959</v>
      </c>
      <c r="D1002" t="s">
        <v>181</v>
      </c>
      <c r="E1002" t="s">
        <v>167</v>
      </c>
      <c r="F1002">
        <v>15000000</v>
      </c>
      <c r="G1002" t="s">
        <v>182</v>
      </c>
      <c r="H1002" t="s">
        <v>183</v>
      </c>
      <c r="I1002" t="s">
        <v>184</v>
      </c>
    </row>
    <row r="1003" spans="1:9" x14ac:dyDescent="0.2">
      <c r="A1003">
        <v>1001</v>
      </c>
      <c r="B1003" t="s">
        <v>1960</v>
      </c>
      <c r="C1003" t="s">
        <v>1961</v>
      </c>
      <c r="D1003" t="s">
        <v>310</v>
      </c>
      <c r="E1003" t="s">
        <v>167</v>
      </c>
      <c r="F1003">
        <v>19644923</v>
      </c>
      <c r="G1003" t="s">
        <v>311</v>
      </c>
      <c r="H1003" t="s">
        <v>312</v>
      </c>
      <c r="I1003" t="s">
        <v>313</v>
      </c>
    </row>
    <row r="1004" spans="1:9" x14ac:dyDescent="0.2">
      <c r="A1004">
        <v>1002</v>
      </c>
      <c r="B1004" t="s">
        <v>1962</v>
      </c>
      <c r="C1004" t="s">
        <v>1963</v>
      </c>
      <c r="D1004" t="s">
        <v>310</v>
      </c>
      <c r="E1004" t="s">
        <v>167</v>
      </c>
      <c r="F1004">
        <v>9343974</v>
      </c>
      <c r="G1004" t="s">
        <v>311</v>
      </c>
      <c r="H1004" t="s">
        <v>312</v>
      </c>
      <c r="I1004" t="s">
        <v>313</v>
      </c>
    </row>
    <row r="1005" spans="1:9" x14ac:dyDescent="0.2">
      <c r="A1005">
        <v>1003</v>
      </c>
      <c r="B1005" t="s">
        <v>3460</v>
      </c>
      <c r="C1005" t="s">
        <v>1964</v>
      </c>
      <c r="D1005" t="s">
        <v>211</v>
      </c>
      <c r="E1005" t="s">
        <v>136</v>
      </c>
      <c r="F1005">
        <v>30000000</v>
      </c>
      <c r="G1005" t="s">
        <v>212</v>
      </c>
      <c r="H1005" t="s">
        <v>183</v>
      </c>
      <c r="I1005" t="s">
        <v>184</v>
      </c>
    </row>
    <row r="1006" spans="1:9" x14ac:dyDescent="0.2">
      <c r="A1006">
        <v>1004</v>
      </c>
      <c r="B1006" t="s">
        <v>3461</v>
      </c>
      <c r="C1006" t="s">
        <v>1965</v>
      </c>
      <c r="D1006" t="s">
        <v>882</v>
      </c>
      <c r="E1006" t="s">
        <v>167</v>
      </c>
      <c r="F1006">
        <v>3099849</v>
      </c>
      <c r="G1006" t="s">
        <v>212</v>
      </c>
      <c r="H1006" t="s">
        <v>183</v>
      </c>
      <c r="I1006" t="s">
        <v>184</v>
      </c>
    </row>
    <row r="1007" spans="1:9" x14ac:dyDescent="0.2">
      <c r="A1007">
        <v>1005</v>
      </c>
      <c r="B1007" t="s">
        <v>1966</v>
      </c>
      <c r="C1007" t="s">
        <v>1967</v>
      </c>
      <c r="D1007" t="s">
        <v>1968</v>
      </c>
      <c r="E1007" t="s">
        <v>167</v>
      </c>
      <c r="F1007">
        <v>104400000</v>
      </c>
      <c r="G1007" t="s">
        <v>177</v>
      </c>
      <c r="H1007" t="s">
        <v>178</v>
      </c>
      <c r="I1007" t="s">
        <v>160</v>
      </c>
    </row>
    <row r="1008" spans="1:9" x14ac:dyDescent="0.2">
      <c r="A1008">
        <v>1006</v>
      </c>
      <c r="B1008" t="s">
        <v>1969</v>
      </c>
      <c r="C1008" t="s">
        <v>1970</v>
      </c>
      <c r="D1008" t="s">
        <v>237</v>
      </c>
      <c r="E1008" t="s">
        <v>136</v>
      </c>
      <c r="F1008">
        <v>3000000</v>
      </c>
      <c r="G1008" t="s">
        <v>154</v>
      </c>
      <c r="H1008" t="s">
        <v>155</v>
      </c>
      <c r="I1008" t="s">
        <v>139</v>
      </c>
    </row>
    <row r="1009" spans="1:9" x14ac:dyDescent="0.2">
      <c r="A1009">
        <v>1007</v>
      </c>
      <c r="B1009" t="s">
        <v>1971</v>
      </c>
      <c r="C1009" t="s">
        <v>1972</v>
      </c>
      <c r="D1009" t="s">
        <v>166</v>
      </c>
      <c r="E1009" t="s">
        <v>136</v>
      </c>
      <c r="F1009">
        <v>300000000</v>
      </c>
      <c r="G1009" t="s">
        <v>166</v>
      </c>
      <c r="H1009" t="s">
        <v>166</v>
      </c>
      <c r="I1009" t="s">
        <v>160</v>
      </c>
    </row>
    <row r="1010" spans="1:9" x14ac:dyDescent="0.2">
      <c r="A1010">
        <v>1008</v>
      </c>
      <c r="B1010" t="s">
        <v>3462</v>
      </c>
      <c r="C1010" t="s">
        <v>1973</v>
      </c>
      <c r="D1010" t="s">
        <v>208</v>
      </c>
      <c r="E1010" t="s">
        <v>136</v>
      </c>
      <c r="F1010">
        <v>50000000</v>
      </c>
      <c r="G1010" t="s">
        <v>195</v>
      </c>
      <c r="H1010" t="s">
        <v>195</v>
      </c>
      <c r="I1010" t="s">
        <v>184</v>
      </c>
    </row>
    <row r="1011" spans="1:9" x14ac:dyDescent="0.2">
      <c r="A1011">
        <v>1009</v>
      </c>
      <c r="B1011" t="s">
        <v>3463</v>
      </c>
      <c r="C1011" t="s">
        <v>1974</v>
      </c>
      <c r="D1011" t="s">
        <v>882</v>
      </c>
      <c r="E1011" t="s">
        <v>167</v>
      </c>
      <c r="F1011">
        <v>7200000</v>
      </c>
      <c r="G1011" t="s">
        <v>212</v>
      </c>
      <c r="H1011" t="s">
        <v>183</v>
      </c>
      <c r="I1011" t="s">
        <v>184</v>
      </c>
    </row>
    <row r="1012" spans="1:9" x14ac:dyDescent="0.2">
      <c r="A1012">
        <v>1010</v>
      </c>
      <c r="B1012" t="s">
        <v>1975</v>
      </c>
      <c r="C1012" t="s">
        <v>1976</v>
      </c>
      <c r="D1012" t="s">
        <v>316</v>
      </c>
      <c r="E1012" t="s">
        <v>167</v>
      </c>
      <c r="F1012">
        <v>51827894</v>
      </c>
      <c r="G1012" t="s">
        <v>229</v>
      </c>
      <c r="H1012" t="s">
        <v>229</v>
      </c>
      <c r="I1012" t="s">
        <v>217</v>
      </c>
    </row>
    <row r="1013" spans="1:9" x14ac:dyDescent="0.2">
      <c r="A1013">
        <v>1011</v>
      </c>
      <c r="B1013" t="s">
        <v>1977</v>
      </c>
      <c r="C1013" t="s">
        <v>1978</v>
      </c>
      <c r="D1013" t="s">
        <v>293</v>
      </c>
      <c r="E1013" t="s">
        <v>167</v>
      </c>
      <c r="F1013">
        <v>12500000</v>
      </c>
      <c r="G1013" t="s">
        <v>144</v>
      </c>
      <c r="H1013" t="s">
        <v>144</v>
      </c>
      <c r="I1013" t="s">
        <v>145</v>
      </c>
    </row>
    <row r="1014" spans="1:9" x14ac:dyDescent="0.2">
      <c r="A1014">
        <v>1012</v>
      </c>
      <c r="B1014" t="s">
        <v>3464</v>
      </c>
      <c r="C1014" t="s">
        <v>1979</v>
      </c>
      <c r="D1014" t="s">
        <v>208</v>
      </c>
      <c r="E1014" t="s">
        <v>136</v>
      </c>
      <c r="F1014">
        <v>35000000</v>
      </c>
      <c r="G1014" t="s">
        <v>195</v>
      </c>
      <c r="H1014" t="s">
        <v>195</v>
      </c>
      <c r="I1014" t="s">
        <v>184</v>
      </c>
    </row>
    <row r="1015" spans="1:9" x14ac:dyDescent="0.2">
      <c r="A1015">
        <v>1013</v>
      </c>
      <c r="B1015" t="s">
        <v>1980</v>
      </c>
      <c r="C1015" t="s">
        <v>1981</v>
      </c>
      <c r="D1015" t="s">
        <v>310</v>
      </c>
      <c r="E1015" t="s">
        <v>136</v>
      </c>
      <c r="F1015">
        <v>126196780</v>
      </c>
      <c r="G1015" t="s">
        <v>311</v>
      </c>
      <c r="H1015" t="s">
        <v>312</v>
      </c>
      <c r="I1015" t="s">
        <v>313</v>
      </c>
    </row>
    <row r="1016" spans="1:9" x14ac:dyDescent="0.2">
      <c r="A1016">
        <v>1014</v>
      </c>
      <c r="B1016" t="s">
        <v>1982</v>
      </c>
      <c r="C1016" t="s">
        <v>1983</v>
      </c>
      <c r="D1016" t="s">
        <v>158</v>
      </c>
      <c r="E1016" t="s">
        <v>167</v>
      </c>
      <c r="F1016">
        <v>59841300</v>
      </c>
      <c r="G1016" t="s">
        <v>159</v>
      </c>
      <c r="H1016" t="s">
        <v>159</v>
      </c>
      <c r="I1016" t="s">
        <v>160</v>
      </c>
    </row>
    <row r="1017" spans="1:9" x14ac:dyDescent="0.2">
      <c r="A1017">
        <v>1015</v>
      </c>
      <c r="B1017" t="s">
        <v>1984</v>
      </c>
      <c r="C1017" t="s">
        <v>1985</v>
      </c>
      <c r="D1017" t="s">
        <v>153</v>
      </c>
      <c r="E1017" t="s">
        <v>136</v>
      </c>
      <c r="F1017">
        <v>11812500</v>
      </c>
      <c r="G1017" t="s">
        <v>154</v>
      </c>
      <c r="H1017" t="s">
        <v>155</v>
      </c>
      <c r="I1017" t="s">
        <v>139</v>
      </c>
    </row>
    <row r="1018" spans="1:9" x14ac:dyDescent="0.2">
      <c r="A1018">
        <v>1016</v>
      </c>
      <c r="B1018" t="s">
        <v>3465</v>
      </c>
      <c r="C1018" t="s">
        <v>1986</v>
      </c>
      <c r="D1018" t="s">
        <v>211</v>
      </c>
      <c r="E1018" t="s">
        <v>136</v>
      </c>
      <c r="F1018">
        <v>40000000</v>
      </c>
      <c r="G1018" t="s">
        <v>212</v>
      </c>
      <c r="H1018" t="s">
        <v>183</v>
      </c>
      <c r="I1018" t="s">
        <v>184</v>
      </c>
    </row>
    <row r="1019" spans="1:9" x14ac:dyDescent="0.2">
      <c r="A1019">
        <v>1017</v>
      </c>
      <c r="B1019" t="s">
        <v>3466</v>
      </c>
      <c r="C1019" t="s">
        <v>1987</v>
      </c>
      <c r="D1019" t="s">
        <v>882</v>
      </c>
      <c r="E1019" t="s">
        <v>136</v>
      </c>
      <c r="F1019">
        <v>40000000</v>
      </c>
      <c r="G1019" t="s">
        <v>212</v>
      </c>
      <c r="H1019" t="s">
        <v>183</v>
      </c>
      <c r="I1019" t="s">
        <v>184</v>
      </c>
    </row>
    <row r="1020" spans="1:9" x14ac:dyDescent="0.2">
      <c r="A1020">
        <v>1018</v>
      </c>
      <c r="B1020" t="s">
        <v>1988</v>
      </c>
      <c r="C1020" t="s">
        <v>1989</v>
      </c>
      <c r="D1020" t="s">
        <v>293</v>
      </c>
      <c r="E1020" t="s">
        <v>167</v>
      </c>
      <c r="F1020">
        <v>17000000</v>
      </c>
      <c r="G1020" t="s">
        <v>144</v>
      </c>
      <c r="H1020" t="s">
        <v>144</v>
      </c>
      <c r="I1020" t="s">
        <v>145</v>
      </c>
    </row>
    <row r="1021" spans="1:9" x14ac:dyDescent="0.2">
      <c r="A1021">
        <v>1019</v>
      </c>
      <c r="B1021" t="s">
        <v>1990</v>
      </c>
      <c r="C1021" t="s">
        <v>1991</v>
      </c>
      <c r="D1021" t="s">
        <v>200</v>
      </c>
      <c r="E1021" t="s">
        <v>143</v>
      </c>
      <c r="F1021">
        <v>66938403</v>
      </c>
      <c r="G1021" t="s">
        <v>201</v>
      </c>
      <c r="H1021" t="s">
        <v>150</v>
      </c>
      <c r="I1021" t="s">
        <v>145</v>
      </c>
    </row>
    <row r="1022" spans="1:9" x14ac:dyDescent="0.2">
      <c r="A1022">
        <v>1020</v>
      </c>
      <c r="B1022" t="s">
        <v>3467</v>
      </c>
      <c r="C1022" t="s">
        <v>1992</v>
      </c>
      <c r="D1022" t="s">
        <v>208</v>
      </c>
      <c r="E1022" t="s">
        <v>143</v>
      </c>
      <c r="F1022">
        <v>32307324</v>
      </c>
      <c r="G1022" t="s">
        <v>195</v>
      </c>
      <c r="H1022" t="s">
        <v>195</v>
      </c>
      <c r="I1022" t="s">
        <v>184</v>
      </c>
    </row>
    <row r="1023" spans="1:9" x14ac:dyDescent="0.2">
      <c r="A1023">
        <v>1021</v>
      </c>
      <c r="B1023" t="s">
        <v>3468</v>
      </c>
      <c r="C1023" t="s">
        <v>1993</v>
      </c>
      <c r="D1023" t="s">
        <v>208</v>
      </c>
      <c r="E1023" t="s">
        <v>167</v>
      </c>
      <c r="F1023">
        <v>4999933</v>
      </c>
      <c r="G1023" t="s">
        <v>195</v>
      </c>
      <c r="H1023" t="s">
        <v>195</v>
      </c>
      <c r="I1023" t="s">
        <v>184</v>
      </c>
    </row>
    <row r="1024" spans="1:9" x14ac:dyDescent="0.2">
      <c r="A1024">
        <v>1022</v>
      </c>
      <c r="B1024" t="s">
        <v>3469</v>
      </c>
      <c r="C1024" t="s">
        <v>1994</v>
      </c>
      <c r="D1024" t="s">
        <v>194</v>
      </c>
      <c r="E1024" t="s">
        <v>136</v>
      </c>
      <c r="F1024">
        <v>12500000</v>
      </c>
      <c r="G1024" t="s">
        <v>195</v>
      </c>
      <c r="H1024" t="s">
        <v>195</v>
      </c>
      <c r="I1024" t="s">
        <v>184</v>
      </c>
    </row>
    <row r="1025" spans="1:9" x14ac:dyDescent="0.2">
      <c r="A1025">
        <v>1023</v>
      </c>
      <c r="B1025" t="s">
        <v>1995</v>
      </c>
      <c r="C1025" t="s">
        <v>1996</v>
      </c>
      <c r="D1025" t="s">
        <v>163</v>
      </c>
      <c r="E1025" t="s">
        <v>136</v>
      </c>
      <c r="F1025">
        <v>4996185</v>
      </c>
      <c r="G1025" t="s">
        <v>137</v>
      </c>
      <c r="H1025" t="s">
        <v>138</v>
      </c>
      <c r="I1025" t="s">
        <v>139</v>
      </c>
    </row>
    <row r="1026" spans="1:9" x14ac:dyDescent="0.2">
      <c r="A1026">
        <v>1024</v>
      </c>
      <c r="B1026" t="s">
        <v>1997</v>
      </c>
      <c r="C1026" t="s">
        <v>1998</v>
      </c>
      <c r="D1026" t="s">
        <v>310</v>
      </c>
      <c r="E1026" t="s">
        <v>136</v>
      </c>
      <c r="F1026">
        <v>3503164</v>
      </c>
      <c r="G1026" t="s">
        <v>311</v>
      </c>
      <c r="H1026" t="s">
        <v>312</v>
      </c>
      <c r="I1026" t="s">
        <v>313</v>
      </c>
    </row>
    <row r="1027" spans="1:9" x14ac:dyDescent="0.2">
      <c r="A1027">
        <v>1025</v>
      </c>
      <c r="B1027" t="s">
        <v>1999</v>
      </c>
      <c r="C1027" t="s">
        <v>2000</v>
      </c>
      <c r="D1027" t="s">
        <v>177</v>
      </c>
      <c r="E1027" t="s">
        <v>167</v>
      </c>
      <c r="F1027">
        <v>120592129</v>
      </c>
      <c r="G1027" t="s">
        <v>177</v>
      </c>
      <c r="H1027" t="s">
        <v>178</v>
      </c>
      <c r="I1027" t="s">
        <v>160</v>
      </c>
    </row>
    <row r="1028" spans="1:9" x14ac:dyDescent="0.2">
      <c r="A1028">
        <v>1026</v>
      </c>
      <c r="B1028" t="s">
        <v>2001</v>
      </c>
      <c r="C1028" t="s">
        <v>2002</v>
      </c>
      <c r="D1028" t="s">
        <v>166</v>
      </c>
      <c r="E1028" t="s">
        <v>143</v>
      </c>
      <c r="F1028">
        <v>100000000</v>
      </c>
      <c r="G1028" t="s">
        <v>166</v>
      </c>
      <c r="H1028" t="s">
        <v>166</v>
      </c>
      <c r="I1028" t="s">
        <v>160</v>
      </c>
    </row>
    <row r="1029" spans="1:9" x14ac:dyDescent="0.2">
      <c r="A1029">
        <v>1027</v>
      </c>
      <c r="B1029" t="s">
        <v>3470</v>
      </c>
      <c r="C1029" t="s">
        <v>3471</v>
      </c>
      <c r="D1029" t="s">
        <v>671</v>
      </c>
      <c r="E1029" t="s">
        <v>136</v>
      </c>
      <c r="F1029">
        <v>32000000</v>
      </c>
      <c r="G1029" t="s">
        <v>672</v>
      </c>
      <c r="H1029" t="s">
        <v>672</v>
      </c>
      <c r="I1029" t="s">
        <v>139</v>
      </c>
    </row>
    <row r="1030" spans="1:9" x14ac:dyDescent="0.2">
      <c r="A1030">
        <v>1028</v>
      </c>
      <c r="B1030" t="s">
        <v>3472</v>
      </c>
      <c r="C1030" t="s">
        <v>2003</v>
      </c>
      <c r="D1030" t="s">
        <v>208</v>
      </c>
      <c r="E1030" t="s">
        <v>136</v>
      </c>
      <c r="F1030">
        <v>1200000</v>
      </c>
      <c r="G1030" t="s">
        <v>195</v>
      </c>
      <c r="H1030" t="s">
        <v>195</v>
      </c>
      <c r="I1030" t="s">
        <v>184</v>
      </c>
    </row>
    <row r="1031" spans="1:9" x14ac:dyDescent="0.2">
      <c r="A1031">
        <v>1029</v>
      </c>
      <c r="B1031" t="s">
        <v>2004</v>
      </c>
      <c r="C1031" t="s">
        <v>2005</v>
      </c>
      <c r="D1031" t="s">
        <v>1037</v>
      </c>
      <c r="E1031" t="s">
        <v>136</v>
      </c>
      <c r="F1031">
        <v>6800000</v>
      </c>
      <c r="G1031" t="s">
        <v>1037</v>
      </c>
      <c r="H1031" t="s">
        <v>174</v>
      </c>
      <c r="I1031" t="s">
        <v>174</v>
      </c>
    </row>
    <row r="1032" spans="1:9" x14ac:dyDescent="0.2">
      <c r="A1032">
        <v>1030</v>
      </c>
      <c r="B1032" t="s">
        <v>3473</v>
      </c>
      <c r="C1032" t="s">
        <v>2006</v>
      </c>
      <c r="D1032" t="s">
        <v>882</v>
      </c>
      <c r="E1032" t="s">
        <v>167</v>
      </c>
      <c r="F1032">
        <v>5568000</v>
      </c>
      <c r="G1032" t="s">
        <v>212</v>
      </c>
      <c r="H1032" t="s">
        <v>183</v>
      </c>
      <c r="I1032" t="s">
        <v>184</v>
      </c>
    </row>
    <row r="1033" spans="1:9" x14ac:dyDescent="0.2">
      <c r="A1033">
        <v>1031</v>
      </c>
      <c r="B1033" t="s">
        <v>3474</v>
      </c>
      <c r="C1033" t="s">
        <v>2007</v>
      </c>
      <c r="D1033" t="s">
        <v>882</v>
      </c>
      <c r="E1033" t="s">
        <v>136</v>
      </c>
      <c r="F1033">
        <v>16493172</v>
      </c>
      <c r="G1033" t="s">
        <v>212</v>
      </c>
      <c r="H1033" t="s">
        <v>183</v>
      </c>
      <c r="I1033" t="s">
        <v>184</v>
      </c>
    </row>
    <row r="1034" spans="1:9" x14ac:dyDescent="0.2">
      <c r="A1034">
        <v>1032</v>
      </c>
      <c r="B1034" t="s">
        <v>2008</v>
      </c>
      <c r="C1034" t="s">
        <v>2009</v>
      </c>
      <c r="D1034" t="s">
        <v>1859</v>
      </c>
      <c r="E1034" t="s">
        <v>136</v>
      </c>
      <c r="F1034">
        <v>20000000</v>
      </c>
      <c r="G1034" t="s">
        <v>1860</v>
      </c>
      <c r="H1034" t="s">
        <v>490</v>
      </c>
      <c r="I1034" t="s">
        <v>490</v>
      </c>
    </row>
    <row r="1035" spans="1:9" x14ac:dyDescent="0.2">
      <c r="A1035">
        <v>1033</v>
      </c>
      <c r="B1035" t="s">
        <v>3475</v>
      </c>
      <c r="C1035" t="s">
        <v>2010</v>
      </c>
      <c r="D1035" t="s">
        <v>310</v>
      </c>
      <c r="E1035" t="s">
        <v>167</v>
      </c>
      <c r="F1035">
        <v>6432453</v>
      </c>
      <c r="G1035" t="s">
        <v>311</v>
      </c>
      <c r="H1035" t="s">
        <v>312</v>
      </c>
      <c r="I1035" t="s">
        <v>313</v>
      </c>
    </row>
    <row r="1036" spans="1:9" x14ac:dyDescent="0.2">
      <c r="A1036">
        <v>1034</v>
      </c>
      <c r="B1036" t="s">
        <v>2011</v>
      </c>
      <c r="C1036" t="s">
        <v>2012</v>
      </c>
      <c r="D1036" t="s">
        <v>166</v>
      </c>
      <c r="E1036" t="s">
        <v>167</v>
      </c>
      <c r="F1036">
        <v>37350000</v>
      </c>
      <c r="G1036" t="s">
        <v>166</v>
      </c>
      <c r="H1036" t="s">
        <v>166</v>
      </c>
      <c r="I1036" t="s">
        <v>160</v>
      </c>
    </row>
    <row r="1037" spans="1:9" x14ac:dyDescent="0.2">
      <c r="A1037">
        <v>1035</v>
      </c>
      <c r="B1037" t="s">
        <v>3476</v>
      </c>
      <c r="C1037" t="s">
        <v>2013</v>
      </c>
      <c r="D1037" t="s">
        <v>208</v>
      </c>
      <c r="E1037" t="s">
        <v>136</v>
      </c>
      <c r="F1037">
        <v>21846000</v>
      </c>
      <c r="G1037" t="s">
        <v>195</v>
      </c>
      <c r="H1037" t="s">
        <v>195</v>
      </c>
      <c r="I1037" t="s">
        <v>184</v>
      </c>
    </row>
    <row r="1038" spans="1:9" x14ac:dyDescent="0.2">
      <c r="A1038">
        <v>1036</v>
      </c>
      <c r="B1038" t="s">
        <v>2014</v>
      </c>
      <c r="C1038" t="s">
        <v>2015</v>
      </c>
      <c r="D1038" t="s">
        <v>1859</v>
      </c>
      <c r="E1038" t="s">
        <v>167</v>
      </c>
      <c r="F1038">
        <v>21599998</v>
      </c>
      <c r="G1038" t="s">
        <v>1860</v>
      </c>
      <c r="H1038" t="s">
        <v>490</v>
      </c>
      <c r="I1038" t="s">
        <v>490</v>
      </c>
    </row>
    <row r="1039" spans="1:9" x14ac:dyDescent="0.2">
      <c r="A1039">
        <v>1037</v>
      </c>
      <c r="B1039" t="s">
        <v>2016</v>
      </c>
      <c r="C1039" t="s">
        <v>2017</v>
      </c>
      <c r="D1039" t="s">
        <v>1859</v>
      </c>
      <c r="E1039" t="s">
        <v>167</v>
      </c>
      <c r="F1039">
        <v>81194463</v>
      </c>
      <c r="G1039" t="s">
        <v>1860</v>
      </c>
      <c r="H1039" t="s">
        <v>490</v>
      </c>
      <c r="I1039" t="s">
        <v>490</v>
      </c>
    </row>
    <row r="1040" spans="1:9" x14ac:dyDescent="0.2">
      <c r="A1040">
        <v>1038</v>
      </c>
      <c r="B1040" t="s">
        <v>2018</v>
      </c>
      <c r="C1040" t="s">
        <v>2019</v>
      </c>
      <c r="D1040" t="s">
        <v>1859</v>
      </c>
      <c r="E1040" t="s">
        <v>143</v>
      </c>
      <c r="F1040">
        <v>556296006</v>
      </c>
      <c r="G1040" t="s">
        <v>1860</v>
      </c>
      <c r="H1040" t="s">
        <v>490</v>
      </c>
      <c r="I1040" t="s">
        <v>490</v>
      </c>
    </row>
    <row r="1041" spans="1:9" x14ac:dyDescent="0.2">
      <c r="A1041">
        <v>1039</v>
      </c>
      <c r="B1041" t="s">
        <v>2020</v>
      </c>
      <c r="C1041" t="s">
        <v>2021</v>
      </c>
      <c r="D1041" t="s">
        <v>1859</v>
      </c>
      <c r="E1041" t="s">
        <v>136</v>
      </c>
      <c r="F1041">
        <v>25000000</v>
      </c>
      <c r="G1041" t="s">
        <v>1860</v>
      </c>
      <c r="H1041" t="s">
        <v>490</v>
      </c>
      <c r="I1041" t="s">
        <v>490</v>
      </c>
    </row>
    <row r="1042" spans="1:9" x14ac:dyDescent="0.2">
      <c r="A1042">
        <v>1040</v>
      </c>
      <c r="B1042" t="s">
        <v>2022</v>
      </c>
      <c r="C1042" t="s">
        <v>2023</v>
      </c>
      <c r="D1042" t="s">
        <v>310</v>
      </c>
      <c r="E1042" t="s">
        <v>167</v>
      </c>
      <c r="F1042">
        <v>39998522</v>
      </c>
      <c r="G1042" t="s">
        <v>311</v>
      </c>
      <c r="H1042" t="s">
        <v>312</v>
      </c>
      <c r="I1042" t="s">
        <v>313</v>
      </c>
    </row>
    <row r="1043" spans="1:9" x14ac:dyDescent="0.2">
      <c r="A1043">
        <v>1041</v>
      </c>
      <c r="B1043" t="s">
        <v>3477</v>
      </c>
      <c r="C1043" t="s">
        <v>2024</v>
      </c>
      <c r="D1043" t="s">
        <v>208</v>
      </c>
      <c r="E1043" t="s">
        <v>136</v>
      </c>
      <c r="F1043">
        <v>21000000</v>
      </c>
      <c r="G1043" t="s">
        <v>195</v>
      </c>
      <c r="H1043" t="s">
        <v>195</v>
      </c>
      <c r="I1043" t="s">
        <v>184</v>
      </c>
    </row>
    <row r="1044" spans="1:9" x14ac:dyDescent="0.2">
      <c r="A1044">
        <v>1042</v>
      </c>
      <c r="B1044" t="s">
        <v>2025</v>
      </c>
      <c r="C1044" t="s">
        <v>2026</v>
      </c>
      <c r="D1044" t="s">
        <v>177</v>
      </c>
      <c r="E1044" t="s">
        <v>167</v>
      </c>
      <c r="F1044">
        <v>234241867</v>
      </c>
      <c r="G1044" t="s">
        <v>177</v>
      </c>
      <c r="H1044" t="s">
        <v>178</v>
      </c>
      <c r="I1044" t="s">
        <v>160</v>
      </c>
    </row>
    <row r="1045" spans="1:9" x14ac:dyDescent="0.2">
      <c r="A1045">
        <v>1043</v>
      </c>
      <c r="B1045" t="s">
        <v>2027</v>
      </c>
      <c r="C1045" t="s">
        <v>2028</v>
      </c>
      <c r="D1045" t="s">
        <v>166</v>
      </c>
      <c r="E1045" t="s">
        <v>136</v>
      </c>
      <c r="F1045">
        <v>50000000</v>
      </c>
      <c r="G1045" t="s">
        <v>166</v>
      </c>
      <c r="H1045" t="s">
        <v>166</v>
      </c>
      <c r="I1045" t="s">
        <v>160</v>
      </c>
    </row>
    <row r="1046" spans="1:9" x14ac:dyDescent="0.2">
      <c r="A1046">
        <v>1044</v>
      </c>
      <c r="B1046" t="s">
        <v>3478</v>
      </c>
      <c r="C1046" t="s">
        <v>2029</v>
      </c>
      <c r="D1046" t="s">
        <v>265</v>
      </c>
      <c r="E1046" t="s">
        <v>136</v>
      </c>
      <c r="F1046">
        <v>38638600</v>
      </c>
      <c r="G1046" t="s">
        <v>182</v>
      </c>
      <c r="H1046" t="s">
        <v>183</v>
      </c>
      <c r="I1046" t="s">
        <v>184</v>
      </c>
    </row>
    <row r="1047" spans="1:9" x14ac:dyDescent="0.2">
      <c r="A1047">
        <v>1045</v>
      </c>
      <c r="B1047" t="s">
        <v>2030</v>
      </c>
      <c r="C1047" t="s">
        <v>2031</v>
      </c>
      <c r="D1047" t="s">
        <v>293</v>
      </c>
      <c r="E1047" t="s">
        <v>136</v>
      </c>
      <c r="F1047">
        <v>8900000</v>
      </c>
      <c r="G1047" t="s">
        <v>144</v>
      </c>
      <c r="H1047" t="s">
        <v>144</v>
      </c>
      <c r="I1047" t="s">
        <v>145</v>
      </c>
    </row>
    <row r="1048" spans="1:9" x14ac:dyDescent="0.2">
      <c r="A1048">
        <v>1046</v>
      </c>
      <c r="B1048" t="s">
        <v>2032</v>
      </c>
      <c r="C1048" t="s">
        <v>2033</v>
      </c>
      <c r="D1048" t="s">
        <v>882</v>
      </c>
      <c r="E1048" t="s">
        <v>143</v>
      </c>
      <c r="F1048">
        <v>103702452</v>
      </c>
      <c r="G1048" t="s">
        <v>212</v>
      </c>
      <c r="H1048" t="s">
        <v>183</v>
      </c>
      <c r="I1048" t="s">
        <v>184</v>
      </c>
    </row>
    <row r="1049" spans="1:9" x14ac:dyDescent="0.2">
      <c r="A1049">
        <v>1047</v>
      </c>
      <c r="B1049" t="s">
        <v>2034</v>
      </c>
      <c r="C1049" t="s">
        <v>2035</v>
      </c>
      <c r="D1049" t="s">
        <v>166</v>
      </c>
      <c r="E1049" t="s">
        <v>136</v>
      </c>
      <c r="F1049">
        <v>53100913</v>
      </c>
      <c r="G1049" t="s">
        <v>166</v>
      </c>
      <c r="H1049" t="s">
        <v>166</v>
      </c>
      <c r="I1049" t="s">
        <v>160</v>
      </c>
    </row>
    <row r="1050" spans="1:9" x14ac:dyDescent="0.2">
      <c r="A1050">
        <v>1048</v>
      </c>
      <c r="B1050" t="s">
        <v>2036</v>
      </c>
      <c r="C1050" t="s">
        <v>2037</v>
      </c>
      <c r="D1050" t="s">
        <v>1859</v>
      </c>
      <c r="E1050" t="s">
        <v>167</v>
      </c>
      <c r="F1050">
        <v>477966290</v>
      </c>
      <c r="G1050" t="s">
        <v>1860</v>
      </c>
      <c r="H1050" t="s">
        <v>490</v>
      </c>
      <c r="I1050" t="s">
        <v>490</v>
      </c>
    </row>
    <row r="1051" spans="1:9" x14ac:dyDescent="0.2">
      <c r="A1051">
        <v>1049</v>
      </c>
      <c r="B1051" t="s">
        <v>2038</v>
      </c>
      <c r="C1051" t="s">
        <v>2039</v>
      </c>
      <c r="D1051" t="s">
        <v>806</v>
      </c>
      <c r="E1051" t="s">
        <v>143</v>
      </c>
      <c r="F1051">
        <v>469931235</v>
      </c>
      <c r="G1051" t="s">
        <v>212</v>
      </c>
      <c r="H1051" t="s">
        <v>183</v>
      </c>
      <c r="I1051" t="s">
        <v>184</v>
      </c>
    </row>
    <row r="1052" spans="1:9" x14ac:dyDescent="0.2">
      <c r="A1052">
        <v>1050</v>
      </c>
      <c r="B1052" t="s">
        <v>3479</v>
      </c>
      <c r="C1052" t="s">
        <v>2040</v>
      </c>
      <c r="D1052" t="s">
        <v>208</v>
      </c>
      <c r="E1052" t="s">
        <v>136</v>
      </c>
      <c r="F1052">
        <v>30000000</v>
      </c>
      <c r="G1052" t="s">
        <v>195</v>
      </c>
      <c r="H1052" t="s">
        <v>195</v>
      </c>
      <c r="I1052" t="s">
        <v>184</v>
      </c>
    </row>
    <row r="1053" spans="1:9" x14ac:dyDescent="0.2">
      <c r="A1053">
        <v>1051</v>
      </c>
      <c r="B1053" t="s">
        <v>3480</v>
      </c>
      <c r="C1053" t="s">
        <v>2041</v>
      </c>
      <c r="D1053" t="s">
        <v>208</v>
      </c>
      <c r="E1053" t="s">
        <v>136</v>
      </c>
      <c r="F1053">
        <v>400000000</v>
      </c>
      <c r="G1053" t="s">
        <v>195</v>
      </c>
      <c r="H1053" t="s">
        <v>195</v>
      </c>
      <c r="I1053" t="s">
        <v>184</v>
      </c>
    </row>
    <row r="1054" spans="1:9" x14ac:dyDescent="0.2">
      <c r="A1054">
        <v>1052</v>
      </c>
      <c r="B1054" t="s">
        <v>3481</v>
      </c>
      <c r="C1054" t="s">
        <v>2042</v>
      </c>
      <c r="D1054" t="s">
        <v>208</v>
      </c>
      <c r="E1054" t="s">
        <v>136</v>
      </c>
      <c r="F1054">
        <v>59489787</v>
      </c>
      <c r="G1054" t="s">
        <v>195</v>
      </c>
      <c r="H1054" t="s">
        <v>195</v>
      </c>
      <c r="I1054" t="s">
        <v>184</v>
      </c>
    </row>
    <row r="1055" spans="1:9" x14ac:dyDescent="0.2">
      <c r="A1055">
        <v>1053</v>
      </c>
      <c r="B1055" t="s">
        <v>2043</v>
      </c>
      <c r="C1055" t="s">
        <v>2044</v>
      </c>
      <c r="D1055" t="s">
        <v>166</v>
      </c>
      <c r="E1055" t="s">
        <v>136</v>
      </c>
      <c r="F1055">
        <v>10000000</v>
      </c>
      <c r="G1055" t="s">
        <v>166</v>
      </c>
      <c r="H1055" t="s">
        <v>166</v>
      </c>
      <c r="I1055" t="s">
        <v>160</v>
      </c>
    </row>
    <row r="1056" spans="1:9" x14ac:dyDescent="0.2">
      <c r="A1056">
        <v>1054</v>
      </c>
      <c r="B1056" t="s">
        <v>2045</v>
      </c>
      <c r="C1056" t="s">
        <v>2046</v>
      </c>
      <c r="D1056" t="s">
        <v>383</v>
      </c>
      <c r="E1056" t="s">
        <v>136</v>
      </c>
      <c r="F1056">
        <v>38363579</v>
      </c>
      <c r="G1056" t="s">
        <v>311</v>
      </c>
      <c r="H1056" t="s">
        <v>312</v>
      </c>
      <c r="I1056" t="s">
        <v>313</v>
      </c>
    </row>
    <row r="1057" spans="1:9" x14ac:dyDescent="0.2">
      <c r="A1057">
        <v>1055</v>
      </c>
      <c r="B1057" t="s">
        <v>3482</v>
      </c>
      <c r="C1057" t="s">
        <v>2047</v>
      </c>
      <c r="D1057" t="s">
        <v>194</v>
      </c>
      <c r="E1057" t="s">
        <v>136</v>
      </c>
      <c r="F1057">
        <v>20000000</v>
      </c>
      <c r="G1057" t="s">
        <v>195</v>
      </c>
      <c r="H1057" t="s">
        <v>195</v>
      </c>
      <c r="I1057" t="s">
        <v>184</v>
      </c>
    </row>
    <row r="1058" spans="1:9" x14ac:dyDescent="0.2">
      <c r="A1058">
        <v>1056</v>
      </c>
      <c r="B1058" t="s">
        <v>2048</v>
      </c>
      <c r="C1058" t="s">
        <v>2049</v>
      </c>
      <c r="D1058" t="s">
        <v>166</v>
      </c>
      <c r="E1058" t="s">
        <v>136</v>
      </c>
      <c r="F1058">
        <v>15000000</v>
      </c>
      <c r="G1058" t="s">
        <v>166</v>
      </c>
      <c r="H1058" t="s">
        <v>166</v>
      </c>
      <c r="I1058" t="s">
        <v>160</v>
      </c>
    </row>
    <row r="1059" spans="1:9" x14ac:dyDescent="0.2">
      <c r="A1059">
        <v>1057</v>
      </c>
      <c r="B1059" t="s">
        <v>2050</v>
      </c>
      <c r="C1059" t="s">
        <v>2051</v>
      </c>
      <c r="D1059" t="s">
        <v>166</v>
      </c>
      <c r="E1059" t="s">
        <v>136</v>
      </c>
      <c r="F1059">
        <v>28068900</v>
      </c>
      <c r="G1059" t="s">
        <v>166</v>
      </c>
      <c r="H1059" t="s">
        <v>166</v>
      </c>
      <c r="I1059" t="s">
        <v>160</v>
      </c>
    </row>
    <row r="1060" spans="1:9" x14ac:dyDescent="0.2">
      <c r="A1060">
        <v>1058</v>
      </c>
      <c r="B1060" t="s">
        <v>3483</v>
      </c>
      <c r="C1060" t="s">
        <v>2052</v>
      </c>
      <c r="D1060" t="s">
        <v>208</v>
      </c>
      <c r="E1060" t="s">
        <v>136</v>
      </c>
      <c r="F1060">
        <v>30000000</v>
      </c>
      <c r="G1060" t="s">
        <v>195</v>
      </c>
      <c r="H1060" t="s">
        <v>195</v>
      </c>
      <c r="I1060" t="s">
        <v>184</v>
      </c>
    </row>
    <row r="1061" spans="1:9" x14ac:dyDescent="0.2">
      <c r="A1061">
        <v>1059</v>
      </c>
      <c r="B1061" t="s">
        <v>2053</v>
      </c>
      <c r="C1061" t="s">
        <v>2054</v>
      </c>
      <c r="D1061" t="s">
        <v>166</v>
      </c>
      <c r="E1061" t="s">
        <v>136</v>
      </c>
      <c r="F1061">
        <v>176145500</v>
      </c>
      <c r="G1061" t="s">
        <v>166</v>
      </c>
      <c r="H1061" t="s">
        <v>166</v>
      </c>
      <c r="I1061" t="s">
        <v>160</v>
      </c>
    </row>
    <row r="1062" spans="1:9" x14ac:dyDescent="0.2">
      <c r="A1062">
        <v>1060</v>
      </c>
      <c r="B1062" t="s">
        <v>3484</v>
      </c>
      <c r="C1062" t="s">
        <v>2055</v>
      </c>
      <c r="D1062" t="s">
        <v>208</v>
      </c>
      <c r="E1062" t="s">
        <v>136</v>
      </c>
      <c r="F1062">
        <v>15000000</v>
      </c>
      <c r="G1062" t="s">
        <v>195</v>
      </c>
      <c r="H1062" t="s">
        <v>195</v>
      </c>
      <c r="I1062" t="s">
        <v>184</v>
      </c>
    </row>
    <row r="1063" spans="1:9" x14ac:dyDescent="0.2">
      <c r="A1063">
        <v>1061</v>
      </c>
      <c r="B1063" t="s">
        <v>3485</v>
      </c>
      <c r="C1063" t="s">
        <v>2056</v>
      </c>
      <c r="D1063" t="s">
        <v>208</v>
      </c>
      <c r="E1063" t="s">
        <v>136</v>
      </c>
      <c r="F1063">
        <v>60000000</v>
      </c>
      <c r="G1063" t="s">
        <v>195</v>
      </c>
      <c r="H1063" t="s">
        <v>195</v>
      </c>
      <c r="I1063" t="s">
        <v>184</v>
      </c>
    </row>
    <row r="1064" spans="1:9" x14ac:dyDescent="0.2">
      <c r="A1064">
        <v>1062</v>
      </c>
      <c r="B1064" t="s">
        <v>3486</v>
      </c>
      <c r="C1064" t="s">
        <v>2057</v>
      </c>
      <c r="D1064" t="s">
        <v>208</v>
      </c>
      <c r="E1064" t="s">
        <v>136</v>
      </c>
      <c r="F1064">
        <v>20000000</v>
      </c>
      <c r="G1064" t="s">
        <v>195</v>
      </c>
      <c r="H1064" t="s">
        <v>195</v>
      </c>
      <c r="I1064" t="s">
        <v>184</v>
      </c>
    </row>
    <row r="1065" spans="1:9" x14ac:dyDescent="0.2">
      <c r="A1065">
        <v>1063</v>
      </c>
      <c r="B1065" t="s">
        <v>2058</v>
      </c>
      <c r="C1065" t="s">
        <v>2059</v>
      </c>
      <c r="D1065" t="s">
        <v>293</v>
      </c>
      <c r="E1065" t="s">
        <v>136</v>
      </c>
      <c r="F1065">
        <v>69329928</v>
      </c>
      <c r="G1065" t="s">
        <v>144</v>
      </c>
      <c r="H1065" t="s">
        <v>144</v>
      </c>
      <c r="I1065" t="s">
        <v>145</v>
      </c>
    </row>
    <row r="1066" spans="1:9" x14ac:dyDescent="0.2">
      <c r="A1066">
        <v>1064</v>
      </c>
      <c r="B1066" t="s">
        <v>3487</v>
      </c>
      <c r="C1066" t="s">
        <v>2060</v>
      </c>
      <c r="D1066" t="s">
        <v>208</v>
      </c>
      <c r="E1066" t="s">
        <v>136</v>
      </c>
      <c r="F1066">
        <v>1500000</v>
      </c>
      <c r="G1066" t="s">
        <v>195</v>
      </c>
      <c r="H1066" t="s">
        <v>195</v>
      </c>
      <c r="I1066" t="s">
        <v>184</v>
      </c>
    </row>
    <row r="1067" spans="1:9" x14ac:dyDescent="0.2">
      <c r="A1067">
        <v>1065</v>
      </c>
      <c r="B1067" t="s">
        <v>2061</v>
      </c>
      <c r="C1067" t="s">
        <v>2062</v>
      </c>
      <c r="D1067" t="s">
        <v>166</v>
      </c>
      <c r="E1067" t="s">
        <v>143</v>
      </c>
      <c r="F1067">
        <v>275129310</v>
      </c>
      <c r="G1067" t="s">
        <v>166</v>
      </c>
      <c r="H1067" t="s">
        <v>166</v>
      </c>
      <c r="I1067" t="s">
        <v>160</v>
      </c>
    </row>
    <row r="1068" spans="1:9" x14ac:dyDescent="0.2">
      <c r="A1068">
        <v>1066</v>
      </c>
      <c r="B1068" t="s">
        <v>3488</v>
      </c>
      <c r="C1068" t="s">
        <v>2063</v>
      </c>
      <c r="D1068" t="s">
        <v>2064</v>
      </c>
      <c r="E1068" t="s">
        <v>167</v>
      </c>
      <c r="F1068">
        <v>6629489</v>
      </c>
      <c r="G1068" t="s">
        <v>284</v>
      </c>
      <c r="H1068" t="s">
        <v>183</v>
      </c>
      <c r="I1068" t="s">
        <v>184</v>
      </c>
    </row>
    <row r="1069" spans="1:9" x14ac:dyDescent="0.2">
      <c r="A1069">
        <v>1067</v>
      </c>
      <c r="B1069" t="s">
        <v>2065</v>
      </c>
      <c r="C1069" t="s">
        <v>2066</v>
      </c>
      <c r="D1069" t="s">
        <v>400</v>
      </c>
      <c r="E1069" t="s">
        <v>136</v>
      </c>
      <c r="F1069">
        <v>8000000</v>
      </c>
      <c r="G1069" t="s">
        <v>348</v>
      </c>
      <c r="H1069" t="s">
        <v>155</v>
      </c>
      <c r="I1069" t="s">
        <v>139</v>
      </c>
    </row>
    <row r="1070" spans="1:9" x14ac:dyDescent="0.2">
      <c r="A1070">
        <v>1068</v>
      </c>
      <c r="B1070" t="s">
        <v>3489</v>
      </c>
      <c r="C1070" t="s">
        <v>2067</v>
      </c>
      <c r="D1070" t="s">
        <v>194</v>
      </c>
      <c r="E1070" t="s">
        <v>136</v>
      </c>
      <c r="F1070">
        <v>60000000</v>
      </c>
      <c r="G1070" t="s">
        <v>195</v>
      </c>
      <c r="H1070" t="s">
        <v>195</v>
      </c>
      <c r="I1070" t="s">
        <v>184</v>
      </c>
    </row>
    <row r="1071" spans="1:9" x14ac:dyDescent="0.2">
      <c r="A1071">
        <v>1069</v>
      </c>
      <c r="B1071" t="s">
        <v>3490</v>
      </c>
      <c r="C1071" t="s">
        <v>2068</v>
      </c>
      <c r="D1071" t="s">
        <v>211</v>
      </c>
      <c r="E1071" t="s">
        <v>143</v>
      </c>
      <c r="F1071">
        <v>40409950</v>
      </c>
      <c r="G1071" t="s">
        <v>212</v>
      </c>
      <c r="H1071" t="s">
        <v>183</v>
      </c>
      <c r="I1071" t="s">
        <v>184</v>
      </c>
    </row>
    <row r="1072" spans="1:9" x14ac:dyDescent="0.2">
      <c r="A1072">
        <v>1070</v>
      </c>
      <c r="B1072" t="s">
        <v>2069</v>
      </c>
      <c r="C1072" t="s">
        <v>2070</v>
      </c>
      <c r="D1072" t="s">
        <v>237</v>
      </c>
      <c r="E1072" t="s">
        <v>136</v>
      </c>
      <c r="F1072">
        <v>367648153</v>
      </c>
      <c r="G1072" t="s">
        <v>154</v>
      </c>
      <c r="H1072" t="s">
        <v>155</v>
      </c>
      <c r="I1072" t="s">
        <v>139</v>
      </c>
    </row>
    <row r="1073" spans="1:9" x14ac:dyDescent="0.2">
      <c r="A1073">
        <v>1071</v>
      </c>
      <c r="B1073" t="s">
        <v>3491</v>
      </c>
      <c r="C1073" t="s">
        <v>2071</v>
      </c>
      <c r="D1073" t="s">
        <v>208</v>
      </c>
      <c r="E1073" t="s">
        <v>136</v>
      </c>
      <c r="F1073">
        <v>3222000</v>
      </c>
      <c r="G1073" t="s">
        <v>195</v>
      </c>
      <c r="H1073" t="s">
        <v>195</v>
      </c>
      <c r="I1073" t="s">
        <v>184</v>
      </c>
    </row>
    <row r="1074" spans="1:9" x14ac:dyDescent="0.2">
      <c r="A1074">
        <v>1072</v>
      </c>
      <c r="B1074" t="s">
        <v>3492</v>
      </c>
      <c r="C1074" t="s">
        <v>2072</v>
      </c>
      <c r="D1074" t="s">
        <v>437</v>
      </c>
      <c r="E1074" t="s">
        <v>136</v>
      </c>
      <c r="F1074">
        <v>6800000</v>
      </c>
      <c r="G1074" t="s">
        <v>182</v>
      </c>
      <c r="H1074" t="s">
        <v>183</v>
      </c>
      <c r="I1074" t="s">
        <v>184</v>
      </c>
    </row>
    <row r="1075" spans="1:9" x14ac:dyDescent="0.2">
      <c r="A1075">
        <v>1073</v>
      </c>
      <c r="B1075" t="s">
        <v>2073</v>
      </c>
      <c r="C1075" t="s">
        <v>2074</v>
      </c>
      <c r="D1075" t="s">
        <v>383</v>
      </c>
      <c r="E1075" t="s">
        <v>136</v>
      </c>
      <c r="F1075">
        <v>20000000</v>
      </c>
      <c r="G1075" t="s">
        <v>311</v>
      </c>
      <c r="H1075" t="s">
        <v>312</v>
      </c>
      <c r="I1075" t="s">
        <v>313</v>
      </c>
    </row>
    <row r="1076" spans="1:9" x14ac:dyDescent="0.2">
      <c r="A1076">
        <v>1074</v>
      </c>
      <c r="B1076" t="s">
        <v>2075</v>
      </c>
      <c r="C1076" t="s">
        <v>2076</v>
      </c>
      <c r="D1076" t="s">
        <v>330</v>
      </c>
      <c r="E1076" t="s">
        <v>136</v>
      </c>
      <c r="F1076">
        <v>18583100</v>
      </c>
      <c r="G1076" t="s">
        <v>330</v>
      </c>
      <c r="H1076" t="s">
        <v>312</v>
      </c>
      <c r="I1076" t="s">
        <v>313</v>
      </c>
    </row>
    <row r="1077" spans="1:9" x14ac:dyDescent="0.2">
      <c r="A1077">
        <v>1075</v>
      </c>
      <c r="B1077" t="s">
        <v>3493</v>
      </c>
      <c r="C1077" t="s">
        <v>2077</v>
      </c>
      <c r="D1077" t="s">
        <v>211</v>
      </c>
      <c r="E1077" t="s">
        <v>136</v>
      </c>
      <c r="F1077">
        <v>10792275</v>
      </c>
      <c r="G1077" t="s">
        <v>212</v>
      </c>
      <c r="H1077" t="s">
        <v>183</v>
      </c>
      <c r="I1077" t="s">
        <v>184</v>
      </c>
    </row>
    <row r="1078" spans="1:9" x14ac:dyDescent="0.2">
      <c r="A1078">
        <v>1076</v>
      </c>
      <c r="B1078" t="s">
        <v>2078</v>
      </c>
      <c r="C1078" t="s">
        <v>2079</v>
      </c>
      <c r="D1078" t="s">
        <v>215</v>
      </c>
      <c r="E1078" t="s">
        <v>167</v>
      </c>
      <c r="F1078">
        <v>3240000</v>
      </c>
      <c r="G1078" t="s">
        <v>216</v>
      </c>
      <c r="H1078" t="s">
        <v>216</v>
      </c>
      <c r="I1078" t="s">
        <v>217</v>
      </c>
    </row>
    <row r="1079" spans="1:9" x14ac:dyDescent="0.2">
      <c r="A1079">
        <v>1077</v>
      </c>
      <c r="B1079" t="s">
        <v>3494</v>
      </c>
      <c r="C1079" t="s">
        <v>2080</v>
      </c>
      <c r="D1079" t="s">
        <v>208</v>
      </c>
      <c r="E1079" t="s">
        <v>167</v>
      </c>
      <c r="F1079">
        <v>2700000</v>
      </c>
      <c r="G1079" t="s">
        <v>195</v>
      </c>
      <c r="H1079" t="s">
        <v>195</v>
      </c>
      <c r="I1079" t="s">
        <v>184</v>
      </c>
    </row>
    <row r="1080" spans="1:9" x14ac:dyDescent="0.2">
      <c r="A1080">
        <v>1078</v>
      </c>
      <c r="B1080" t="s">
        <v>2081</v>
      </c>
      <c r="C1080" t="s">
        <v>2082</v>
      </c>
      <c r="D1080" t="s">
        <v>330</v>
      </c>
      <c r="E1080" t="s">
        <v>136</v>
      </c>
      <c r="F1080">
        <v>450000000</v>
      </c>
      <c r="G1080" t="s">
        <v>330</v>
      </c>
      <c r="H1080" t="s">
        <v>312</v>
      </c>
      <c r="I1080" t="s">
        <v>313</v>
      </c>
    </row>
    <row r="1081" spans="1:9" x14ac:dyDescent="0.2">
      <c r="A1081">
        <v>1079</v>
      </c>
      <c r="B1081" t="s">
        <v>2083</v>
      </c>
      <c r="C1081" t="s">
        <v>2084</v>
      </c>
      <c r="D1081" t="s">
        <v>799</v>
      </c>
      <c r="E1081" t="s">
        <v>143</v>
      </c>
      <c r="F1081">
        <v>23547419</v>
      </c>
      <c r="G1081" t="s">
        <v>800</v>
      </c>
      <c r="H1081" t="s">
        <v>138</v>
      </c>
      <c r="I1081" t="s">
        <v>139</v>
      </c>
    </row>
    <row r="1082" spans="1:9" x14ac:dyDescent="0.2">
      <c r="A1082">
        <v>1080</v>
      </c>
      <c r="B1082" t="s">
        <v>3495</v>
      </c>
      <c r="C1082" t="s">
        <v>2085</v>
      </c>
      <c r="D1082" t="s">
        <v>882</v>
      </c>
      <c r="E1082" t="s">
        <v>136</v>
      </c>
      <c r="F1082">
        <v>5921841</v>
      </c>
      <c r="G1082" t="s">
        <v>212</v>
      </c>
      <c r="H1082" t="s">
        <v>183</v>
      </c>
      <c r="I1082" t="s">
        <v>184</v>
      </c>
    </row>
    <row r="1083" spans="1:9" x14ac:dyDescent="0.2">
      <c r="A1083">
        <v>1081</v>
      </c>
      <c r="B1083" t="s">
        <v>2086</v>
      </c>
      <c r="C1083" t="s">
        <v>2087</v>
      </c>
      <c r="D1083" t="s">
        <v>142</v>
      </c>
      <c r="E1083" t="s">
        <v>136</v>
      </c>
      <c r="F1083">
        <v>10030308</v>
      </c>
      <c r="G1083" t="s">
        <v>144</v>
      </c>
      <c r="H1083" t="s">
        <v>144</v>
      </c>
      <c r="I1083" t="s">
        <v>145</v>
      </c>
    </row>
    <row r="1084" spans="1:9" x14ac:dyDescent="0.2">
      <c r="A1084">
        <v>1082</v>
      </c>
      <c r="B1084" t="s">
        <v>3496</v>
      </c>
      <c r="C1084" t="s">
        <v>2088</v>
      </c>
      <c r="D1084" t="s">
        <v>208</v>
      </c>
      <c r="E1084" t="s">
        <v>136</v>
      </c>
      <c r="F1084">
        <v>32064749</v>
      </c>
      <c r="G1084" t="s">
        <v>195</v>
      </c>
      <c r="H1084" t="s">
        <v>195</v>
      </c>
      <c r="I1084" t="s">
        <v>184</v>
      </c>
    </row>
    <row r="1085" spans="1:9" x14ac:dyDescent="0.2">
      <c r="A1085">
        <v>1083</v>
      </c>
      <c r="B1085" t="s">
        <v>3497</v>
      </c>
      <c r="C1085" t="s">
        <v>2089</v>
      </c>
      <c r="D1085" t="s">
        <v>208</v>
      </c>
      <c r="E1085" t="s">
        <v>136</v>
      </c>
      <c r="F1085">
        <v>5300062</v>
      </c>
      <c r="G1085" t="s">
        <v>195</v>
      </c>
      <c r="H1085" t="s">
        <v>195</v>
      </c>
      <c r="I1085" t="s">
        <v>184</v>
      </c>
    </row>
    <row r="1086" spans="1:9" x14ac:dyDescent="0.2">
      <c r="A1086">
        <v>1084</v>
      </c>
      <c r="B1086" t="s">
        <v>2090</v>
      </c>
      <c r="C1086" t="s">
        <v>2091</v>
      </c>
      <c r="D1086" t="s">
        <v>166</v>
      </c>
      <c r="E1086" t="s">
        <v>167</v>
      </c>
      <c r="F1086">
        <v>13858714</v>
      </c>
      <c r="G1086" t="s">
        <v>166</v>
      </c>
      <c r="H1086" t="s">
        <v>166</v>
      </c>
      <c r="I1086" t="s">
        <v>160</v>
      </c>
    </row>
    <row r="1087" spans="1:9" x14ac:dyDescent="0.2">
      <c r="A1087">
        <v>1085</v>
      </c>
      <c r="B1087" t="s">
        <v>2092</v>
      </c>
      <c r="C1087" t="s">
        <v>2093</v>
      </c>
      <c r="D1087" t="s">
        <v>142</v>
      </c>
      <c r="E1087" t="s">
        <v>136</v>
      </c>
      <c r="F1087">
        <v>49069803</v>
      </c>
      <c r="G1087" t="s">
        <v>144</v>
      </c>
      <c r="H1087" t="s">
        <v>144</v>
      </c>
      <c r="I1087" t="s">
        <v>145</v>
      </c>
    </row>
    <row r="1088" spans="1:9" x14ac:dyDescent="0.2">
      <c r="A1088">
        <v>1086</v>
      </c>
      <c r="B1088" t="s">
        <v>2094</v>
      </c>
      <c r="C1088" t="s">
        <v>2095</v>
      </c>
      <c r="D1088" t="s">
        <v>330</v>
      </c>
      <c r="E1088" t="s">
        <v>143</v>
      </c>
      <c r="F1088">
        <v>541658139</v>
      </c>
      <c r="G1088" t="s">
        <v>330</v>
      </c>
      <c r="H1088" t="s">
        <v>312</v>
      </c>
      <c r="I1088" t="s">
        <v>313</v>
      </c>
    </row>
    <row r="1089" spans="1:9" x14ac:dyDescent="0.2">
      <c r="A1089">
        <v>1087</v>
      </c>
      <c r="B1089" t="s">
        <v>2096</v>
      </c>
      <c r="C1089" t="s">
        <v>2097</v>
      </c>
      <c r="D1089" t="s">
        <v>876</v>
      </c>
      <c r="E1089" t="s">
        <v>136</v>
      </c>
      <c r="F1089">
        <v>28708169</v>
      </c>
      <c r="G1089" t="s">
        <v>326</v>
      </c>
      <c r="H1089" t="s">
        <v>327</v>
      </c>
      <c r="I1089" t="s">
        <v>217</v>
      </c>
    </row>
    <row r="1090" spans="1:9" x14ac:dyDescent="0.2">
      <c r="A1090">
        <v>1088</v>
      </c>
      <c r="B1090" t="s">
        <v>2098</v>
      </c>
      <c r="C1090" t="s">
        <v>2099</v>
      </c>
      <c r="D1090" t="s">
        <v>142</v>
      </c>
      <c r="E1090" t="s">
        <v>136</v>
      </c>
      <c r="F1090">
        <v>87945000</v>
      </c>
      <c r="G1090" t="s">
        <v>144</v>
      </c>
      <c r="H1090" t="s">
        <v>144</v>
      </c>
      <c r="I1090" t="s">
        <v>145</v>
      </c>
    </row>
    <row r="1091" spans="1:9" x14ac:dyDescent="0.2">
      <c r="A1091">
        <v>1089</v>
      </c>
      <c r="B1091" t="s">
        <v>3498</v>
      </c>
      <c r="C1091" t="s">
        <v>3499</v>
      </c>
      <c r="D1091" t="s">
        <v>194</v>
      </c>
      <c r="E1091" t="s">
        <v>143</v>
      </c>
      <c r="F1091">
        <v>45000000</v>
      </c>
      <c r="G1091" t="s">
        <v>195</v>
      </c>
      <c r="H1091" t="s">
        <v>195</v>
      </c>
      <c r="I1091" t="s">
        <v>184</v>
      </c>
    </row>
    <row r="1092" spans="1:9" x14ac:dyDescent="0.2">
      <c r="A1092">
        <v>1090</v>
      </c>
      <c r="B1092" t="s">
        <v>3500</v>
      </c>
      <c r="C1092" t="s">
        <v>2100</v>
      </c>
      <c r="D1092" t="s">
        <v>208</v>
      </c>
      <c r="E1092" t="s">
        <v>136</v>
      </c>
      <c r="F1092">
        <v>5000000</v>
      </c>
      <c r="G1092" t="s">
        <v>195</v>
      </c>
      <c r="H1092" t="s">
        <v>195</v>
      </c>
      <c r="I1092" t="s">
        <v>184</v>
      </c>
    </row>
    <row r="1093" spans="1:9" x14ac:dyDescent="0.2">
      <c r="A1093">
        <v>1091</v>
      </c>
      <c r="B1093" t="s">
        <v>3501</v>
      </c>
      <c r="C1093" t="s">
        <v>2101</v>
      </c>
      <c r="D1093" t="s">
        <v>208</v>
      </c>
      <c r="E1093" t="s">
        <v>136</v>
      </c>
      <c r="F1093">
        <v>1572833</v>
      </c>
      <c r="G1093" t="s">
        <v>195</v>
      </c>
      <c r="H1093" t="s">
        <v>195</v>
      </c>
      <c r="I1093" t="s">
        <v>184</v>
      </c>
    </row>
    <row r="1094" spans="1:9" x14ac:dyDescent="0.2">
      <c r="A1094">
        <v>1092</v>
      </c>
      <c r="B1094" t="s">
        <v>2102</v>
      </c>
      <c r="C1094" t="s">
        <v>2103</v>
      </c>
      <c r="D1094" t="s">
        <v>330</v>
      </c>
      <c r="E1094" t="s">
        <v>143</v>
      </c>
      <c r="F1094">
        <v>42200000</v>
      </c>
      <c r="G1094" t="s">
        <v>330</v>
      </c>
      <c r="H1094" t="s">
        <v>312</v>
      </c>
      <c r="I1094" t="s">
        <v>313</v>
      </c>
    </row>
    <row r="1095" spans="1:9" x14ac:dyDescent="0.2">
      <c r="A1095">
        <v>1093</v>
      </c>
      <c r="B1095" t="s">
        <v>3502</v>
      </c>
      <c r="C1095" t="s">
        <v>2104</v>
      </c>
      <c r="D1095" t="s">
        <v>208</v>
      </c>
      <c r="E1095" t="s">
        <v>167</v>
      </c>
      <c r="F1095">
        <v>10000000</v>
      </c>
      <c r="G1095" t="s">
        <v>195</v>
      </c>
      <c r="H1095" t="s">
        <v>195</v>
      </c>
      <c r="I1095" t="s">
        <v>184</v>
      </c>
    </row>
    <row r="1096" spans="1:9" x14ac:dyDescent="0.2">
      <c r="A1096">
        <v>1094</v>
      </c>
      <c r="B1096" t="s">
        <v>3503</v>
      </c>
      <c r="C1096" t="s">
        <v>2105</v>
      </c>
      <c r="D1096" t="s">
        <v>208</v>
      </c>
      <c r="E1096" t="s">
        <v>136</v>
      </c>
      <c r="F1096">
        <v>12000000</v>
      </c>
      <c r="G1096" t="s">
        <v>195</v>
      </c>
      <c r="H1096" t="s">
        <v>195</v>
      </c>
      <c r="I1096" t="s">
        <v>184</v>
      </c>
    </row>
    <row r="1097" spans="1:9" x14ac:dyDescent="0.2">
      <c r="A1097">
        <v>1095</v>
      </c>
      <c r="B1097" t="s">
        <v>3504</v>
      </c>
      <c r="C1097" t="s">
        <v>2106</v>
      </c>
      <c r="D1097" t="s">
        <v>208</v>
      </c>
      <c r="E1097" t="s">
        <v>136</v>
      </c>
      <c r="F1097">
        <v>6480000</v>
      </c>
      <c r="G1097" t="s">
        <v>195</v>
      </c>
      <c r="H1097" t="s">
        <v>195</v>
      </c>
      <c r="I1097" t="s">
        <v>184</v>
      </c>
    </row>
    <row r="1098" spans="1:9" x14ac:dyDescent="0.2">
      <c r="A1098">
        <v>1096</v>
      </c>
      <c r="B1098" t="s">
        <v>3505</v>
      </c>
      <c r="C1098" t="s">
        <v>2107</v>
      </c>
      <c r="D1098" t="s">
        <v>208</v>
      </c>
      <c r="E1098" t="s">
        <v>136</v>
      </c>
      <c r="F1098">
        <v>11155532</v>
      </c>
      <c r="G1098" t="s">
        <v>195</v>
      </c>
      <c r="H1098" t="s">
        <v>195</v>
      </c>
      <c r="I1098" t="s">
        <v>184</v>
      </c>
    </row>
    <row r="1099" spans="1:9" x14ac:dyDescent="0.2">
      <c r="A1099">
        <v>1097</v>
      </c>
      <c r="B1099" t="s">
        <v>3149</v>
      </c>
      <c r="C1099" t="s">
        <v>2108</v>
      </c>
      <c r="D1099" t="s">
        <v>208</v>
      </c>
      <c r="E1099" t="s">
        <v>167</v>
      </c>
      <c r="F1099">
        <v>99134331</v>
      </c>
      <c r="G1099" t="s">
        <v>195</v>
      </c>
      <c r="H1099" t="s">
        <v>195</v>
      </c>
      <c r="I1099" t="s">
        <v>184</v>
      </c>
    </row>
    <row r="1100" spans="1:9" x14ac:dyDescent="0.2">
      <c r="A1100">
        <v>1098</v>
      </c>
      <c r="B1100" t="s">
        <v>2109</v>
      </c>
      <c r="C1100" t="s">
        <v>2110</v>
      </c>
      <c r="D1100" t="s">
        <v>347</v>
      </c>
      <c r="E1100" t="s">
        <v>143</v>
      </c>
      <c r="F1100">
        <v>1282562372</v>
      </c>
      <c r="G1100" t="s">
        <v>348</v>
      </c>
      <c r="H1100" t="s">
        <v>155</v>
      </c>
      <c r="I1100" t="s">
        <v>139</v>
      </c>
    </row>
    <row r="1101" spans="1:9" x14ac:dyDescent="0.2">
      <c r="A1101">
        <v>1099</v>
      </c>
      <c r="B1101" t="s">
        <v>3506</v>
      </c>
      <c r="C1101" t="s">
        <v>2111</v>
      </c>
      <c r="D1101" t="s">
        <v>211</v>
      </c>
      <c r="E1101" t="s">
        <v>136</v>
      </c>
      <c r="F1101">
        <v>4050000</v>
      </c>
      <c r="G1101" t="s">
        <v>212</v>
      </c>
      <c r="H1101" t="s">
        <v>183</v>
      </c>
      <c r="I1101" t="s">
        <v>184</v>
      </c>
    </row>
    <row r="1102" spans="1:9" x14ac:dyDescent="0.2">
      <c r="A1102">
        <v>1100</v>
      </c>
      <c r="B1102" t="s">
        <v>2112</v>
      </c>
      <c r="C1102" t="s">
        <v>2113</v>
      </c>
      <c r="D1102" t="s">
        <v>237</v>
      </c>
      <c r="E1102" t="s">
        <v>167</v>
      </c>
      <c r="F1102">
        <v>12046590</v>
      </c>
      <c r="G1102" t="s">
        <v>154</v>
      </c>
      <c r="H1102" t="s">
        <v>155</v>
      </c>
      <c r="I1102" t="s">
        <v>139</v>
      </c>
    </row>
    <row r="1103" spans="1:9" x14ac:dyDescent="0.2">
      <c r="A1103">
        <v>1101</v>
      </c>
      <c r="B1103" t="s">
        <v>3507</v>
      </c>
      <c r="C1103" t="s">
        <v>2114</v>
      </c>
      <c r="D1103" t="s">
        <v>773</v>
      </c>
      <c r="E1103" t="s">
        <v>136</v>
      </c>
      <c r="F1103">
        <v>8310000</v>
      </c>
      <c r="G1103" t="s">
        <v>290</v>
      </c>
      <c r="H1103" t="s">
        <v>183</v>
      </c>
      <c r="I1103" t="s">
        <v>184</v>
      </c>
    </row>
    <row r="1104" spans="1:9" x14ac:dyDescent="0.2">
      <c r="A1104">
        <v>1102</v>
      </c>
      <c r="B1104" t="s">
        <v>2115</v>
      </c>
      <c r="C1104" t="s">
        <v>2116</v>
      </c>
      <c r="D1104" t="s">
        <v>652</v>
      </c>
      <c r="E1104" t="s">
        <v>143</v>
      </c>
      <c r="F1104">
        <v>379960971</v>
      </c>
      <c r="G1104" t="s">
        <v>653</v>
      </c>
      <c r="H1104" t="s">
        <v>654</v>
      </c>
      <c r="I1104" t="s">
        <v>654</v>
      </c>
    </row>
    <row r="1105" spans="1:9" x14ac:dyDescent="0.2">
      <c r="A1105">
        <v>1103</v>
      </c>
      <c r="B1105" t="s">
        <v>2117</v>
      </c>
      <c r="C1105" t="s">
        <v>2118</v>
      </c>
      <c r="D1105" t="s">
        <v>215</v>
      </c>
      <c r="E1105" t="s">
        <v>136</v>
      </c>
      <c r="F1105">
        <v>1286984</v>
      </c>
      <c r="G1105" t="s">
        <v>216</v>
      </c>
      <c r="H1105" t="s">
        <v>216</v>
      </c>
      <c r="I1105" t="s">
        <v>217</v>
      </c>
    </row>
    <row r="1106" spans="1:9" x14ac:dyDescent="0.2">
      <c r="A1106">
        <v>1104</v>
      </c>
      <c r="B1106" t="s">
        <v>2119</v>
      </c>
      <c r="C1106" t="s">
        <v>2120</v>
      </c>
      <c r="D1106" t="s">
        <v>316</v>
      </c>
      <c r="E1106" t="s">
        <v>136</v>
      </c>
      <c r="F1106">
        <v>133481310</v>
      </c>
      <c r="G1106" t="s">
        <v>229</v>
      </c>
      <c r="H1106" t="s">
        <v>229</v>
      </c>
      <c r="I1106" t="s">
        <v>217</v>
      </c>
    </row>
    <row r="1107" spans="1:9" x14ac:dyDescent="0.2">
      <c r="A1107">
        <v>1105</v>
      </c>
      <c r="B1107" t="s">
        <v>2121</v>
      </c>
      <c r="C1107" t="s">
        <v>2122</v>
      </c>
      <c r="D1107" t="s">
        <v>200</v>
      </c>
      <c r="E1107" t="s">
        <v>143</v>
      </c>
      <c r="F1107">
        <v>26429240</v>
      </c>
      <c r="G1107" t="s">
        <v>201</v>
      </c>
      <c r="H1107" t="s">
        <v>150</v>
      </c>
      <c r="I1107" t="s">
        <v>145</v>
      </c>
    </row>
    <row r="1108" spans="1:9" x14ac:dyDescent="0.2">
      <c r="A1108">
        <v>1106</v>
      </c>
      <c r="B1108" t="s">
        <v>2123</v>
      </c>
      <c r="C1108" t="s">
        <v>2124</v>
      </c>
      <c r="D1108" t="s">
        <v>347</v>
      </c>
      <c r="E1108" t="s">
        <v>136</v>
      </c>
      <c r="F1108">
        <v>10500000</v>
      </c>
      <c r="G1108" t="s">
        <v>348</v>
      </c>
      <c r="H1108" t="s">
        <v>155</v>
      </c>
      <c r="I1108" t="s">
        <v>139</v>
      </c>
    </row>
    <row r="1109" spans="1:9" x14ac:dyDescent="0.2">
      <c r="A1109">
        <v>1107</v>
      </c>
      <c r="B1109" t="s">
        <v>2125</v>
      </c>
      <c r="C1109" t="s">
        <v>2126</v>
      </c>
      <c r="D1109" t="s">
        <v>330</v>
      </c>
      <c r="E1109" t="s">
        <v>143</v>
      </c>
      <c r="F1109">
        <v>60488261</v>
      </c>
      <c r="G1109" t="s">
        <v>330</v>
      </c>
      <c r="H1109" t="s">
        <v>312</v>
      </c>
      <c r="I1109" t="s">
        <v>313</v>
      </c>
    </row>
    <row r="1110" spans="1:9" x14ac:dyDescent="0.2">
      <c r="A1110">
        <v>1108</v>
      </c>
      <c r="B1110" t="s">
        <v>2127</v>
      </c>
      <c r="C1110" t="s">
        <v>2128</v>
      </c>
      <c r="D1110" t="s">
        <v>347</v>
      </c>
      <c r="E1110" t="s">
        <v>136</v>
      </c>
      <c r="F1110">
        <v>87524536</v>
      </c>
      <c r="G1110" t="s">
        <v>348</v>
      </c>
      <c r="H1110" t="s">
        <v>155</v>
      </c>
      <c r="I1110" t="s">
        <v>139</v>
      </c>
    </row>
    <row r="1111" spans="1:9" x14ac:dyDescent="0.2">
      <c r="A1111">
        <v>1109</v>
      </c>
      <c r="B1111" t="s">
        <v>2129</v>
      </c>
      <c r="C1111" t="s">
        <v>2130</v>
      </c>
      <c r="D1111" t="s">
        <v>690</v>
      </c>
      <c r="E1111" t="s">
        <v>136</v>
      </c>
      <c r="F1111">
        <v>13916480</v>
      </c>
      <c r="G1111" t="s">
        <v>679</v>
      </c>
      <c r="H1111" t="s">
        <v>654</v>
      </c>
      <c r="I1111" t="s">
        <v>654</v>
      </c>
    </row>
    <row r="1112" spans="1:9" x14ac:dyDescent="0.2">
      <c r="A1112">
        <v>1110</v>
      </c>
      <c r="B1112" t="s">
        <v>2131</v>
      </c>
      <c r="C1112" t="s">
        <v>2132</v>
      </c>
      <c r="D1112" t="s">
        <v>2064</v>
      </c>
      <c r="E1112" t="s">
        <v>143</v>
      </c>
      <c r="F1112">
        <v>49999963</v>
      </c>
      <c r="G1112" t="s">
        <v>284</v>
      </c>
      <c r="H1112" t="s">
        <v>183</v>
      </c>
      <c r="I1112" t="s">
        <v>184</v>
      </c>
    </row>
    <row r="1113" spans="1:9" x14ac:dyDescent="0.2">
      <c r="A1113">
        <v>1111</v>
      </c>
      <c r="B1113" t="s">
        <v>2133</v>
      </c>
      <c r="C1113" t="s">
        <v>2134</v>
      </c>
      <c r="D1113" t="s">
        <v>330</v>
      </c>
      <c r="E1113" t="s">
        <v>136</v>
      </c>
      <c r="F1113">
        <v>124225000</v>
      </c>
      <c r="G1113" t="s">
        <v>330</v>
      </c>
      <c r="H1113" t="s">
        <v>312</v>
      </c>
      <c r="I1113" t="s">
        <v>313</v>
      </c>
    </row>
    <row r="1114" spans="1:9" x14ac:dyDescent="0.2">
      <c r="A1114">
        <v>1112</v>
      </c>
      <c r="B1114" t="s">
        <v>2135</v>
      </c>
      <c r="C1114" t="s">
        <v>2136</v>
      </c>
      <c r="D1114" t="s">
        <v>347</v>
      </c>
      <c r="E1114" t="s">
        <v>136</v>
      </c>
      <c r="F1114">
        <v>12012000</v>
      </c>
      <c r="G1114" t="s">
        <v>348</v>
      </c>
      <c r="H1114" t="s">
        <v>155</v>
      </c>
      <c r="I1114" t="s">
        <v>139</v>
      </c>
    </row>
    <row r="1115" spans="1:9" x14ac:dyDescent="0.2">
      <c r="A1115">
        <v>1113</v>
      </c>
      <c r="B1115" t="s">
        <v>3508</v>
      </c>
      <c r="C1115" t="s">
        <v>2137</v>
      </c>
      <c r="D1115" t="s">
        <v>208</v>
      </c>
      <c r="E1115" t="s">
        <v>136</v>
      </c>
      <c r="F1115">
        <v>45044953</v>
      </c>
      <c r="G1115" t="s">
        <v>195</v>
      </c>
      <c r="H1115" t="s">
        <v>195</v>
      </c>
      <c r="I1115" t="s">
        <v>184</v>
      </c>
    </row>
    <row r="1116" spans="1:9" x14ac:dyDescent="0.2">
      <c r="A1116">
        <v>1114</v>
      </c>
      <c r="B1116" t="s">
        <v>2138</v>
      </c>
      <c r="C1116" t="s">
        <v>2139</v>
      </c>
      <c r="D1116" t="s">
        <v>142</v>
      </c>
      <c r="E1116" t="s">
        <v>136</v>
      </c>
      <c r="F1116">
        <v>81396192</v>
      </c>
      <c r="G1116" t="s">
        <v>144</v>
      </c>
      <c r="H1116" t="s">
        <v>144</v>
      </c>
      <c r="I1116" t="s">
        <v>145</v>
      </c>
    </row>
    <row r="1117" spans="1:9" x14ac:dyDescent="0.2">
      <c r="A1117">
        <v>1115</v>
      </c>
      <c r="B1117" t="s">
        <v>2140</v>
      </c>
      <c r="C1117" t="s">
        <v>2141</v>
      </c>
      <c r="D1117" t="s">
        <v>158</v>
      </c>
      <c r="E1117" t="s">
        <v>136</v>
      </c>
      <c r="F1117">
        <v>146607600</v>
      </c>
      <c r="G1117" t="s">
        <v>159</v>
      </c>
      <c r="H1117" t="s">
        <v>159</v>
      </c>
      <c r="I1117" t="s">
        <v>160</v>
      </c>
    </row>
    <row r="1118" spans="1:9" x14ac:dyDescent="0.2">
      <c r="A1118">
        <v>1116</v>
      </c>
      <c r="B1118" t="s">
        <v>2142</v>
      </c>
      <c r="C1118" t="s">
        <v>2143</v>
      </c>
      <c r="D1118" t="s">
        <v>237</v>
      </c>
      <c r="E1118" t="s">
        <v>143</v>
      </c>
      <c r="F1118">
        <v>814545038</v>
      </c>
      <c r="G1118" t="s">
        <v>154</v>
      </c>
      <c r="H1118" t="s">
        <v>155</v>
      </c>
      <c r="I1118" t="s">
        <v>139</v>
      </c>
    </row>
    <row r="1119" spans="1:9" x14ac:dyDescent="0.2">
      <c r="A1119">
        <v>1117</v>
      </c>
      <c r="B1119" t="s">
        <v>2144</v>
      </c>
      <c r="C1119" t="s">
        <v>2145</v>
      </c>
      <c r="D1119" t="s">
        <v>316</v>
      </c>
      <c r="E1119" t="s">
        <v>143</v>
      </c>
      <c r="F1119">
        <v>27366476</v>
      </c>
      <c r="G1119" t="s">
        <v>229</v>
      </c>
      <c r="H1119" t="s">
        <v>229</v>
      </c>
      <c r="I1119" t="s">
        <v>217</v>
      </c>
    </row>
    <row r="1120" spans="1:9" x14ac:dyDescent="0.2">
      <c r="A1120">
        <v>1118</v>
      </c>
      <c r="B1120" t="s">
        <v>3509</v>
      </c>
      <c r="C1120" t="s">
        <v>2146</v>
      </c>
      <c r="D1120" t="s">
        <v>208</v>
      </c>
      <c r="E1120" t="s">
        <v>143</v>
      </c>
      <c r="F1120">
        <v>14984550</v>
      </c>
      <c r="G1120" t="s">
        <v>195</v>
      </c>
      <c r="H1120" t="s">
        <v>195</v>
      </c>
      <c r="I1120" t="s">
        <v>184</v>
      </c>
    </row>
    <row r="1121" spans="1:9" x14ac:dyDescent="0.2">
      <c r="A1121">
        <v>1119</v>
      </c>
      <c r="B1121" t="s">
        <v>3510</v>
      </c>
      <c r="C1121" t="s">
        <v>2147</v>
      </c>
      <c r="D1121" t="s">
        <v>194</v>
      </c>
      <c r="E1121" t="s">
        <v>136</v>
      </c>
      <c r="F1121">
        <v>4884900</v>
      </c>
      <c r="G1121" t="s">
        <v>195</v>
      </c>
      <c r="H1121" t="s">
        <v>195</v>
      </c>
      <c r="I1121" t="s">
        <v>184</v>
      </c>
    </row>
    <row r="1122" spans="1:9" x14ac:dyDescent="0.2">
      <c r="A1122">
        <v>1120</v>
      </c>
      <c r="B1122" t="s">
        <v>2148</v>
      </c>
      <c r="C1122" t="s">
        <v>2149</v>
      </c>
      <c r="D1122" t="s">
        <v>400</v>
      </c>
      <c r="E1122" t="s">
        <v>136</v>
      </c>
      <c r="F1122">
        <v>8500000</v>
      </c>
      <c r="G1122" t="s">
        <v>348</v>
      </c>
      <c r="H1122" t="s">
        <v>155</v>
      </c>
      <c r="I1122" t="s">
        <v>139</v>
      </c>
    </row>
    <row r="1123" spans="1:9" x14ac:dyDescent="0.2">
      <c r="A1123">
        <v>1121</v>
      </c>
      <c r="B1123" t="s">
        <v>3511</v>
      </c>
      <c r="C1123" t="s">
        <v>2150</v>
      </c>
      <c r="D1123" t="s">
        <v>208</v>
      </c>
      <c r="E1123" t="s">
        <v>167</v>
      </c>
      <c r="F1123">
        <v>85000000</v>
      </c>
      <c r="G1123" t="s">
        <v>195</v>
      </c>
      <c r="H1123" t="s">
        <v>195</v>
      </c>
      <c r="I1123" t="s">
        <v>184</v>
      </c>
    </row>
    <row r="1124" spans="1:9" x14ac:dyDescent="0.2">
      <c r="A1124">
        <v>1122</v>
      </c>
      <c r="B1124" t="s">
        <v>3150</v>
      </c>
      <c r="C1124" t="s">
        <v>2151</v>
      </c>
      <c r="D1124" t="s">
        <v>208</v>
      </c>
      <c r="E1124" t="s">
        <v>167</v>
      </c>
      <c r="F1124">
        <v>30491409</v>
      </c>
      <c r="G1124" t="s">
        <v>195</v>
      </c>
      <c r="H1124" t="s">
        <v>195</v>
      </c>
      <c r="I1124" t="s">
        <v>184</v>
      </c>
    </row>
    <row r="1125" spans="1:9" x14ac:dyDescent="0.2">
      <c r="A1125">
        <v>1123</v>
      </c>
      <c r="B1125" t="s">
        <v>3512</v>
      </c>
      <c r="C1125" t="s">
        <v>2152</v>
      </c>
      <c r="D1125" t="s">
        <v>194</v>
      </c>
      <c r="E1125" t="s">
        <v>136</v>
      </c>
      <c r="F1125">
        <v>57839000</v>
      </c>
      <c r="G1125" t="s">
        <v>195</v>
      </c>
      <c r="H1125" t="s">
        <v>195</v>
      </c>
      <c r="I1125" t="s">
        <v>184</v>
      </c>
    </row>
    <row r="1126" spans="1:9" x14ac:dyDescent="0.2">
      <c r="A1126">
        <v>1124</v>
      </c>
      <c r="B1126" t="s">
        <v>3513</v>
      </c>
      <c r="C1126" t="s">
        <v>2153</v>
      </c>
      <c r="D1126" t="s">
        <v>194</v>
      </c>
      <c r="E1126" t="s">
        <v>136</v>
      </c>
      <c r="F1126">
        <v>22392839</v>
      </c>
      <c r="G1126" t="s">
        <v>195</v>
      </c>
      <c r="H1126" t="s">
        <v>195</v>
      </c>
      <c r="I1126" t="s">
        <v>184</v>
      </c>
    </row>
    <row r="1127" spans="1:9" x14ac:dyDescent="0.2">
      <c r="A1127">
        <v>1125</v>
      </c>
      <c r="B1127" t="s">
        <v>3514</v>
      </c>
      <c r="C1127" t="s">
        <v>2154</v>
      </c>
      <c r="D1127" t="s">
        <v>289</v>
      </c>
      <c r="E1127" t="s">
        <v>136</v>
      </c>
      <c r="F1127">
        <v>4200000</v>
      </c>
      <c r="G1127" t="s">
        <v>290</v>
      </c>
      <c r="H1127" t="s">
        <v>183</v>
      </c>
      <c r="I1127" t="s">
        <v>184</v>
      </c>
    </row>
    <row r="1128" spans="1:9" x14ac:dyDescent="0.2">
      <c r="A1128">
        <v>1126</v>
      </c>
      <c r="B1128" t="s">
        <v>2155</v>
      </c>
      <c r="C1128" t="s">
        <v>2156</v>
      </c>
      <c r="D1128" t="s">
        <v>166</v>
      </c>
      <c r="E1128" t="s">
        <v>143</v>
      </c>
      <c r="F1128">
        <v>430595036</v>
      </c>
      <c r="G1128" t="s">
        <v>166</v>
      </c>
      <c r="H1128" t="s">
        <v>166</v>
      </c>
      <c r="I1128" t="s">
        <v>160</v>
      </c>
    </row>
    <row r="1129" spans="1:9" x14ac:dyDescent="0.2">
      <c r="A1129">
        <v>1127</v>
      </c>
      <c r="B1129" t="s">
        <v>2157</v>
      </c>
      <c r="C1129" t="s">
        <v>2158</v>
      </c>
      <c r="D1129" t="s">
        <v>1364</v>
      </c>
      <c r="E1129" t="s">
        <v>143</v>
      </c>
      <c r="F1129">
        <v>94886982</v>
      </c>
      <c r="G1129" t="s">
        <v>326</v>
      </c>
      <c r="H1129" t="s">
        <v>327</v>
      </c>
      <c r="I1129" t="s">
        <v>217</v>
      </c>
    </row>
    <row r="1130" spans="1:9" x14ac:dyDescent="0.2">
      <c r="A1130">
        <v>1128</v>
      </c>
      <c r="B1130" t="s">
        <v>3515</v>
      </c>
      <c r="C1130" t="s">
        <v>2159</v>
      </c>
      <c r="D1130" t="s">
        <v>208</v>
      </c>
      <c r="E1130" t="s">
        <v>136</v>
      </c>
      <c r="F1130">
        <v>5000000</v>
      </c>
      <c r="G1130" t="s">
        <v>195</v>
      </c>
      <c r="H1130" t="s">
        <v>195</v>
      </c>
      <c r="I1130" t="s">
        <v>184</v>
      </c>
    </row>
    <row r="1131" spans="1:9" x14ac:dyDescent="0.2">
      <c r="A1131">
        <v>1129</v>
      </c>
      <c r="B1131" t="s">
        <v>3516</v>
      </c>
      <c r="C1131" t="s">
        <v>2160</v>
      </c>
      <c r="D1131" t="s">
        <v>208</v>
      </c>
      <c r="E1131" t="s">
        <v>136</v>
      </c>
      <c r="F1131">
        <v>14423536</v>
      </c>
      <c r="G1131" t="s">
        <v>195</v>
      </c>
      <c r="H1131" t="s">
        <v>195</v>
      </c>
      <c r="I1131" t="s">
        <v>184</v>
      </c>
    </row>
    <row r="1132" spans="1:9" x14ac:dyDescent="0.2">
      <c r="A1132">
        <v>1130</v>
      </c>
      <c r="B1132" t="s">
        <v>3517</v>
      </c>
      <c r="C1132" t="s">
        <v>2161</v>
      </c>
      <c r="D1132" t="s">
        <v>208</v>
      </c>
      <c r="E1132" t="s">
        <v>136</v>
      </c>
      <c r="F1132">
        <v>15999356</v>
      </c>
      <c r="G1132" t="s">
        <v>195</v>
      </c>
      <c r="H1132" t="s">
        <v>195</v>
      </c>
      <c r="I1132" t="s">
        <v>184</v>
      </c>
    </row>
    <row r="1133" spans="1:9" x14ac:dyDescent="0.2">
      <c r="A1133">
        <v>1131</v>
      </c>
      <c r="B1133" t="s">
        <v>3518</v>
      </c>
      <c r="C1133" t="s">
        <v>2162</v>
      </c>
      <c r="D1133" t="s">
        <v>208</v>
      </c>
      <c r="E1133" t="s">
        <v>136</v>
      </c>
      <c r="F1133">
        <v>10300000</v>
      </c>
      <c r="G1133" t="s">
        <v>195</v>
      </c>
      <c r="H1133" t="s">
        <v>195</v>
      </c>
      <c r="I1133" t="s">
        <v>184</v>
      </c>
    </row>
    <row r="1134" spans="1:9" x14ac:dyDescent="0.2">
      <c r="A1134">
        <v>1132</v>
      </c>
      <c r="B1134" t="s">
        <v>3519</v>
      </c>
      <c r="C1134" t="s">
        <v>2163</v>
      </c>
      <c r="D1134" t="s">
        <v>208</v>
      </c>
      <c r="E1134" t="s">
        <v>167</v>
      </c>
      <c r="F1134">
        <v>25999848</v>
      </c>
      <c r="G1134" t="s">
        <v>195</v>
      </c>
      <c r="H1134" t="s">
        <v>195</v>
      </c>
      <c r="I1134" t="s">
        <v>184</v>
      </c>
    </row>
    <row r="1135" spans="1:9" x14ac:dyDescent="0.2">
      <c r="A1135">
        <v>1133</v>
      </c>
      <c r="B1135" t="s">
        <v>3520</v>
      </c>
      <c r="C1135" t="s">
        <v>2164</v>
      </c>
      <c r="D1135" t="s">
        <v>208</v>
      </c>
      <c r="E1135" t="s">
        <v>136</v>
      </c>
      <c r="F1135">
        <v>34771611</v>
      </c>
      <c r="G1135" t="s">
        <v>195</v>
      </c>
      <c r="H1135" t="s">
        <v>195</v>
      </c>
      <c r="I1135" t="s">
        <v>184</v>
      </c>
    </row>
    <row r="1136" spans="1:9" x14ac:dyDescent="0.2">
      <c r="A1136">
        <v>1134</v>
      </c>
      <c r="B1136" t="s">
        <v>3521</v>
      </c>
      <c r="C1136" t="s">
        <v>2165</v>
      </c>
      <c r="D1136" t="s">
        <v>208</v>
      </c>
      <c r="E1136" t="s">
        <v>136</v>
      </c>
      <c r="F1136">
        <v>10600000</v>
      </c>
      <c r="G1136" t="s">
        <v>195</v>
      </c>
      <c r="H1136" t="s">
        <v>195</v>
      </c>
      <c r="I1136" t="s">
        <v>184</v>
      </c>
    </row>
    <row r="1137" spans="1:9" x14ac:dyDescent="0.2">
      <c r="A1137">
        <v>1135</v>
      </c>
      <c r="B1137" t="s">
        <v>3522</v>
      </c>
      <c r="C1137" t="s">
        <v>2166</v>
      </c>
      <c r="D1137" t="s">
        <v>208</v>
      </c>
      <c r="E1137" t="s">
        <v>136</v>
      </c>
      <c r="F1137">
        <v>2800000</v>
      </c>
      <c r="G1137" t="s">
        <v>195</v>
      </c>
      <c r="H1137" t="s">
        <v>195</v>
      </c>
      <c r="I1137" t="s">
        <v>184</v>
      </c>
    </row>
    <row r="1138" spans="1:9" x14ac:dyDescent="0.2">
      <c r="A1138">
        <v>1136</v>
      </c>
      <c r="B1138" t="s">
        <v>3523</v>
      </c>
      <c r="C1138" t="s">
        <v>2167</v>
      </c>
      <c r="D1138" t="s">
        <v>208</v>
      </c>
      <c r="E1138" t="s">
        <v>167</v>
      </c>
      <c r="F1138">
        <v>34234000</v>
      </c>
      <c r="G1138" t="s">
        <v>195</v>
      </c>
      <c r="H1138" t="s">
        <v>195</v>
      </c>
      <c r="I1138" t="s">
        <v>184</v>
      </c>
    </row>
    <row r="1139" spans="1:9" x14ac:dyDescent="0.2">
      <c r="A1139">
        <v>1137</v>
      </c>
      <c r="B1139" t="s">
        <v>3524</v>
      </c>
      <c r="C1139" t="s">
        <v>2168</v>
      </c>
      <c r="D1139" t="s">
        <v>567</v>
      </c>
      <c r="E1139" t="s">
        <v>167</v>
      </c>
      <c r="F1139">
        <v>26206158</v>
      </c>
      <c r="G1139" t="s">
        <v>182</v>
      </c>
      <c r="H1139" t="s">
        <v>183</v>
      </c>
      <c r="I1139" t="s">
        <v>184</v>
      </c>
    </row>
    <row r="1140" spans="1:9" x14ac:dyDescent="0.2">
      <c r="A1140">
        <v>1138</v>
      </c>
      <c r="B1140" t="s">
        <v>3525</v>
      </c>
      <c r="C1140" t="s">
        <v>2169</v>
      </c>
      <c r="D1140" t="s">
        <v>208</v>
      </c>
      <c r="E1140" t="s">
        <v>136</v>
      </c>
      <c r="F1140">
        <v>11000000</v>
      </c>
      <c r="G1140" t="s">
        <v>195</v>
      </c>
      <c r="H1140" t="s">
        <v>195</v>
      </c>
      <c r="I1140" t="s">
        <v>184</v>
      </c>
    </row>
    <row r="1141" spans="1:9" x14ac:dyDescent="0.2">
      <c r="A1141">
        <v>1139</v>
      </c>
      <c r="B1141" t="s">
        <v>3526</v>
      </c>
      <c r="C1141" t="s">
        <v>2170</v>
      </c>
      <c r="D1141" t="s">
        <v>181</v>
      </c>
      <c r="E1141" t="s">
        <v>167</v>
      </c>
      <c r="F1141">
        <v>2609710</v>
      </c>
      <c r="G1141" t="s">
        <v>182</v>
      </c>
      <c r="H1141" t="s">
        <v>183</v>
      </c>
      <c r="I1141" t="s">
        <v>184</v>
      </c>
    </row>
    <row r="1142" spans="1:9" x14ac:dyDescent="0.2">
      <c r="A1142">
        <v>1140</v>
      </c>
      <c r="B1142" t="s">
        <v>3527</v>
      </c>
      <c r="C1142" t="s">
        <v>2171</v>
      </c>
      <c r="D1142" t="s">
        <v>208</v>
      </c>
      <c r="E1142" t="s">
        <v>136</v>
      </c>
      <c r="F1142">
        <v>16007685</v>
      </c>
      <c r="G1142" t="s">
        <v>195</v>
      </c>
      <c r="H1142" t="s">
        <v>195</v>
      </c>
      <c r="I1142" t="s">
        <v>184</v>
      </c>
    </row>
    <row r="1143" spans="1:9" x14ac:dyDescent="0.2">
      <c r="A1143">
        <v>1141</v>
      </c>
      <c r="B1143" t="s">
        <v>3528</v>
      </c>
      <c r="C1143" t="s">
        <v>2172</v>
      </c>
      <c r="D1143" t="s">
        <v>283</v>
      </c>
      <c r="E1143" t="s">
        <v>167</v>
      </c>
      <c r="F1143">
        <v>10139997</v>
      </c>
      <c r="G1143" t="s">
        <v>284</v>
      </c>
      <c r="H1143" t="s">
        <v>183</v>
      </c>
      <c r="I1143" t="s">
        <v>184</v>
      </c>
    </row>
    <row r="1144" spans="1:9" x14ac:dyDescent="0.2">
      <c r="A1144">
        <v>1142</v>
      </c>
      <c r="B1144" t="s">
        <v>3529</v>
      </c>
      <c r="C1144" t="s">
        <v>2173</v>
      </c>
      <c r="D1144" t="s">
        <v>289</v>
      </c>
      <c r="E1144" t="s">
        <v>136</v>
      </c>
      <c r="F1144">
        <v>2600000</v>
      </c>
      <c r="G1144" t="s">
        <v>290</v>
      </c>
      <c r="H1144" t="s">
        <v>183</v>
      </c>
      <c r="I1144" t="s">
        <v>184</v>
      </c>
    </row>
    <row r="1145" spans="1:9" x14ac:dyDescent="0.2">
      <c r="A1145">
        <v>1143</v>
      </c>
      <c r="B1145" t="s">
        <v>3530</v>
      </c>
      <c r="C1145" t="s">
        <v>2174</v>
      </c>
      <c r="D1145" t="s">
        <v>194</v>
      </c>
      <c r="E1145" t="s">
        <v>167</v>
      </c>
      <c r="F1145">
        <v>3036436</v>
      </c>
      <c r="G1145" t="s">
        <v>195</v>
      </c>
      <c r="H1145" t="s">
        <v>195</v>
      </c>
      <c r="I1145" t="s">
        <v>184</v>
      </c>
    </row>
    <row r="1146" spans="1:9" x14ac:dyDescent="0.2">
      <c r="A1146">
        <v>1144</v>
      </c>
      <c r="B1146" t="s">
        <v>3531</v>
      </c>
      <c r="C1146" t="s">
        <v>2175</v>
      </c>
      <c r="D1146" t="s">
        <v>194</v>
      </c>
      <c r="E1146" t="s">
        <v>136</v>
      </c>
      <c r="F1146">
        <v>11114472</v>
      </c>
      <c r="G1146" t="s">
        <v>195</v>
      </c>
      <c r="H1146" t="s">
        <v>195</v>
      </c>
      <c r="I1146" t="s">
        <v>184</v>
      </c>
    </row>
    <row r="1147" spans="1:9" x14ac:dyDescent="0.2">
      <c r="A1147">
        <v>1145</v>
      </c>
      <c r="B1147" t="s">
        <v>3532</v>
      </c>
      <c r="C1147" t="s">
        <v>2176</v>
      </c>
      <c r="D1147" t="s">
        <v>208</v>
      </c>
      <c r="E1147" t="s">
        <v>136</v>
      </c>
      <c r="F1147">
        <v>42732311</v>
      </c>
      <c r="G1147" t="s">
        <v>195</v>
      </c>
      <c r="H1147" t="s">
        <v>195</v>
      </c>
      <c r="I1147" t="s">
        <v>184</v>
      </c>
    </row>
    <row r="1148" spans="1:9" x14ac:dyDescent="0.2">
      <c r="A1148">
        <v>1146</v>
      </c>
      <c r="B1148" t="s">
        <v>3533</v>
      </c>
      <c r="C1148" t="s">
        <v>2177</v>
      </c>
      <c r="D1148" t="s">
        <v>208</v>
      </c>
      <c r="E1148" t="s">
        <v>167</v>
      </c>
      <c r="F1148">
        <v>20000000</v>
      </c>
      <c r="G1148" t="s">
        <v>195</v>
      </c>
      <c r="H1148" t="s">
        <v>195</v>
      </c>
      <c r="I1148" t="s">
        <v>184</v>
      </c>
    </row>
    <row r="1149" spans="1:9" x14ac:dyDescent="0.2">
      <c r="A1149">
        <v>1147</v>
      </c>
      <c r="B1149" t="s">
        <v>3534</v>
      </c>
      <c r="C1149" t="s">
        <v>2178</v>
      </c>
      <c r="D1149" t="s">
        <v>437</v>
      </c>
      <c r="E1149" t="s">
        <v>136</v>
      </c>
      <c r="F1149">
        <v>5000000</v>
      </c>
      <c r="G1149" t="s">
        <v>182</v>
      </c>
      <c r="H1149" t="s">
        <v>183</v>
      </c>
      <c r="I1149" t="s">
        <v>184</v>
      </c>
    </row>
    <row r="1150" spans="1:9" x14ac:dyDescent="0.2">
      <c r="A1150">
        <v>1148</v>
      </c>
      <c r="B1150" t="s">
        <v>3535</v>
      </c>
      <c r="C1150" t="s">
        <v>2179</v>
      </c>
      <c r="D1150" t="s">
        <v>208</v>
      </c>
      <c r="E1150" t="s">
        <v>136</v>
      </c>
      <c r="F1150">
        <v>2250000</v>
      </c>
      <c r="G1150" t="s">
        <v>195</v>
      </c>
      <c r="H1150" t="s">
        <v>195</v>
      </c>
      <c r="I1150" t="s">
        <v>184</v>
      </c>
    </row>
    <row r="1151" spans="1:9" x14ac:dyDescent="0.2">
      <c r="A1151">
        <v>1149</v>
      </c>
      <c r="B1151" t="s">
        <v>3536</v>
      </c>
      <c r="C1151" t="s">
        <v>2180</v>
      </c>
      <c r="D1151" t="s">
        <v>194</v>
      </c>
      <c r="E1151" t="s">
        <v>136</v>
      </c>
      <c r="F1151">
        <v>4500000</v>
      </c>
      <c r="G1151" t="s">
        <v>195</v>
      </c>
      <c r="H1151" t="s">
        <v>195</v>
      </c>
      <c r="I1151" t="s">
        <v>184</v>
      </c>
    </row>
    <row r="1152" spans="1:9" x14ac:dyDescent="0.2">
      <c r="A1152">
        <v>1150</v>
      </c>
      <c r="B1152" t="s">
        <v>2181</v>
      </c>
      <c r="C1152" t="s">
        <v>2182</v>
      </c>
      <c r="D1152" t="s">
        <v>153</v>
      </c>
      <c r="E1152" t="s">
        <v>136</v>
      </c>
      <c r="F1152">
        <v>125000000</v>
      </c>
      <c r="G1152" t="s">
        <v>154</v>
      </c>
      <c r="H1152" t="s">
        <v>155</v>
      </c>
      <c r="I1152" t="s">
        <v>139</v>
      </c>
    </row>
    <row r="1153" spans="1:9" x14ac:dyDescent="0.2">
      <c r="A1153">
        <v>1151</v>
      </c>
      <c r="B1153" t="s">
        <v>2183</v>
      </c>
      <c r="C1153" t="s">
        <v>2184</v>
      </c>
      <c r="D1153" t="s">
        <v>330</v>
      </c>
      <c r="E1153" t="s">
        <v>167</v>
      </c>
      <c r="F1153">
        <v>31999969</v>
      </c>
      <c r="G1153" t="s">
        <v>330</v>
      </c>
      <c r="H1153" t="s">
        <v>312</v>
      </c>
      <c r="I1153" t="s">
        <v>313</v>
      </c>
    </row>
    <row r="1154" spans="1:9" x14ac:dyDescent="0.2">
      <c r="A1154">
        <v>1152</v>
      </c>
      <c r="B1154" t="s">
        <v>2185</v>
      </c>
      <c r="C1154" t="s">
        <v>2186</v>
      </c>
      <c r="D1154" t="s">
        <v>215</v>
      </c>
      <c r="E1154" t="s">
        <v>167</v>
      </c>
      <c r="F1154">
        <v>10000000</v>
      </c>
      <c r="G1154" t="s">
        <v>216</v>
      </c>
      <c r="H1154" t="s">
        <v>216</v>
      </c>
      <c r="I1154" t="s">
        <v>217</v>
      </c>
    </row>
    <row r="1155" spans="1:9" x14ac:dyDescent="0.2">
      <c r="A1155">
        <v>1153</v>
      </c>
      <c r="B1155" t="s">
        <v>2187</v>
      </c>
      <c r="C1155" t="s">
        <v>2188</v>
      </c>
      <c r="D1155" t="s">
        <v>142</v>
      </c>
      <c r="E1155" t="s">
        <v>136</v>
      </c>
      <c r="F1155">
        <v>8400000</v>
      </c>
      <c r="G1155" t="s">
        <v>144</v>
      </c>
      <c r="H1155" t="s">
        <v>144</v>
      </c>
      <c r="I1155" t="s">
        <v>145</v>
      </c>
    </row>
    <row r="1156" spans="1:9" x14ac:dyDescent="0.2">
      <c r="A1156">
        <v>1154</v>
      </c>
      <c r="B1156" t="s">
        <v>2189</v>
      </c>
      <c r="C1156" t="s">
        <v>2190</v>
      </c>
      <c r="D1156" t="s">
        <v>310</v>
      </c>
      <c r="E1156" t="s">
        <v>143</v>
      </c>
      <c r="F1156">
        <v>11291459</v>
      </c>
      <c r="G1156" t="s">
        <v>311</v>
      </c>
      <c r="H1156" t="s">
        <v>312</v>
      </c>
      <c r="I1156" t="s">
        <v>313</v>
      </c>
    </row>
    <row r="1157" spans="1:9" x14ac:dyDescent="0.2">
      <c r="A1157">
        <v>1155</v>
      </c>
      <c r="B1157" t="s">
        <v>2191</v>
      </c>
      <c r="C1157" t="s">
        <v>2192</v>
      </c>
      <c r="D1157" t="s">
        <v>293</v>
      </c>
      <c r="E1157" t="s">
        <v>143</v>
      </c>
      <c r="F1157">
        <v>47897333</v>
      </c>
      <c r="G1157" t="s">
        <v>144</v>
      </c>
      <c r="H1157" t="s">
        <v>144</v>
      </c>
      <c r="I1157" t="s">
        <v>145</v>
      </c>
    </row>
    <row r="1158" spans="1:9" x14ac:dyDescent="0.2">
      <c r="A1158">
        <v>1156</v>
      </c>
      <c r="B1158" t="s">
        <v>3537</v>
      </c>
      <c r="C1158" t="s">
        <v>2193</v>
      </c>
      <c r="D1158" t="s">
        <v>806</v>
      </c>
      <c r="E1158" t="s">
        <v>143</v>
      </c>
      <c r="F1158">
        <v>26042046</v>
      </c>
      <c r="G1158" t="s">
        <v>212</v>
      </c>
      <c r="H1158" t="s">
        <v>183</v>
      </c>
      <c r="I1158" t="s">
        <v>184</v>
      </c>
    </row>
    <row r="1159" spans="1:9" x14ac:dyDescent="0.2">
      <c r="A1159">
        <v>1157</v>
      </c>
      <c r="B1159" t="s">
        <v>3538</v>
      </c>
      <c r="C1159" t="s">
        <v>2194</v>
      </c>
      <c r="D1159" t="s">
        <v>265</v>
      </c>
      <c r="E1159" t="s">
        <v>167</v>
      </c>
      <c r="F1159">
        <v>3000000</v>
      </c>
      <c r="G1159" t="s">
        <v>182</v>
      </c>
      <c r="H1159" t="s">
        <v>183</v>
      </c>
      <c r="I1159" t="s">
        <v>184</v>
      </c>
    </row>
    <row r="1160" spans="1:9" x14ac:dyDescent="0.2">
      <c r="A1160">
        <v>1158</v>
      </c>
      <c r="B1160" t="s">
        <v>2195</v>
      </c>
      <c r="C1160" t="s">
        <v>2196</v>
      </c>
      <c r="D1160" t="s">
        <v>170</v>
      </c>
      <c r="E1160" t="s">
        <v>136</v>
      </c>
      <c r="F1160">
        <v>338799141</v>
      </c>
      <c r="G1160" t="s">
        <v>170</v>
      </c>
      <c r="H1160" t="s">
        <v>170</v>
      </c>
      <c r="I1160" t="s">
        <v>170</v>
      </c>
    </row>
    <row r="1161" spans="1:9" x14ac:dyDescent="0.2">
      <c r="A1161">
        <v>1159</v>
      </c>
      <c r="B1161" t="s">
        <v>2197</v>
      </c>
      <c r="C1161" t="s">
        <v>2198</v>
      </c>
      <c r="D1161" t="s">
        <v>237</v>
      </c>
      <c r="E1161" t="s">
        <v>167</v>
      </c>
      <c r="F1161">
        <v>7147580</v>
      </c>
      <c r="G1161" t="s">
        <v>154</v>
      </c>
      <c r="H1161" t="s">
        <v>155</v>
      </c>
      <c r="I1161" t="s">
        <v>139</v>
      </c>
    </row>
    <row r="1162" spans="1:9" x14ac:dyDescent="0.2">
      <c r="A1162">
        <v>1160</v>
      </c>
      <c r="B1162" t="s">
        <v>2199</v>
      </c>
      <c r="C1162" t="s">
        <v>2200</v>
      </c>
      <c r="D1162" t="s">
        <v>215</v>
      </c>
      <c r="E1162" t="s">
        <v>167</v>
      </c>
      <c r="F1162">
        <v>4137000</v>
      </c>
      <c r="G1162" t="s">
        <v>216</v>
      </c>
      <c r="H1162" t="s">
        <v>216</v>
      </c>
      <c r="I1162" t="s">
        <v>217</v>
      </c>
    </row>
    <row r="1163" spans="1:9" x14ac:dyDescent="0.2">
      <c r="A1163">
        <v>1161</v>
      </c>
      <c r="B1163" t="s">
        <v>2201</v>
      </c>
      <c r="C1163" t="s">
        <v>2202</v>
      </c>
      <c r="D1163" t="s">
        <v>376</v>
      </c>
      <c r="E1163" t="s">
        <v>167</v>
      </c>
      <c r="F1163">
        <v>12364100</v>
      </c>
      <c r="G1163" t="s">
        <v>326</v>
      </c>
      <c r="H1163" t="s">
        <v>327</v>
      </c>
      <c r="I1163" t="s">
        <v>217</v>
      </c>
    </row>
    <row r="1164" spans="1:9" x14ac:dyDescent="0.2">
      <c r="A1164">
        <v>1162</v>
      </c>
      <c r="B1164" t="s">
        <v>2203</v>
      </c>
      <c r="C1164" t="s">
        <v>2204</v>
      </c>
      <c r="D1164" t="s">
        <v>163</v>
      </c>
      <c r="E1164" t="s">
        <v>136</v>
      </c>
      <c r="F1164">
        <v>75464700</v>
      </c>
      <c r="G1164" t="s">
        <v>137</v>
      </c>
      <c r="H1164" t="s">
        <v>138</v>
      </c>
      <c r="I1164" t="s">
        <v>139</v>
      </c>
    </row>
    <row r="1165" spans="1:9" x14ac:dyDescent="0.2">
      <c r="A1165">
        <v>1163</v>
      </c>
      <c r="B1165" t="s">
        <v>3539</v>
      </c>
      <c r="C1165" t="s">
        <v>2205</v>
      </c>
      <c r="D1165" t="s">
        <v>211</v>
      </c>
      <c r="E1165" t="s">
        <v>143</v>
      </c>
      <c r="F1165">
        <v>33581691</v>
      </c>
      <c r="G1165" t="s">
        <v>212</v>
      </c>
      <c r="H1165" t="s">
        <v>183</v>
      </c>
      <c r="I1165" t="s">
        <v>184</v>
      </c>
    </row>
    <row r="1166" spans="1:9" x14ac:dyDescent="0.2">
      <c r="A1166">
        <v>1164</v>
      </c>
      <c r="B1166" t="s">
        <v>3540</v>
      </c>
      <c r="C1166" t="s">
        <v>2206</v>
      </c>
      <c r="D1166" t="s">
        <v>211</v>
      </c>
      <c r="E1166" t="s">
        <v>136</v>
      </c>
      <c r="F1166">
        <v>216294961</v>
      </c>
      <c r="G1166" t="s">
        <v>212</v>
      </c>
      <c r="H1166" t="s">
        <v>183</v>
      </c>
      <c r="I1166" t="s">
        <v>184</v>
      </c>
    </row>
    <row r="1167" spans="1:9" x14ac:dyDescent="0.2">
      <c r="A1167">
        <v>1165</v>
      </c>
      <c r="B1167" t="s">
        <v>2207</v>
      </c>
      <c r="C1167" t="s">
        <v>2208</v>
      </c>
      <c r="D1167" t="s">
        <v>166</v>
      </c>
      <c r="E1167" t="s">
        <v>143</v>
      </c>
      <c r="F1167">
        <v>69875000</v>
      </c>
      <c r="G1167" t="s">
        <v>166</v>
      </c>
      <c r="H1167" t="s">
        <v>166</v>
      </c>
      <c r="I1167" t="s">
        <v>160</v>
      </c>
    </row>
    <row r="1168" spans="1:9" x14ac:dyDescent="0.2">
      <c r="A1168">
        <v>1166</v>
      </c>
      <c r="B1168" t="s">
        <v>3541</v>
      </c>
      <c r="C1168" t="s">
        <v>2209</v>
      </c>
      <c r="D1168" t="s">
        <v>806</v>
      </c>
      <c r="E1168" t="s">
        <v>136</v>
      </c>
      <c r="F1168">
        <v>14420000</v>
      </c>
      <c r="G1168" t="s">
        <v>212</v>
      </c>
      <c r="H1168" t="s">
        <v>183</v>
      </c>
      <c r="I1168" t="s">
        <v>184</v>
      </c>
    </row>
    <row r="1169" spans="1:9" x14ac:dyDescent="0.2">
      <c r="A1169">
        <v>1167</v>
      </c>
      <c r="B1169" t="s">
        <v>2210</v>
      </c>
      <c r="C1169" t="s">
        <v>2211</v>
      </c>
      <c r="D1169" t="s">
        <v>2212</v>
      </c>
      <c r="E1169" t="s">
        <v>143</v>
      </c>
      <c r="F1169">
        <v>148003518</v>
      </c>
      <c r="G1169" t="s">
        <v>679</v>
      </c>
      <c r="H1169" t="s">
        <v>654</v>
      </c>
      <c r="I1169" t="s">
        <v>654</v>
      </c>
    </row>
    <row r="1170" spans="1:9" x14ac:dyDescent="0.2">
      <c r="A1170">
        <v>1168</v>
      </c>
      <c r="B1170" t="s">
        <v>2213</v>
      </c>
      <c r="C1170" t="s">
        <v>2214</v>
      </c>
      <c r="D1170" t="s">
        <v>355</v>
      </c>
      <c r="E1170" t="s">
        <v>143</v>
      </c>
      <c r="F1170">
        <v>33446675</v>
      </c>
      <c r="G1170" t="s">
        <v>356</v>
      </c>
      <c r="H1170" t="s">
        <v>150</v>
      </c>
      <c r="I1170" t="s">
        <v>145</v>
      </c>
    </row>
    <row r="1171" spans="1:9" x14ac:dyDescent="0.2">
      <c r="A1171">
        <v>1169</v>
      </c>
      <c r="B1171" t="s">
        <v>110</v>
      </c>
      <c r="C1171" t="s">
        <v>2215</v>
      </c>
      <c r="D1171" t="s">
        <v>170</v>
      </c>
      <c r="E1171" t="s">
        <v>143</v>
      </c>
      <c r="F1171">
        <v>4065747002</v>
      </c>
      <c r="G1171" t="s">
        <v>170</v>
      </c>
      <c r="H1171" t="s">
        <v>170</v>
      </c>
      <c r="I1171" t="s">
        <v>170</v>
      </c>
    </row>
    <row r="1172" spans="1:9" x14ac:dyDescent="0.2">
      <c r="A1172">
        <v>1170</v>
      </c>
      <c r="B1172" t="s">
        <v>3542</v>
      </c>
      <c r="C1172" t="s">
        <v>2216</v>
      </c>
      <c r="D1172" t="s">
        <v>806</v>
      </c>
      <c r="E1172" t="s">
        <v>136</v>
      </c>
      <c r="F1172">
        <v>4309550</v>
      </c>
      <c r="G1172" t="s">
        <v>212</v>
      </c>
      <c r="H1172" t="s">
        <v>183</v>
      </c>
      <c r="I1172" t="s">
        <v>184</v>
      </c>
    </row>
    <row r="1173" spans="1:9" x14ac:dyDescent="0.2">
      <c r="A1173">
        <v>1171</v>
      </c>
      <c r="B1173" t="s">
        <v>2217</v>
      </c>
      <c r="C1173" t="s">
        <v>2218</v>
      </c>
      <c r="D1173" t="s">
        <v>1477</v>
      </c>
      <c r="E1173" t="s">
        <v>167</v>
      </c>
      <c r="F1173">
        <v>14953156</v>
      </c>
      <c r="G1173" t="s">
        <v>800</v>
      </c>
      <c r="H1173" t="s">
        <v>138</v>
      </c>
      <c r="I1173" t="s">
        <v>139</v>
      </c>
    </row>
    <row r="1174" spans="1:9" x14ac:dyDescent="0.2">
      <c r="A1174">
        <v>1172</v>
      </c>
      <c r="B1174" t="s">
        <v>3543</v>
      </c>
      <c r="C1174" t="s">
        <v>2219</v>
      </c>
      <c r="D1174" t="s">
        <v>208</v>
      </c>
      <c r="E1174" t="s">
        <v>136</v>
      </c>
      <c r="F1174">
        <v>27000000</v>
      </c>
      <c r="G1174" t="s">
        <v>195</v>
      </c>
      <c r="H1174" t="s">
        <v>195</v>
      </c>
      <c r="I1174" t="s">
        <v>184</v>
      </c>
    </row>
    <row r="1175" spans="1:9" x14ac:dyDescent="0.2">
      <c r="A1175">
        <v>1173</v>
      </c>
      <c r="B1175" t="s">
        <v>2220</v>
      </c>
      <c r="C1175" t="s">
        <v>2221</v>
      </c>
      <c r="D1175" t="s">
        <v>355</v>
      </c>
      <c r="E1175" t="s">
        <v>143</v>
      </c>
      <c r="F1175">
        <v>170268409</v>
      </c>
      <c r="G1175" t="s">
        <v>356</v>
      </c>
      <c r="H1175" t="s">
        <v>150</v>
      </c>
      <c r="I1175" t="s">
        <v>145</v>
      </c>
    </row>
    <row r="1176" spans="1:9" x14ac:dyDescent="0.2">
      <c r="A1176">
        <v>1174</v>
      </c>
      <c r="B1176" t="s">
        <v>2222</v>
      </c>
      <c r="C1176" t="s">
        <v>2223</v>
      </c>
      <c r="D1176" t="s">
        <v>148</v>
      </c>
      <c r="E1176" t="s">
        <v>167</v>
      </c>
      <c r="F1176">
        <v>129607147</v>
      </c>
      <c r="G1176" t="s">
        <v>149</v>
      </c>
      <c r="H1176" t="s">
        <v>150</v>
      </c>
      <c r="I1176" t="s">
        <v>145</v>
      </c>
    </row>
    <row r="1177" spans="1:9" x14ac:dyDescent="0.2">
      <c r="A1177">
        <v>1175</v>
      </c>
      <c r="B1177" t="s">
        <v>2224</v>
      </c>
      <c r="C1177" t="s">
        <v>2225</v>
      </c>
      <c r="D1177" t="s">
        <v>330</v>
      </c>
      <c r="E1177" t="s">
        <v>143</v>
      </c>
      <c r="F1177">
        <v>101206352</v>
      </c>
      <c r="G1177" t="s">
        <v>330</v>
      </c>
      <c r="H1177" t="s">
        <v>312</v>
      </c>
      <c r="I1177" t="s">
        <v>313</v>
      </c>
    </row>
    <row r="1178" spans="1:9" x14ac:dyDescent="0.2">
      <c r="A1178">
        <v>1176</v>
      </c>
      <c r="B1178" t="s">
        <v>2226</v>
      </c>
      <c r="C1178" t="s">
        <v>2227</v>
      </c>
      <c r="D1178" t="s">
        <v>158</v>
      </c>
      <c r="E1178" t="s">
        <v>167</v>
      </c>
      <c r="F1178">
        <v>894462220</v>
      </c>
      <c r="G1178" t="s">
        <v>159</v>
      </c>
      <c r="H1178" t="s">
        <v>159</v>
      </c>
      <c r="I1178" t="s">
        <v>160</v>
      </c>
    </row>
    <row r="1179" spans="1:9" x14ac:dyDescent="0.2">
      <c r="A1179">
        <v>1177</v>
      </c>
      <c r="B1179" t="s">
        <v>2228</v>
      </c>
      <c r="C1179" t="s">
        <v>2229</v>
      </c>
      <c r="D1179" t="s">
        <v>166</v>
      </c>
      <c r="E1179" t="s">
        <v>136</v>
      </c>
      <c r="F1179">
        <v>100000000</v>
      </c>
      <c r="G1179" t="s">
        <v>166</v>
      </c>
      <c r="H1179" t="s">
        <v>166</v>
      </c>
      <c r="I1179" t="s">
        <v>160</v>
      </c>
    </row>
    <row r="1180" spans="1:9" x14ac:dyDescent="0.2">
      <c r="A1180">
        <v>1178</v>
      </c>
      <c r="B1180" t="s">
        <v>3544</v>
      </c>
      <c r="C1180" t="s">
        <v>2230</v>
      </c>
      <c r="D1180" t="s">
        <v>208</v>
      </c>
      <c r="E1180" t="s">
        <v>136</v>
      </c>
      <c r="F1180">
        <v>10000000</v>
      </c>
      <c r="G1180" t="s">
        <v>195</v>
      </c>
      <c r="H1180" t="s">
        <v>195</v>
      </c>
      <c r="I1180" t="s">
        <v>184</v>
      </c>
    </row>
    <row r="1181" spans="1:9" x14ac:dyDescent="0.2">
      <c r="A1181">
        <v>1179</v>
      </c>
      <c r="B1181" t="s">
        <v>2231</v>
      </c>
      <c r="C1181" t="s">
        <v>2232</v>
      </c>
      <c r="D1181" t="s">
        <v>383</v>
      </c>
      <c r="E1181" t="s">
        <v>136</v>
      </c>
      <c r="F1181">
        <v>64522104</v>
      </c>
      <c r="G1181" t="s">
        <v>311</v>
      </c>
      <c r="H1181" t="s">
        <v>312</v>
      </c>
      <c r="I1181" t="s">
        <v>313</v>
      </c>
    </row>
    <row r="1182" spans="1:9" x14ac:dyDescent="0.2">
      <c r="A1182">
        <v>1180</v>
      </c>
      <c r="B1182" t="s">
        <v>2233</v>
      </c>
      <c r="C1182" t="s">
        <v>2234</v>
      </c>
      <c r="D1182" t="s">
        <v>166</v>
      </c>
      <c r="E1182" t="s">
        <v>143</v>
      </c>
      <c r="F1182">
        <v>242112943</v>
      </c>
      <c r="G1182" t="s">
        <v>166</v>
      </c>
      <c r="H1182" t="s">
        <v>166</v>
      </c>
      <c r="I1182" t="s">
        <v>160</v>
      </c>
    </row>
    <row r="1183" spans="1:9" x14ac:dyDescent="0.2">
      <c r="A1183">
        <v>1181</v>
      </c>
      <c r="B1183" t="s">
        <v>2235</v>
      </c>
      <c r="C1183" t="s">
        <v>2236</v>
      </c>
      <c r="D1183" t="s">
        <v>194</v>
      </c>
      <c r="E1183" t="s">
        <v>136</v>
      </c>
      <c r="F1183">
        <v>3012374</v>
      </c>
      <c r="G1183" t="s">
        <v>195</v>
      </c>
      <c r="H1183" t="s">
        <v>195</v>
      </c>
      <c r="I1183" t="s">
        <v>184</v>
      </c>
    </row>
    <row r="1184" spans="1:9" x14ac:dyDescent="0.2">
      <c r="A1184">
        <v>1182</v>
      </c>
      <c r="B1184" t="s">
        <v>2237</v>
      </c>
      <c r="C1184" t="s">
        <v>2238</v>
      </c>
      <c r="D1184" t="s">
        <v>153</v>
      </c>
      <c r="E1184" t="s">
        <v>167</v>
      </c>
      <c r="F1184">
        <v>43472716</v>
      </c>
      <c r="G1184" t="s">
        <v>154</v>
      </c>
      <c r="H1184" t="s">
        <v>155</v>
      </c>
      <c r="I1184" t="s">
        <v>139</v>
      </c>
    </row>
    <row r="1185" spans="1:9" x14ac:dyDescent="0.2">
      <c r="A1185">
        <v>1183</v>
      </c>
      <c r="B1185" t="s">
        <v>3545</v>
      </c>
      <c r="C1185" t="s">
        <v>2239</v>
      </c>
      <c r="D1185" t="s">
        <v>208</v>
      </c>
      <c r="E1185" t="s">
        <v>136</v>
      </c>
      <c r="F1185">
        <v>7226082</v>
      </c>
      <c r="G1185" t="s">
        <v>195</v>
      </c>
      <c r="H1185" t="s">
        <v>195</v>
      </c>
      <c r="I1185" t="s">
        <v>184</v>
      </c>
    </row>
    <row r="1186" spans="1:9" x14ac:dyDescent="0.2">
      <c r="A1186">
        <v>1184</v>
      </c>
      <c r="B1186" t="s">
        <v>2240</v>
      </c>
      <c r="C1186" t="s">
        <v>2241</v>
      </c>
      <c r="D1186" t="s">
        <v>330</v>
      </c>
      <c r="E1186" t="s">
        <v>143</v>
      </c>
      <c r="F1186">
        <v>68998620</v>
      </c>
      <c r="G1186" t="s">
        <v>330</v>
      </c>
      <c r="H1186" t="s">
        <v>312</v>
      </c>
      <c r="I1186" t="s">
        <v>313</v>
      </c>
    </row>
    <row r="1187" spans="1:9" x14ac:dyDescent="0.2">
      <c r="A1187">
        <v>1185</v>
      </c>
      <c r="B1187" t="s">
        <v>3546</v>
      </c>
      <c r="C1187" t="s">
        <v>2242</v>
      </c>
      <c r="D1187" t="s">
        <v>208</v>
      </c>
      <c r="E1187" t="s">
        <v>167</v>
      </c>
      <c r="F1187">
        <v>24168711</v>
      </c>
      <c r="G1187" t="s">
        <v>195</v>
      </c>
      <c r="H1187" t="s">
        <v>195</v>
      </c>
      <c r="I1187" t="s">
        <v>184</v>
      </c>
    </row>
    <row r="1188" spans="1:9" x14ac:dyDescent="0.2">
      <c r="A1188">
        <v>1186</v>
      </c>
      <c r="B1188" t="s">
        <v>2243</v>
      </c>
      <c r="C1188" t="s">
        <v>2244</v>
      </c>
      <c r="D1188" t="s">
        <v>200</v>
      </c>
      <c r="E1188" t="s">
        <v>136</v>
      </c>
      <c r="F1188">
        <v>79200000</v>
      </c>
      <c r="G1188" t="s">
        <v>201</v>
      </c>
      <c r="H1188" t="s">
        <v>150</v>
      </c>
      <c r="I1188" t="s">
        <v>145</v>
      </c>
    </row>
    <row r="1189" spans="1:9" x14ac:dyDescent="0.2">
      <c r="A1189">
        <v>1187</v>
      </c>
      <c r="B1189" t="s">
        <v>3547</v>
      </c>
      <c r="C1189" t="s">
        <v>2245</v>
      </c>
      <c r="D1189" t="s">
        <v>208</v>
      </c>
      <c r="E1189" t="s">
        <v>136</v>
      </c>
      <c r="F1189">
        <v>449537112</v>
      </c>
      <c r="G1189" t="s">
        <v>195</v>
      </c>
      <c r="H1189" t="s">
        <v>195</v>
      </c>
      <c r="I1189" t="s">
        <v>184</v>
      </c>
    </row>
    <row r="1190" spans="1:9" x14ac:dyDescent="0.2">
      <c r="A1190">
        <v>1188</v>
      </c>
      <c r="B1190" t="s">
        <v>3548</v>
      </c>
      <c r="C1190" t="s">
        <v>2246</v>
      </c>
      <c r="D1190" t="s">
        <v>208</v>
      </c>
      <c r="E1190" t="s">
        <v>136</v>
      </c>
      <c r="F1190">
        <v>5000000</v>
      </c>
      <c r="G1190" t="s">
        <v>195</v>
      </c>
      <c r="H1190" t="s">
        <v>195</v>
      </c>
      <c r="I1190" t="s">
        <v>184</v>
      </c>
    </row>
    <row r="1191" spans="1:9" x14ac:dyDescent="0.2">
      <c r="A1191">
        <v>1189</v>
      </c>
      <c r="B1191" t="s">
        <v>2247</v>
      </c>
      <c r="C1191" t="s">
        <v>2248</v>
      </c>
      <c r="D1191" t="s">
        <v>166</v>
      </c>
      <c r="E1191" t="s">
        <v>143</v>
      </c>
      <c r="F1191">
        <v>114855540</v>
      </c>
      <c r="G1191" t="s">
        <v>166</v>
      </c>
      <c r="H1191" t="s">
        <v>166</v>
      </c>
      <c r="I1191" t="s">
        <v>160</v>
      </c>
    </row>
    <row r="1192" spans="1:9" x14ac:dyDescent="0.2">
      <c r="A1192">
        <v>1190</v>
      </c>
      <c r="B1192" t="s">
        <v>2249</v>
      </c>
      <c r="C1192" t="s">
        <v>2250</v>
      </c>
      <c r="D1192" t="s">
        <v>430</v>
      </c>
      <c r="E1192" t="s">
        <v>143</v>
      </c>
      <c r="F1192">
        <v>66497697</v>
      </c>
      <c r="G1192" t="s">
        <v>326</v>
      </c>
      <c r="H1192" t="s">
        <v>327</v>
      </c>
      <c r="I1192" t="s">
        <v>217</v>
      </c>
    </row>
    <row r="1193" spans="1:9" x14ac:dyDescent="0.2">
      <c r="A1193">
        <v>1191</v>
      </c>
      <c r="B1193" t="s">
        <v>2251</v>
      </c>
      <c r="C1193" t="s">
        <v>2252</v>
      </c>
      <c r="D1193" t="s">
        <v>400</v>
      </c>
      <c r="E1193" t="s">
        <v>136</v>
      </c>
      <c r="F1193">
        <v>16126740</v>
      </c>
      <c r="G1193" t="s">
        <v>348</v>
      </c>
      <c r="H1193" t="s">
        <v>155</v>
      </c>
      <c r="I1193" t="s">
        <v>139</v>
      </c>
    </row>
    <row r="1194" spans="1:9" x14ac:dyDescent="0.2">
      <c r="A1194">
        <v>1192</v>
      </c>
      <c r="B1194" t="s">
        <v>2253</v>
      </c>
      <c r="C1194" t="s">
        <v>2254</v>
      </c>
      <c r="D1194" t="s">
        <v>400</v>
      </c>
      <c r="E1194" t="s">
        <v>136</v>
      </c>
      <c r="F1194">
        <v>5000000</v>
      </c>
      <c r="G1194" t="s">
        <v>348</v>
      </c>
      <c r="H1194" t="s">
        <v>155</v>
      </c>
      <c r="I1194" t="s">
        <v>139</v>
      </c>
    </row>
    <row r="1195" spans="1:9" x14ac:dyDescent="0.2">
      <c r="A1195">
        <v>1193</v>
      </c>
      <c r="B1195" t="s">
        <v>2255</v>
      </c>
      <c r="C1195" t="s">
        <v>2256</v>
      </c>
      <c r="D1195" t="s">
        <v>400</v>
      </c>
      <c r="E1195" t="s">
        <v>136</v>
      </c>
      <c r="F1195">
        <v>23000000</v>
      </c>
      <c r="G1195" t="s">
        <v>348</v>
      </c>
      <c r="H1195" t="s">
        <v>155</v>
      </c>
      <c r="I1195" t="s">
        <v>139</v>
      </c>
    </row>
    <row r="1196" spans="1:9" x14ac:dyDescent="0.2">
      <c r="A1196">
        <v>1194</v>
      </c>
      <c r="B1196" t="s">
        <v>3549</v>
      </c>
      <c r="C1196" t="s">
        <v>3550</v>
      </c>
      <c r="D1196" t="s">
        <v>166</v>
      </c>
      <c r="E1196" t="s">
        <v>136</v>
      </c>
      <c r="F1196">
        <v>78573095</v>
      </c>
      <c r="G1196" t="s">
        <v>166</v>
      </c>
      <c r="H1196" t="s">
        <v>166</v>
      </c>
      <c r="I1196" t="s">
        <v>160</v>
      </c>
    </row>
    <row r="1197" spans="1:9" x14ac:dyDescent="0.2">
      <c r="A1197">
        <v>1195</v>
      </c>
      <c r="B1197" t="s">
        <v>2257</v>
      </c>
      <c r="C1197" t="s">
        <v>2258</v>
      </c>
      <c r="D1197" t="s">
        <v>237</v>
      </c>
      <c r="E1197" t="s">
        <v>167</v>
      </c>
      <c r="F1197">
        <v>9791945</v>
      </c>
      <c r="G1197" t="s">
        <v>154</v>
      </c>
      <c r="H1197" t="s">
        <v>155</v>
      </c>
      <c r="I1197" t="s">
        <v>139</v>
      </c>
    </row>
    <row r="1198" spans="1:9" x14ac:dyDescent="0.2">
      <c r="A1198">
        <v>1196</v>
      </c>
      <c r="B1198" t="s">
        <v>2259</v>
      </c>
      <c r="C1198" t="s">
        <v>2260</v>
      </c>
      <c r="D1198" t="s">
        <v>330</v>
      </c>
      <c r="E1198" t="s">
        <v>143</v>
      </c>
      <c r="F1198">
        <v>20352836</v>
      </c>
      <c r="G1198" t="s">
        <v>330</v>
      </c>
      <c r="H1198" t="s">
        <v>312</v>
      </c>
      <c r="I1198" t="s">
        <v>313</v>
      </c>
    </row>
    <row r="1199" spans="1:9" x14ac:dyDescent="0.2">
      <c r="A1199">
        <v>1197</v>
      </c>
      <c r="B1199" t="s">
        <v>2261</v>
      </c>
      <c r="C1199" t="s">
        <v>2262</v>
      </c>
      <c r="D1199" t="s">
        <v>347</v>
      </c>
      <c r="E1199" t="s">
        <v>143</v>
      </c>
      <c r="F1199">
        <v>29846648</v>
      </c>
      <c r="G1199" t="s">
        <v>348</v>
      </c>
      <c r="H1199" t="s">
        <v>155</v>
      </c>
      <c r="I1199" t="s">
        <v>139</v>
      </c>
    </row>
    <row r="1200" spans="1:9" x14ac:dyDescent="0.2">
      <c r="A1200">
        <v>1198</v>
      </c>
      <c r="B1200" t="s">
        <v>2263</v>
      </c>
      <c r="C1200" t="s">
        <v>2264</v>
      </c>
      <c r="D1200" t="s">
        <v>355</v>
      </c>
      <c r="E1200" t="s">
        <v>143</v>
      </c>
      <c r="F1200">
        <v>73678587</v>
      </c>
      <c r="G1200" t="s">
        <v>356</v>
      </c>
      <c r="H1200" t="s">
        <v>150</v>
      </c>
      <c r="I1200" t="s">
        <v>145</v>
      </c>
    </row>
    <row r="1201" spans="1:9" x14ac:dyDescent="0.2">
      <c r="A1201">
        <v>1199</v>
      </c>
      <c r="B1201" t="s">
        <v>2265</v>
      </c>
      <c r="C1201" t="s">
        <v>2266</v>
      </c>
      <c r="D1201" t="s">
        <v>215</v>
      </c>
      <c r="E1201" t="s">
        <v>167</v>
      </c>
      <c r="F1201">
        <v>4405000</v>
      </c>
      <c r="G1201" t="s">
        <v>216</v>
      </c>
      <c r="H1201" t="s">
        <v>216</v>
      </c>
      <c r="I1201" t="s">
        <v>217</v>
      </c>
    </row>
    <row r="1202" spans="1:9" x14ac:dyDescent="0.2">
      <c r="A1202">
        <v>1200</v>
      </c>
      <c r="B1202" t="s">
        <v>2267</v>
      </c>
      <c r="C1202" t="s">
        <v>2268</v>
      </c>
      <c r="D1202" t="s">
        <v>652</v>
      </c>
      <c r="E1202" t="s">
        <v>167</v>
      </c>
      <c r="F1202">
        <v>5467432</v>
      </c>
      <c r="G1202" t="s">
        <v>653</v>
      </c>
      <c r="H1202" t="s">
        <v>654</v>
      </c>
      <c r="I1202" t="s">
        <v>654</v>
      </c>
    </row>
    <row r="1203" spans="1:9" x14ac:dyDescent="0.2">
      <c r="A1203">
        <v>1201</v>
      </c>
      <c r="B1203" t="s">
        <v>2269</v>
      </c>
      <c r="C1203" t="s">
        <v>2270</v>
      </c>
      <c r="D1203" t="s">
        <v>153</v>
      </c>
      <c r="E1203" t="s">
        <v>136</v>
      </c>
      <c r="F1203">
        <v>5000000</v>
      </c>
      <c r="G1203" t="s">
        <v>154</v>
      </c>
      <c r="H1203" t="s">
        <v>155</v>
      </c>
      <c r="I1203" t="s">
        <v>139</v>
      </c>
    </row>
    <row r="1204" spans="1:9" x14ac:dyDescent="0.2">
      <c r="A1204">
        <v>1202</v>
      </c>
      <c r="B1204" t="s">
        <v>3551</v>
      </c>
      <c r="C1204" t="s">
        <v>2271</v>
      </c>
      <c r="D1204" t="s">
        <v>208</v>
      </c>
      <c r="E1204" t="s">
        <v>136</v>
      </c>
      <c r="F1204">
        <v>376500000</v>
      </c>
      <c r="G1204" t="s">
        <v>195</v>
      </c>
      <c r="H1204" t="s">
        <v>195</v>
      </c>
      <c r="I1204" t="s">
        <v>184</v>
      </c>
    </row>
    <row r="1205" spans="1:9" x14ac:dyDescent="0.2">
      <c r="A1205">
        <v>1203</v>
      </c>
      <c r="B1205" t="s">
        <v>2272</v>
      </c>
      <c r="C1205" t="s">
        <v>2273</v>
      </c>
      <c r="D1205" t="s">
        <v>330</v>
      </c>
      <c r="E1205" t="s">
        <v>136</v>
      </c>
      <c r="F1205">
        <v>20746000</v>
      </c>
      <c r="G1205" t="s">
        <v>330</v>
      </c>
      <c r="H1205" t="s">
        <v>312</v>
      </c>
      <c r="I1205" t="s">
        <v>313</v>
      </c>
    </row>
    <row r="1206" spans="1:9" x14ac:dyDescent="0.2">
      <c r="A1206">
        <v>1204</v>
      </c>
      <c r="B1206" t="s">
        <v>2274</v>
      </c>
      <c r="C1206" t="s">
        <v>2275</v>
      </c>
      <c r="D1206" t="s">
        <v>163</v>
      </c>
      <c r="E1206" t="s">
        <v>136</v>
      </c>
      <c r="F1206">
        <v>13300087</v>
      </c>
      <c r="G1206" t="s">
        <v>137</v>
      </c>
      <c r="H1206" t="s">
        <v>138</v>
      </c>
      <c r="I1206" t="s">
        <v>139</v>
      </c>
    </row>
    <row r="1207" spans="1:9" x14ac:dyDescent="0.2">
      <c r="A1207">
        <v>1205</v>
      </c>
      <c r="B1207" t="s">
        <v>2276</v>
      </c>
      <c r="C1207" t="s">
        <v>2277</v>
      </c>
      <c r="D1207" t="s">
        <v>293</v>
      </c>
      <c r="E1207" t="s">
        <v>167</v>
      </c>
      <c r="F1207">
        <v>10530000</v>
      </c>
      <c r="G1207" t="s">
        <v>144</v>
      </c>
      <c r="H1207" t="s">
        <v>144</v>
      </c>
      <c r="I1207" t="s">
        <v>145</v>
      </c>
    </row>
    <row r="1208" spans="1:9" x14ac:dyDescent="0.2">
      <c r="A1208">
        <v>1206</v>
      </c>
      <c r="B1208" t="s">
        <v>2278</v>
      </c>
      <c r="C1208" t="s">
        <v>2279</v>
      </c>
      <c r="D1208" t="s">
        <v>153</v>
      </c>
      <c r="E1208" t="s">
        <v>136</v>
      </c>
      <c r="F1208">
        <v>12000000</v>
      </c>
      <c r="G1208" t="s">
        <v>154</v>
      </c>
      <c r="H1208" t="s">
        <v>155</v>
      </c>
      <c r="I1208" t="s">
        <v>139</v>
      </c>
    </row>
    <row r="1209" spans="1:9" x14ac:dyDescent="0.2">
      <c r="A1209">
        <v>1207</v>
      </c>
      <c r="B1209" t="s">
        <v>2280</v>
      </c>
      <c r="C1209" t="s">
        <v>2281</v>
      </c>
      <c r="D1209" t="s">
        <v>153</v>
      </c>
      <c r="E1209" t="s">
        <v>136</v>
      </c>
      <c r="F1209">
        <v>10000000</v>
      </c>
      <c r="G1209" t="s">
        <v>154</v>
      </c>
      <c r="H1209" t="s">
        <v>155</v>
      </c>
      <c r="I1209" t="s">
        <v>139</v>
      </c>
    </row>
    <row r="1210" spans="1:9" x14ac:dyDescent="0.2">
      <c r="A1210">
        <v>1208</v>
      </c>
      <c r="B1210" t="s">
        <v>2282</v>
      </c>
      <c r="C1210" t="s">
        <v>2283</v>
      </c>
      <c r="D1210" t="s">
        <v>149</v>
      </c>
      <c r="E1210" t="s">
        <v>136</v>
      </c>
      <c r="F1210">
        <v>16815000</v>
      </c>
      <c r="G1210" t="s">
        <v>149</v>
      </c>
      <c r="H1210" t="s">
        <v>150</v>
      </c>
      <c r="I1210" t="s">
        <v>145</v>
      </c>
    </row>
    <row r="1211" spans="1:9" x14ac:dyDescent="0.2">
      <c r="A1211">
        <v>1209</v>
      </c>
      <c r="B1211" t="s">
        <v>2284</v>
      </c>
      <c r="C1211" t="s">
        <v>2285</v>
      </c>
      <c r="D1211" t="s">
        <v>240</v>
      </c>
      <c r="E1211" t="s">
        <v>143</v>
      </c>
      <c r="F1211">
        <v>14000000</v>
      </c>
      <c r="G1211" t="s">
        <v>240</v>
      </c>
      <c r="H1211" t="s">
        <v>241</v>
      </c>
      <c r="I1211" t="s">
        <v>242</v>
      </c>
    </row>
    <row r="1212" spans="1:9" x14ac:dyDescent="0.2">
      <c r="A1212">
        <v>1210</v>
      </c>
      <c r="B1212" t="s">
        <v>2286</v>
      </c>
      <c r="C1212" t="s">
        <v>2287</v>
      </c>
      <c r="D1212" t="s">
        <v>153</v>
      </c>
      <c r="E1212" t="s">
        <v>136</v>
      </c>
      <c r="F1212">
        <v>10800000</v>
      </c>
      <c r="G1212" t="s">
        <v>154</v>
      </c>
      <c r="H1212" t="s">
        <v>155</v>
      </c>
      <c r="I1212" t="s">
        <v>139</v>
      </c>
    </row>
    <row r="1213" spans="1:9" x14ac:dyDescent="0.2">
      <c r="A1213">
        <v>1211</v>
      </c>
      <c r="B1213" t="s">
        <v>2288</v>
      </c>
      <c r="C1213" t="s">
        <v>2289</v>
      </c>
      <c r="D1213" t="s">
        <v>149</v>
      </c>
      <c r="E1213" t="s">
        <v>136</v>
      </c>
      <c r="F1213">
        <v>110000000</v>
      </c>
      <c r="G1213" t="s">
        <v>149</v>
      </c>
      <c r="H1213" t="s">
        <v>150</v>
      </c>
      <c r="I1213" t="s">
        <v>145</v>
      </c>
    </row>
    <row r="1214" spans="1:9" x14ac:dyDescent="0.2">
      <c r="A1214">
        <v>1212</v>
      </c>
      <c r="B1214" t="s">
        <v>2290</v>
      </c>
      <c r="C1214" t="s">
        <v>2291</v>
      </c>
      <c r="D1214" t="s">
        <v>690</v>
      </c>
      <c r="E1214" t="s">
        <v>167</v>
      </c>
      <c r="F1214">
        <v>43199974</v>
      </c>
      <c r="G1214" t="s">
        <v>679</v>
      </c>
      <c r="H1214" t="s">
        <v>654</v>
      </c>
      <c r="I1214" t="s">
        <v>654</v>
      </c>
    </row>
    <row r="1215" spans="1:9" x14ac:dyDescent="0.2">
      <c r="A1215">
        <v>1213</v>
      </c>
      <c r="B1215" t="s">
        <v>2292</v>
      </c>
      <c r="C1215" t="s">
        <v>2293</v>
      </c>
      <c r="D1215" t="s">
        <v>690</v>
      </c>
      <c r="E1215" t="s">
        <v>136</v>
      </c>
      <c r="F1215">
        <v>8500000</v>
      </c>
      <c r="G1215" t="s">
        <v>679</v>
      </c>
      <c r="H1215" t="s">
        <v>654</v>
      </c>
      <c r="I1215" t="s">
        <v>654</v>
      </c>
    </row>
    <row r="1216" spans="1:9" x14ac:dyDescent="0.2">
      <c r="A1216">
        <v>1214</v>
      </c>
      <c r="B1216" t="s">
        <v>2294</v>
      </c>
      <c r="C1216" t="s">
        <v>2295</v>
      </c>
      <c r="D1216" t="s">
        <v>724</v>
      </c>
      <c r="E1216" t="s">
        <v>143</v>
      </c>
      <c r="F1216">
        <v>28065765</v>
      </c>
      <c r="G1216" t="s">
        <v>672</v>
      </c>
      <c r="H1216" t="s">
        <v>672</v>
      </c>
      <c r="I1216" t="s">
        <v>139</v>
      </c>
    </row>
    <row r="1217" spans="1:9" x14ac:dyDescent="0.2">
      <c r="A1217">
        <v>1215</v>
      </c>
      <c r="B1217" t="s">
        <v>2296</v>
      </c>
      <c r="C1217" t="s">
        <v>2297</v>
      </c>
      <c r="D1217" t="s">
        <v>289</v>
      </c>
      <c r="E1217" t="s">
        <v>143</v>
      </c>
      <c r="F1217">
        <v>35566780</v>
      </c>
      <c r="G1217" t="s">
        <v>290</v>
      </c>
      <c r="H1217" t="s">
        <v>183</v>
      </c>
      <c r="I1217" t="s">
        <v>184</v>
      </c>
    </row>
    <row r="1218" spans="1:9" x14ac:dyDescent="0.2">
      <c r="A1218">
        <v>1216</v>
      </c>
      <c r="B1218" t="s">
        <v>2298</v>
      </c>
      <c r="C1218" t="s">
        <v>2299</v>
      </c>
      <c r="D1218" t="s">
        <v>170</v>
      </c>
      <c r="E1218" t="s">
        <v>143</v>
      </c>
      <c r="F1218">
        <v>2845000000</v>
      </c>
      <c r="G1218" t="s">
        <v>170</v>
      </c>
      <c r="H1218" t="s">
        <v>170</v>
      </c>
      <c r="I1218" t="s">
        <v>170</v>
      </c>
    </row>
    <row r="1219" spans="1:9" x14ac:dyDescent="0.2">
      <c r="A1219">
        <v>1217</v>
      </c>
      <c r="B1219" t="s">
        <v>2300</v>
      </c>
      <c r="C1219" t="s">
        <v>2301</v>
      </c>
      <c r="D1219" t="s">
        <v>153</v>
      </c>
      <c r="E1219" t="s">
        <v>143</v>
      </c>
      <c r="F1219">
        <v>14992367</v>
      </c>
      <c r="G1219" t="s">
        <v>154</v>
      </c>
      <c r="H1219" t="s">
        <v>155</v>
      </c>
      <c r="I1219" t="s">
        <v>139</v>
      </c>
    </row>
    <row r="1220" spans="1:9" x14ac:dyDescent="0.2">
      <c r="A1220">
        <v>1218</v>
      </c>
      <c r="B1220" t="s">
        <v>2302</v>
      </c>
      <c r="C1220" t="s">
        <v>2303</v>
      </c>
      <c r="D1220" t="s">
        <v>135</v>
      </c>
      <c r="E1220" t="s">
        <v>136</v>
      </c>
      <c r="F1220">
        <v>3200000</v>
      </c>
      <c r="G1220" t="s">
        <v>137</v>
      </c>
      <c r="H1220" t="s">
        <v>138</v>
      </c>
      <c r="I1220" t="s">
        <v>139</v>
      </c>
    </row>
    <row r="1221" spans="1:9" x14ac:dyDescent="0.2">
      <c r="A1221">
        <v>1219</v>
      </c>
      <c r="B1221" t="s">
        <v>3552</v>
      </c>
      <c r="C1221" t="s">
        <v>2304</v>
      </c>
      <c r="D1221" t="s">
        <v>806</v>
      </c>
      <c r="E1221" t="s">
        <v>136</v>
      </c>
      <c r="F1221">
        <v>5000000</v>
      </c>
      <c r="G1221" t="s">
        <v>212</v>
      </c>
      <c r="H1221" t="s">
        <v>183</v>
      </c>
      <c r="I1221" t="s">
        <v>184</v>
      </c>
    </row>
    <row r="1222" spans="1:9" x14ac:dyDescent="0.2">
      <c r="A1222">
        <v>1220</v>
      </c>
      <c r="B1222" t="s">
        <v>2305</v>
      </c>
      <c r="C1222" t="s">
        <v>2306</v>
      </c>
      <c r="D1222" t="s">
        <v>166</v>
      </c>
      <c r="E1222" t="s">
        <v>136</v>
      </c>
      <c r="F1222">
        <v>375000000</v>
      </c>
      <c r="G1222" t="s">
        <v>166</v>
      </c>
      <c r="H1222" t="s">
        <v>166</v>
      </c>
      <c r="I1222" t="s">
        <v>160</v>
      </c>
    </row>
    <row r="1223" spans="1:9" x14ac:dyDescent="0.2">
      <c r="A1223">
        <v>1221</v>
      </c>
      <c r="B1223" t="s">
        <v>106</v>
      </c>
      <c r="C1223" t="s">
        <v>2307</v>
      </c>
      <c r="D1223" t="s">
        <v>158</v>
      </c>
      <c r="E1223" t="s">
        <v>143</v>
      </c>
      <c r="F1223">
        <v>1973863918</v>
      </c>
      <c r="G1223" t="s">
        <v>159</v>
      </c>
      <c r="H1223" t="s">
        <v>159</v>
      </c>
      <c r="I1223" t="s">
        <v>160</v>
      </c>
    </row>
    <row r="1224" spans="1:9" x14ac:dyDescent="0.2">
      <c r="A1224">
        <v>1222</v>
      </c>
      <c r="B1224" t="s">
        <v>2308</v>
      </c>
      <c r="C1224" t="s">
        <v>2309</v>
      </c>
      <c r="D1224" t="s">
        <v>355</v>
      </c>
      <c r="E1224" t="s">
        <v>167</v>
      </c>
      <c r="F1224">
        <v>5501024</v>
      </c>
      <c r="G1224" t="s">
        <v>356</v>
      </c>
      <c r="H1224" t="s">
        <v>150</v>
      </c>
      <c r="I1224" t="s">
        <v>145</v>
      </c>
    </row>
    <row r="1225" spans="1:9" x14ac:dyDescent="0.2">
      <c r="A1225">
        <v>1223</v>
      </c>
      <c r="B1225" t="s">
        <v>2310</v>
      </c>
      <c r="C1225" t="s">
        <v>2311</v>
      </c>
      <c r="D1225" t="s">
        <v>153</v>
      </c>
      <c r="E1225" t="s">
        <v>136</v>
      </c>
      <c r="F1225">
        <v>39600000</v>
      </c>
      <c r="G1225" t="s">
        <v>154</v>
      </c>
      <c r="H1225" t="s">
        <v>155</v>
      </c>
      <c r="I1225" t="s">
        <v>139</v>
      </c>
    </row>
    <row r="1226" spans="1:9" x14ac:dyDescent="0.2">
      <c r="A1226">
        <v>1224</v>
      </c>
      <c r="B1226" t="s">
        <v>2312</v>
      </c>
      <c r="C1226" t="s">
        <v>2313</v>
      </c>
      <c r="D1226" t="s">
        <v>2314</v>
      </c>
      <c r="E1226" t="s">
        <v>143</v>
      </c>
      <c r="F1226">
        <v>25720902</v>
      </c>
      <c r="G1226" t="s">
        <v>653</v>
      </c>
      <c r="H1226" t="s">
        <v>654</v>
      </c>
      <c r="I1226" t="s">
        <v>654</v>
      </c>
    </row>
    <row r="1227" spans="1:9" x14ac:dyDescent="0.2">
      <c r="A1227">
        <v>1225</v>
      </c>
      <c r="B1227" t="s">
        <v>2315</v>
      </c>
      <c r="C1227" t="s">
        <v>2316</v>
      </c>
      <c r="D1227" t="s">
        <v>170</v>
      </c>
      <c r="E1227" t="s">
        <v>143</v>
      </c>
      <c r="F1227">
        <v>1885215716</v>
      </c>
      <c r="G1227" t="s">
        <v>170</v>
      </c>
      <c r="H1227" t="s">
        <v>170</v>
      </c>
      <c r="I1227" t="s">
        <v>170</v>
      </c>
    </row>
    <row r="1228" spans="1:9" x14ac:dyDescent="0.2">
      <c r="A1228">
        <v>1226</v>
      </c>
      <c r="B1228" t="s">
        <v>2317</v>
      </c>
      <c r="C1228" t="s">
        <v>2318</v>
      </c>
      <c r="D1228" t="s">
        <v>215</v>
      </c>
      <c r="E1228" t="s">
        <v>167</v>
      </c>
      <c r="F1228">
        <v>5665530</v>
      </c>
      <c r="G1228" t="s">
        <v>216</v>
      </c>
      <c r="H1228" t="s">
        <v>216</v>
      </c>
      <c r="I1228" t="s">
        <v>217</v>
      </c>
    </row>
    <row r="1229" spans="1:9" x14ac:dyDescent="0.2">
      <c r="A1229">
        <v>1227</v>
      </c>
      <c r="B1229" t="s">
        <v>3553</v>
      </c>
      <c r="C1229" t="s">
        <v>2319</v>
      </c>
      <c r="D1229" t="s">
        <v>211</v>
      </c>
      <c r="E1229" t="s">
        <v>143</v>
      </c>
      <c r="F1229">
        <v>98253357</v>
      </c>
      <c r="G1229" t="s">
        <v>212</v>
      </c>
      <c r="H1229" t="s">
        <v>183</v>
      </c>
      <c r="I1229" t="s">
        <v>184</v>
      </c>
    </row>
    <row r="1230" spans="1:9" x14ac:dyDescent="0.2">
      <c r="A1230">
        <v>1228</v>
      </c>
      <c r="B1230" t="s">
        <v>2320</v>
      </c>
      <c r="C1230" t="s">
        <v>2321</v>
      </c>
      <c r="D1230" t="s">
        <v>215</v>
      </c>
      <c r="E1230" t="s">
        <v>136</v>
      </c>
      <c r="F1230">
        <v>19500000</v>
      </c>
      <c r="G1230" t="s">
        <v>216</v>
      </c>
      <c r="H1230" t="s">
        <v>216</v>
      </c>
      <c r="I1230" t="s">
        <v>217</v>
      </c>
    </row>
    <row r="1231" spans="1:9" x14ac:dyDescent="0.2">
      <c r="A1231">
        <v>1229</v>
      </c>
      <c r="B1231" t="s">
        <v>2322</v>
      </c>
      <c r="C1231" t="s">
        <v>2323</v>
      </c>
      <c r="D1231" t="s">
        <v>163</v>
      </c>
      <c r="E1231" t="s">
        <v>143</v>
      </c>
      <c r="F1231">
        <v>96636924</v>
      </c>
      <c r="G1231" t="s">
        <v>137</v>
      </c>
      <c r="H1231" t="s">
        <v>138</v>
      </c>
      <c r="I1231" t="s">
        <v>139</v>
      </c>
    </row>
    <row r="1232" spans="1:9" x14ac:dyDescent="0.2">
      <c r="A1232">
        <v>1230</v>
      </c>
      <c r="B1232" t="s">
        <v>2324</v>
      </c>
      <c r="C1232" t="s">
        <v>2325</v>
      </c>
      <c r="D1232" t="s">
        <v>166</v>
      </c>
      <c r="E1232" t="s">
        <v>136</v>
      </c>
      <c r="F1232">
        <v>15000000</v>
      </c>
      <c r="G1232" t="s">
        <v>166</v>
      </c>
      <c r="H1232" t="s">
        <v>166</v>
      </c>
      <c r="I1232" t="s">
        <v>160</v>
      </c>
    </row>
    <row r="1233" spans="1:9" x14ac:dyDescent="0.2">
      <c r="A1233">
        <v>1231</v>
      </c>
      <c r="B1233" t="s">
        <v>3554</v>
      </c>
      <c r="C1233" t="s">
        <v>2326</v>
      </c>
      <c r="D1233" t="s">
        <v>283</v>
      </c>
      <c r="E1233" t="s">
        <v>167</v>
      </c>
      <c r="F1233">
        <v>8045744</v>
      </c>
      <c r="G1233" t="s">
        <v>284</v>
      </c>
      <c r="H1233" t="s">
        <v>183</v>
      </c>
      <c r="I1233" t="s">
        <v>184</v>
      </c>
    </row>
    <row r="1234" spans="1:9" x14ac:dyDescent="0.2">
      <c r="A1234">
        <v>1232</v>
      </c>
      <c r="B1234" t="s">
        <v>3555</v>
      </c>
      <c r="C1234" t="s">
        <v>2327</v>
      </c>
      <c r="D1234" t="s">
        <v>882</v>
      </c>
      <c r="E1234" t="s">
        <v>136</v>
      </c>
      <c r="F1234">
        <v>2768221</v>
      </c>
      <c r="G1234" t="s">
        <v>212</v>
      </c>
      <c r="H1234" t="s">
        <v>183</v>
      </c>
      <c r="I1234" t="s">
        <v>184</v>
      </c>
    </row>
    <row r="1235" spans="1:9" x14ac:dyDescent="0.2">
      <c r="A1235">
        <v>1233</v>
      </c>
      <c r="B1235" t="s">
        <v>2328</v>
      </c>
      <c r="C1235" t="s">
        <v>2329</v>
      </c>
      <c r="D1235" t="s">
        <v>430</v>
      </c>
      <c r="E1235" t="s">
        <v>136</v>
      </c>
      <c r="F1235">
        <v>8000000</v>
      </c>
      <c r="G1235" t="s">
        <v>326</v>
      </c>
      <c r="H1235" t="s">
        <v>327</v>
      </c>
      <c r="I1235" t="s">
        <v>217</v>
      </c>
    </row>
    <row r="1236" spans="1:9" x14ac:dyDescent="0.2">
      <c r="A1236">
        <v>1234</v>
      </c>
      <c r="B1236" t="s">
        <v>2330</v>
      </c>
      <c r="C1236" t="s">
        <v>2331</v>
      </c>
      <c r="D1236" t="s">
        <v>383</v>
      </c>
      <c r="E1236" t="s">
        <v>136</v>
      </c>
      <c r="F1236">
        <v>15863133</v>
      </c>
      <c r="G1236" t="s">
        <v>311</v>
      </c>
      <c r="H1236" t="s">
        <v>312</v>
      </c>
      <c r="I1236" t="s">
        <v>313</v>
      </c>
    </row>
    <row r="1237" spans="1:9" x14ac:dyDescent="0.2">
      <c r="A1237">
        <v>1235</v>
      </c>
      <c r="B1237" t="s">
        <v>2332</v>
      </c>
      <c r="C1237" t="s">
        <v>2333</v>
      </c>
      <c r="D1237" t="s">
        <v>671</v>
      </c>
      <c r="E1237" t="s">
        <v>143</v>
      </c>
      <c r="F1237">
        <v>66630564</v>
      </c>
      <c r="G1237" t="s">
        <v>672</v>
      </c>
      <c r="H1237" t="s">
        <v>672</v>
      </c>
      <c r="I1237" t="s">
        <v>139</v>
      </c>
    </row>
    <row r="1238" spans="1:9" x14ac:dyDescent="0.2">
      <c r="A1238">
        <v>1236</v>
      </c>
      <c r="B1238" t="s">
        <v>2334</v>
      </c>
      <c r="C1238" t="s">
        <v>2335</v>
      </c>
      <c r="D1238" t="s">
        <v>163</v>
      </c>
      <c r="E1238" t="s">
        <v>143</v>
      </c>
      <c r="F1238">
        <v>27605908</v>
      </c>
      <c r="G1238" t="s">
        <v>137</v>
      </c>
      <c r="H1238" t="s">
        <v>138</v>
      </c>
      <c r="I1238" t="s">
        <v>139</v>
      </c>
    </row>
    <row r="1239" spans="1:9" x14ac:dyDescent="0.2">
      <c r="A1239">
        <v>1237</v>
      </c>
      <c r="B1239" t="s">
        <v>3556</v>
      </c>
      <c r="C1239" t="s">
        <v>2336</v>
      </c>
      <c r="D1239" t="s">
        <v>2064</v>
      </c>
      <c r="E1239" t="s">
        <v>136</v>
      </c>
      <c r="F1239">
        <v>29350000</v>
      </c>
      <c r="G1239" t="s">
        <v>284</v>
      </c>
      <c r="H1239" t="s">
        <v>183</v>
      </c>
      <c r="I1239" t="s">
        <v>184</v>
      </c>
    </row>
    <row r="1240" spans="1:9" x14ac:dyDescent="0.2">
      <c r="A1240">
        <v>1238</v>
      </c>
      <c r="B1240" t="s">
        <v>2337</v>
      </c>
      <c r="C1240" t="s">
        <v>2338</v>
      </c>
      <c r="D1240" t="s">
        <v>330</v>
      </c>
      <c r="E1240" t="s">
        <v>136</v>
      </c>
      <c r="F1240">
        <v>14820662</v>
      </c>
      <c r="G1240" t="s">
        <v>330</v>
      </c>
      <c r="H1240" t="s">
        <v>312</v>
      </c>
      <c r="I1240" t="s">
        <v>313</v>
      </c>
    </row>
    <row r="1241" spans="1:9" x14ac:dyDescent="0.2">
      <c r="A1241">
        <v>1239</v>
      </c>
      <c r="B1241" t="s">
        <v>3557</v>
      </c>
      <c r="C1241" t="s">
        <v>2339</v>
      </c>
      <c r="D1241" t="s">
        <v>283</v>
      </c>
      <c r="E1241" t="s">
        <v>143</v>
      </c>
      <c r="F1241">
        <v>12832437</v>
      </c>
      <c r="G1241" t="s">
        <v>284</v>
      </c>
      <c r="H1241" t="s">
        <v>183</v>
      </c>
      <c r="I1241" t="s">
        <v>184</v>
      </c>
    </row>
    <row r="1242" spans="1:9" x14ac:dyDescent="0.2">
      <c r="A1242">
        <v>1240</v>
      </c>
      <c r="B1242" t="s">
        <v>3558</v>
      </c>
      <c r="C1242" t="s">
        <v>2340</v>
      </c>
      <c r="D1242" t="s">
        <v>208</v>
      </c>
      <c r="E1242" t="s">
        <v>167</v>
      </c>
      <c r="F1242">
        <v>21000000</v>
      </c>
      <c r="G1242" t="s">
        <v>195</v>
      </c>
      <c r="H1242" t="s">
        <v>195</v>
      </c>
      <c r="I1242" t="s">
        <v>184</v>
      </c>
    </row>
    <row r="1243" spans="1:9" x14ac:dyDescent="0.2">
      <c r="A1243">
        <v>1241</v>
      </c>
      <c r="B1243" t="s">
        <v>2341</v>
      </c>
      <c r="C1243" t="s">
        <v>2342</v>
      </c>
      <c r="D1243" t="s">
        <v>713</v>
      </c>
      <c r="E1243" t="s">
        <v>143</v>
      </c>
      <c r="F1243">
        <v>17310978</v>
      </c>
      <c r="G1243" t="s">
        <v>229</v>
      </c>
      <c r="H1243" t="s">
        <v>229</v>
      </c>
      <c r="I1243" t="s">
        <v>217</v>
      </c>
    </row>
    <row r="1244" spans="1:9" x14ac:dyDescent="0.2">
      <c r="A1244">
        <v>1242</v>
      </c>
      <c r="B1244" t="s">
        <v>3162</v>
      </c>
      <c r="C1244" t="s">
        <v>2343</v>
      </c>
      <c r="D1244" t="s">
        <v>806</v>
      </c>
      <c r="E1244" t="s">
        <v>136</v>
      </c>
      <c r="F1244">
        <v>67100000</v>
      </c>
      <c r="G1244" t="s">
        <v>212</v>
      </c>
      <c r="H1244" t="s">
        <v>183</v>
      </c>
      <c r="I1244" t="s">
        <v>184</v>
      </c>
    </row>
    <row r="1245" spans="1:9" x14ac:dyDescent="0.2">
      <c r="A1245">
        <v>1243</v>
      </c>
      <c r="B1245" t="s">
        <v>2344</v>
      </c>
      <c r="C1245" t="s">
        <v>2345</v>
      </c>
      <c r="D1245" t="s">
        <v>166</v>
      </c>
      <c r="E1245" t="s">
        <v>167</v>
      </c>
      <c r="F1245">
        <v>30000000</v>
      </c>
      <c r="G1245" t="s">
        <v>166</v>
      </c>
      <c r="H1245" t="s">
        <v>166</v>
      </c>
      <c r="I1245" t="s">
        <v>160</v>
      </c>
    </row>
    <row r="1246" spans="1:9" x14ac:dyDescent="0.2">
      <c r="A1246">
        <v>1244</v>
      </c>
      <c r="B1246" t="s">
        <v>2346</v>
      </c>
      <c r="C1246" t="s">
        <v>2347</v>
      </c>
      <c r="D1246" t="s">
        <v>166</v>
      </c>
      <c r="E1246" t="s">
        <v>143</v>
      </c>
      <c r="F1246">
        <v>179985863</v>
      </c>
      <c r="G1246" t="s">
        <v>166</v>
      </c>
      <c r="H1246" t="s">
        <v>166</v>
      </c>
      <c r="I1246" t="s">
        <v>160</v>
      </c>
    </row>
    <row r="1247" spans="1:9" x14ac:dyDescent="0.2">
      <c r="A1247">
        <v>1245</v>
      </c>
      <c r="B1247" t="s">
        <v>3559</v>
      </c>
      <c r="C1247" t="s">
        <v>2348</v>
      </c>
      <c r="D1247" t="s">
        <v>437</v>
      </c>
      <c r="E1247" t="s">
        <v>136</v>
      </c>
      <c r="F1247">
        <v>30000000</v>
      </c>
      <c r="G1247" t="s">
        <v>182</v>
      </c>
      <c r="H1247" t="s">
        <v>183</v>
      </c>
      <c r="I1247" t="s">
        <v>184</v>
      </c>
    </row>
    <row r="1248" spans="1:9" x14ac:dyDescent="0.2">
      <c r="A1248">
        <v>1246</v>
      </c>
      <c r="B1248" t="s">
        <v>3063</v>
      </c>
      <c r="C1248" t="s">
        <v>3064</v>
      </c>
      <c r="D1248" t="s">
        <v>166</v>
      </c>
      <c r="E1248" t="s">
        <v>136</v>
      </c>
      <c r="F1248">
        <v>54898000</v>
      </c>
      <c r="G1248" t="s">
        <v>166</v>
      </c>
      <c r="H1248" t="s">
        <v>166</v>
      </c>
      <c r="I1248" t="s">
        <v>160</v>
      </c>
    </row>
    <row r="1249" spans="1:9" x14ac:dyDescent="0.2">
      <c r="A1249">
        <v>1247</v>
      </c>
      <c r="B1249" t="s">
        <v>3065</v>
      </c>
      <c r="C1249" t="s">
        <v>3066</v>
      </c>
      <c r="D1249" t="s">
        <v>166</v>
      </c>
      <c r="E1249" t="s">
        <v>143</v>
      </c>
      <c r="F1249">
        <v>29114840</v>
      </c>
      <c r="G1249" t="s">
        <v>166</v>
      </c>
      <c r="H1249" t="s">
        <v>166</v>
      </c>
      <c r="I1249" t="s">
        <v>160</v>
      </c>
    </row>
    <row r="1250" spans="1:9" x14ac:dyDescent="0.2">
      <c r="A1250">
        <v>1248</v>
      </c>
      <c r="B1250" t="s">
        <v>3560</v>
      </c>
      <c r="C1250" t="s">
        <v>2349</v>
      </c>
      <c r="D1250" t="s">
        <v>208</v>
      </c>
      <c r="E1250" t="s">
        <v>136</v>
      </c>
      <c r="F1250">
        <v>3000000</v>
      </c>
      <c r="G1250" t="s">
        <v>195</v>
      </c>
      <c r="H1250" t="s">
        <v>195</v>
      </c>
      <c r="I1250" t="s">
        <v>184</v>
      </c>
    </row>
    <row r="1251" spans="1:9" x14ac:dyDescent="0.2">
      <c r="A1251">
        <v>1249</v>
      </c>
      <c r="B1251" t="s">
        <v>3561</v>
      </c>
      <c r="C1251" t="s">
        <v>2350</v>
      </c>
      <c r="D1251" t="s">
        <v>208</v>
      </c>
      <c r="E1251" t="s">
        <v>167</v>
      </c>
      <c r="F1251">
        <v>12419787</v>
      </c>
      <c r="G1251" t="s">
        <v>195</v>
      </c>
      <c r="H1251" t="s">
        <v>195</v>
      </c>
      <c r="I1251" t="s">
        <v>184</v>
      </c>
    </row>
    <row r="1252" spans="1:9" x14ac:dyDescent="0.2">
      <c r="A1252">
        <v>1250</v>
      </c>
      <c r="B1252" t="s">
        <v>3562</v>
      </c>
      <c r="C1252" t="s">
        <v>3563</v>
      </c>
      <c r="D1252" t="s">
        <v>882</v>
      </c>
      <c r="E1252" t="s">
        <v>136</v>
      </c>
      <c r="F1252">
        <v>6500000</v>
      </c>
      <c r="G1252" t="s">
        <v>212</v>
      </c>
      <c r="H1252" t="s">
        <v>183</v>
      </c>
      <c r="I1252" t="s">
        <v>184</v>
      </c>
    </row>
    <row r="1253" spans="1:9" x14ac:dyDescent="0.2">
      <c r="A1253">
        <v>1251</v>
      </c>
      <c r="B1253" t="s">
        <v>2351</v>
      </c>
      <c r="C1253" t="s">
        <v>2352</v>
      </c>
      <c r="D1253" t="s">
        <v>166</v>
      </c>
      <c r="E1253" t="s">
        <v>143</v>
      </c>
      <c r="F1253">
        <v>311850000</v>
      </c>
      <c r="G1253" t="s">
        <v>166</v>
      </c>
      <c r="H1253" t="s">
        <v>166</v>
      </c>
      <c r="I1253" t="s">
        <v>160</v>
      </c>
    </row>
    <row r="1254" spans="1:9" x14ac:dyDescent="0.2">
      <c r="A1254">
        <v>1252</v>
      </c>
      <c r="B1254" t="s">
        <v>2353</v>
      </c>
      <c r="C1254" t="s">
        <v>2354</v>
      </c>
      <c r="D1254" t="s">
        <v>400</v>
      </c>
      <c r="E1254" t="s">
        <v>136</v>
      </c>
      <c r="F1254">
        <v>1613690</v>
      </c>
      <c r="G1254" t="s">
        <v>348</v>
      </c>
      <c r="H1254" t="s">
        <v>155</v>
      </c>
      <c r="I1254" t="s">
        <v>139</v>
      </c>
    </row>
    <row r="1255" spans="1:9" x14ac:dyDescent="0.2">
      <c r="A1255">
        <v>1253</v>
      </c>
      <c r="B1255" t="s">
        <v>2355</v>
      </c>
      <c r="C1255" t="s">
        <v>2356</v>
      </c>
      <c r="D1255" t="s">
        <v>153</v>
      </c>
      <c r="E1255" t="s">
        <v>136</v>
      </c>
      <c r="F1255">
        <v>78319777</v>
      </c>
      <c r="G1255" t="s">
        <v>154</v>
      </c>
      <c r="H1255" t="s">
        <v>155</v>
      </c>
      <c r="I1255" t="s">
        <v>139</v>
      </c>
    </row>
    <row r="1256" spans="1:9" x14ac:dyDescent="0.2">
      <c r="A1256">
        <v>1254</v>
      </c>
      <c r="B1256" t="s">
        <v>2357</v>
      </c>
      <c r="C1256" t="s">
        <v>2358</v>
      </c>
      <c r="D1256" t="s">
        <v>383</v>
      </c>
      <c r="E1256" t="s">
        <v>136</v>
      </c>
      <c r="F1256">
        <v>5000000</v>
      </c>
      <c r="G1256" t="s">
        <v>311</v>
      </c>
      <c r="H1256" t="s">
        <v>312</v>
      </c>
      <c r="I1256" t="s">
        <v>313</v>
      </c>
    </row>
    <row r="1257" spans="1:9" x14ac:dyDescent="0.2">
      <c r="A1257">
        <v>1255</v>
      </c>
      <c r="B1257" t="s">
        <v>3564</v>
      </c>
      <c r="C1257" t="s">
        <v>2359</v>
      </c>
      <c r="D1257" t="s">
        <v>283</v>
      </c>
      <c r="E1257" t="s">
        <v>136</v>
      </c>
      <c r="F1257">
        <v>1250000</v>
      </c>
      <c r="G1257" t="s">
        <v>284</v>
      </c>
      <c r="H1257" t="s">
        <v>183</v>
      </c>
      <c r="I1257" t="s">
        <v>184</v>
      </c>
    </row>
    <row r="1258" spans="1:9" x14ac:dyDescent="0.2">
      <c r="A1258">
        <v>1256</v>
      </c>
      <c r="B1258" t="s">
        <v>2360</v>
      </c>
      <c r="C1258" t="s">
        <v>2361</v>
      </c>
      <c r="D1258" t="s">
        <v>330</v>
      </c>
      <c r="E1258" t="s">
        <v>143</v>
      </c>
      <c r="F1258">
        <v>63500000</v>
      </c>
      <c r="G1258" t="s">
        <v>330</v>
      </c>
      <c r="H1258" t="s">
        <v>312</v>
      </c>
      <c r="I1258" t="s">
        <v>313</v>
      </c>
    </row>
    <row r="1259" spans="1:9" x14ac:dyDescent="0.2">
      <c r="A1259">
        <v>1257</v>
      </c>
      <c r="B1259" t="s">
        <v>3565</v>
      </c>
      <c r="C1259" t="s">
        <v>2362</v>
      </c>
      <c r="D1259" t="s">
        <v>259</v>
      </c>
      <c r="E1259" t="s">
        <v>136</v>
      </c>
      <c r="F1259">
        <v>32486392</v>
      </c>
      <c r="G1259" t="s">
        <v>260</v>
      </c>
      <c r="H1259" t="s">
        <v>183</v>
      </c>
      <c r="I1259" t="s">
        <v>184</v>
      </c>
    </row>
    <row r="1260" spans="1:9" x14ac:dyDescent="0.2">
      <c r="A1260">
        <v>1258</v>
      </c>
      <c r="B1260" t="s">
        <v>3566</v>
      </c>
      <c r="C1260" t="s">
        <v>2363</v>
      </c>
      <c r="D1260" t="s">
        <v>211</v>
      </c>
      <c r="E1260" t="s">
        <v>136</v>
      </c>
      <c r="F1260">
        <v>93117800</v>
      </c>
      <c r="G1260" t="s">
        <v>212</v>
      </c>
      <c r="H1260" t="s">
        <v>183</v>
      </c>
      <c r="I1260" t="s">
        <v>184</v>
      </c>
    </row>
    <row r="1261" spans="1:9" x14ac:dyDescent="0.2">
      <c r="A1261">
        <v>1259</v>
      </c>
      <c r="B1261" t="s">
        <v>2364</v>
      </c>
      <c r="C1261" t="s">
        <v>2365</v>
      </c>
      <c r="D1261" t="s">
        <v>166</v>
      </c>
      <c r="E1261" t="s">
        <v>136</v>
      </c>
      <c r="F1261">
        <v>8060000</v>
      </c>
      <c r="G1261" t="s">
        <v>166</v>
      </c>
      <c r="H1261" t="s">
        <v>166</v>
      </c>
      <c r="I1261" t="s">
        <v>160</v>
      </c>
    </row>
    <row r="1262" spans="1:9" x14ac:dyDescent="0.2">
      <c r="A1262">
        <v>1260</v>
      </c>
      <c r="B1262" t="s">
        <v>2366</v>
      </c>
      <c r="C1262" t="s">
        <v>2367</v>
      </c>
      <c r="D1262" t="s">
        <v>383</v>
      </c>
      <c r="E1262" t="s">
        <v>136</v>
      </c>
      <c r="F1262">
        <v>9850000</v>
      </c>
      <c r="G1262" t="s">
        <v>311</v>
      </c>
      <c r="H1262" t="s">
        <v>312</v>
      </c>
      <c r="I1262" t="s">
        <v>313</v>
      </c>
    </row>
    <row r="1263" spans="1:9" x14ac:dyDescent="0.2">
      <c r="A1263">
        <v>1261</v>
      </c>
      <c r="B1263" t="s">
        <v>3567</v>
      </c>
      <c r="C1263" t="s">
        <v>2368</v>
      </c>
      <c r="D1263" t="s">
        <v>194</v>
      </c>
      <c r="E1263" t="s">
        <v>167</v>
      </c>
      <c r="F1263">
        <v>1510280</v>
      </c>
      <c r="G1263" t="s">
        <v>195</v>
      </c>
      <c r="H1263" t="s">
        <v>195</v>
      </c>
      <c r="I1263" t="s">
        <v>184</v>
      </c>
    </row>
    <row r="1264" spans="1:9" x14ac:dyDescent="0.2">
      <c r="A1264">
        <v>1262</v>
      </c>
      <c r="B1264" t="s">
        <v>111</v>
      </c>
      <c r="C1264" t="s">
        <v>2369</v>
      </c>
      <c r="D1264" t="s">
        <v>170</v>
      </c>
      <c r="E1264" t="s">
        <v>143</v>
      </c>
      <c r="F1264">
        <v>7064851739</v>
      </c>
      <c r="G1264" t="s">
        <v>170</v>
      </c>
      <c r="H1264" t="s">
        <v>170</v>
      </c>
      <c r="I1264" t="s">
        <v>170</v>
      </c>
    </row>
    <row r="1265" spans="1:9" x14ac:dyDescent="0.2">
      <c r="A1265">
        <v>1263</v>
      </c>
      <c r="B1265" t="s">
        <v>3568</v>
      </c>
      <c r="C1265" t="s">
        <v>2370</v>
      </c>
      <c r="D1265" t="s">
        <v>208</v>
      </c>
      <c r="E1265" t="s">
        <v>143</v>
      </c>
      <c r="F1265">
        <v>335820641</v>
      </c>
      <c r="G1265" t="s">
        <v>195</v>
      </c>
      <c r="H1265" t="s">
        <v>195</v>
      </c>
      <c r="I1265" t="s">
        <v>184</v>
      </c>
    </row>
    <row r="1266" spans="1:9" x14ac:dyDescent="0.2">
      <c r="A1266">
        <v>1264</v>
      </c>
      <c r="B1266" t="s">
        <v>2371</v>
      </c>
      <c r="C1266" t="s">
        <v>2372</v>
      </c>
      <c r="D1266" t="s">
        <v>166</v>
      </c>
      <c r="E1266" t="s">
        <v>143</v>
      </c>
      <c r="F1266">
        <v>668215843</v>
      </c>
      <c r="G1266" t="s">
        <v>166</v>
      </c>
      <c r="H1266" t="s">
        <v>166</v>
      </c>
      <c r="I1266" t="s">
        <v>160</v>
      </c>
    </row>
    <row r="1267" spans="1:9" x14ac:dyDescent="0.2">
      <c r="A1267">
        <v>1265</v>
      </c>
      <c r="B1267" t="s">
        <v>2373</v>
      </c>
      <c r="C1267" t="s">
        <v>2374</v>
      </c>
      <c r="D1267" t="s">
        <v>158</v>
      </c>
      <c r="E1267" t="s">
        <v>143</v>
      </c>
      <c r="F1267">
        <v>115620964</v>
      </c>
      <c r="G1267" t="s">
        <v>159</v>
      </c>
      <c r="H1267" t="s">
        <v>159</v>
      </c>
      <c r="I1267" t="s">
        <v>160</v>
      </c>
    </row>
    <row r="1268" spans="1:9" x14ac:dyDescent="0.2">
      <c r="A1268">
        <v>1266</v>
      </c>
      <c r="B1268" t="s">
        <v>2375</v>
      </c>
      <c r="C1268" t="s">
        <v>2376</v>
      </c>
      <c r="D1268" t="s">
        <v>153</v>
      </c>
      <c r="E1268" t="s">
        <v>136</v>
      </c>
      <c r="F1268">
        <v>10000000</v>
      </c>
      <c r="G1268" t="s">
        <v>154</v>
      </c>
      <c r="H1268" t="s">
        <v>155</v>
      </c>
      <c r="I1268" t="s">
        <v>139</v>
      </c>
    </row>
    <row r="1269" spans="1:9" x14ac:dyDescent="0.2">
      <c r="A1269">
        <v>1267</v>
      </c>
      <c r="B1269" t="s">
        <v>3569</v>
      </c>
      <c r="C1269" t="s">
        <v>2377</v>
      </c>
      <c r="D1269" t="s">
        <v>208</v>
      </c>
      <c r="E1269" t="s">
        <v>136</v>
      </c>
      <c r="F1269">
        <v>23850000</v>
      </c>
      <c r="G1269" t="s">
        <v>195</v>
      </c>
      <c r="H1269" t="s">
        <v>195</v>
      </c>
      <c r="I1269" t="s">
        <v>184</v>
      </c>
    </row>
    <row r="1270" spans="1:9" x14ac:dyDescent="0.2">
      <c r="A1270">
        <v>1268</v>
      </c>
      <c r="B1270" t="s">
        <v>2378</v>
      </c>
      <c r="C1270" t="s">
        <v>2379</v>
      </c>
      <c r="D1270" t="s">
        <v>882</v>
      </c>
      <c r="E1270" t="s">
        <v>143</v>
      </c>
      <c r="F1270">
        <v>30158436</v>
      </c>
      <c r="G1270" t="s">
        <v>212</v>
      </c>
      <c r="H1270" t="s">
        <v>183</v>
      </c>
      <c r="I1270" t="s">
        <v>184</v>
      </c>
    </row>
    <row r="1271" spans="1:9" x14ac:dyDescent="0.2">
      <c r="A1271">
        <v>1269</v>
      </c>
      <c r="B1271" t="s">
        <v>2380</v>
      </c>
      <c r="C1271" t="s">
        <v>2381</v>
      </c>
      <c r="D1271" t="s">
        <v>163</v>
      </c>
      <c r="E1271" t="s">
        <v>143</v>
      </c>
      <c r="F1271">
        <v>112139205</v>
      </c>
      <c r="G1271" t="s">
        <v>137</v>
      </c>
      <c r="H1271" t="s">
        <v>138</v>
      </c>
      <c r="I1271" t="s">
        <v>139</v>
      </c>
    </row>
    <row r="1272" spans="1:9" x14ac:dyDescent="0.2">
      <c r="A1272">
        <v>1270</v>
      </c>
      <c r="B1272" t="s">
        <v>3570</v>
      </c>
      <c r="C1272" t="s">
        <v>2382</v>
      </c>
      <c r="D1272" t="s">
        <v>153</v>
      </c>
      <c r="E1272" t="s">
        <v>143</v>
      </c>
      <c r="F1272">
        <v>31320622</v>
      </c>
      <c r="G1272" t="s">
        <v>154</v>
      </c>
      <c r="H1272" t="s">
        <v>155</v>
      </c>
      <c r="I1272" t="s">
        <v>139</v>
      </c>
    </row>
    <row r="1273" spans="1:9" x14ac:dyDescent="0.2">
      <c r="A1273">
        <v>1271</v>
      </c>
      <c r="B1273" t="s">
        <v>3571</v>
      </c>
      <c r="C1273" t="s">
        <v>2383</v>
      </c>
      <c r="D1273" t="s">
        <v>194</v>
      </c>
      <c r="E1273" t="s">
        <v>143</v>
      </c>
      <c r="F1273">
        <v>10373190</v>
      </c>
      <c r="G1273" t="s">
        <v>195</v>
      </c>
      <c r="H1273" t="s">
        <v>195</v>
      </c>
      <c r="I1273" t="s">
        <v>184</v>
      </c>
    </row>
    <row r="1274" spans="1:9" x14ac:dyDescent="0.2">
      <c r="A1274">
        <v>1272</v>
      </c>
      <c r="B1274" t="s">
        <v>2384</v>
      </c>
      <c r="C1274" t="s">
        <v>2385</v>
      </c>
      <c r="D1274" t="s">
        <v>430</v>
      </c>
      <c r="E1274" t="s">
        <v>143</v>
      </c>
      <c r="F1274">
        <v>12788000</v>
      </c>
      <c r="G1274" t="s">
        <v>326</v>
      </c>
      <c r="H1274" t="s">
        <v>327</v>
      </c>
      <c r="I1274" t="s">
        <v>217</v>
      </c>
    </row>
    <row r="1275" spans="1:9" x14ac:dyDescent="0.2">
      <c r="A1275">
        <v>1273</v>
      </c>
      <c r="B1275" t="s">
        <v>3572</v>
      </c>
      <c r="C1275" t="s">
        <v>2386</v>
      </c>
      <c r="D1275" t="s">
        <v>211</v>
      </c>
      <c r="E1275" t="s">
        <v>136</v>
      </c>
      <c r="F1275">
        <v>19991020</v>
      </c>
      <c r="G1275" t="s">
        <v>212</v>
      </c>
      <c r="H1275" t="s">
        <v>183</v>
      </c>
      <c r="I1275" t="s">
        <v>184</v>
      </c>
    </row>
    <row r="1276" spans="1:9" x14ac:dyDescent="0.2">
      <c r="A1276">
        <v>1274</v>
      </c>
      <c r="B1276" t="s">
        <v>3573</v>
      </c>
      <c r="C1276" t="s">
        <v>3574</v>
      </c>
      <c r="D1276" t="s">
        <v>148</v>
      </c>
      <c r="E1276" t="s">
        <v>167</v>
      </c>
      <c r="F1276">
        <v>61935202</v>
      </c>
      <c r="G1276" t="s">
        <v>149</v>
      </c>
      <c r="H1276" t="s">
        <v>150</v>
      </c>
      <c r="I1276" t="s">
        <v>145</v>
      </c>
    </row>
    <row r="1277" spans="1:9" x14ac:dyDescent="0.2">
      <c r="A1277">
        <v>1275</v>
      </c>
      <c r="B1277" t="s">
        <v>2387</v>
      </c>
      <c r="C1277" t="s">
        <v>2388</v>
      </c>
      <c r="D1277" t="s">
        <v>330</v>
      </c>
      <c r="E1277" t="s">
        <v>136</v>
      </c>
      <c r="F1277">
        <v>8230000</v>
      </c>
      <c r="G1277" t="s">
        <v>330</v>
      </c>
      <c r="H1277" t="s">
        <v>312</v>
      </c>
      <c r="I1277" t="s">
        <v>313</v>
      </c>
    </row>
    <row r="1278" spans="1:9" x14ac:dyDescent="0.2">
      <c r="A1278">
        <v>1276</v>
      </c>
      <c r="B1278" t="s">
        <v>2389</v>
      </c>
      <c r="C1278" t="s">
        <v>2390</v>
      </c>
      <c r="D1278" t="s">
        <v>415</v>
      </c>
      <c r="E1278" t="s">
        <v>143</v>
      </c>
      <c r="F1278">
        <v>127228000</v>
      </c>
      <c r="G1278" t="s">
        <v>166</v>
      </c>
      <c r="H1278" t="s">
        <v>166</v>
      </c>
      <c r="I1278" t="s">
        <v>160</v>
      </c>
    </row>
    <row r="1279" spans="1:9" x14ac:dyDescent="0.2">
      <c r="A1279">
        <v>1277</v>
      </c>
      <c r="B1279" t="s">
        <v>3575</v>
      </c>
      <c r="C1279" t="s">
        <v>2391</v>
      </c>
      <c r="D1279" t="s">
        <v>194</v>
      </c>
      <c r="E1279" t="s">
        <v>136</v>
      </c>
      <c r="F1279">
        <v>30000000</v>
      </c>
      <c r="G1279" t="s">
        <v>195</v>
      </c>
      <c r="H1279" t="s">
        <v>195</v>
      </c>
      <c r="I1279" t="s">
        <v>184</v>
      </c>
    </row>
    <row r="1280" spans="1:9" x14ac:dyDescent="0.2">
      <c r="A1280">
        <v>1278</v>
      </c>
      <c r="B1280" t="s">
        <v>2392</v>
      </c>
      <c r="C1280" t="s">
        <v>2393</v>
      </c>
      <c r="D1280" t="s">
        <v>310</v>
      </c>
      <c r="E1280" t="s">
        <v>143</v>
      </c>
      <c r="F1280">
        <v>24211190</v>
      </c>
      <c r="G1280" t="s">
        <v>311</v>
      </c>
      <c r="H1280" t="s">
        <v>312</v>
      </c>
      <c r="I1280" t="s">
        <v>313</v>
      </c>
    </row>
    <row r="1281" spans="1:9" x14ac:dyDescent="0.2">
      <c r="A1281">
        <v>1279</v>
      </c>
      <c r="B1281" t="s">
        <v>2394</v>
      </c>
      <c r="C1281" t="s">
        <v>2395</v>
      </c>
      <c r="D1281" t="s">
        <v>166</v>
      </c>
      <c r="E1281" t="s">
        <v>143</v>
      </c>
      <c r="F1281">
        <v>112652767</v>
      </c>
      <c r="G1281" t="s">
        <v>166</v>
      </c>
      <c r="H1281" t="s">
        <v>166</v>
      </c>
      <c r="I1281" t="s">
        <v>160</v>
      </c>
    </row>
    <row r="1282" spans="1:9" x14ac:dyDescent="0.2">
      <c r="A1282">
        <v>1280</v>
      </c>
      <c r="B1282" t="s">
        <v>2396</v>
      </c>
      <c r="C1282" t="s">
        <v>2397</v>
      </c>
      <c r="D1282" t="s">
        <v>383</v>
      </c>
      <c r="E1282" t="s">
        <v>143</v>
      </c>
      <c r="F1282">
        <v>110000000</v>
      </c>
      <c r="G1282" t="s">
        <v>311</v>
      </c>
      <c r="H1282" t="s">
        <v>312</v>
      </c>
      <c r="I1282" t="s">
        <v>313</v>
      </c>
    </row>
    <row r="1283" spans="1:9" x14ac:dyDescent="0.2">
      <c r="A1283">
        <v>1281</v>
      </c>
      <c r="B1283" t="s">
        <v>3576</v>
      </c>
      <c r="C1283" t="s">
        <v>2398</v>
      </c>
      <c r="D1283" t="s">
        <v>283</v>
      </c>
      <c r="E1283" t="s">
        <v>143</v>
      </c>
      <c r="F1283">
        <v>88222250</v>
      </c>
      <c r="G1283" t="s">
        <v>284</v>
      </c>
      <c r="H1283" t="s">
        <v>183</v>
      </c>
      <c r="I1283" t="s">
        <v>184</v>
      </c>
    </row>
    <row r="1284" spans="1:9" x14ac:dyDescent="0.2">
      <c r="A1284">
        <v>1282</v>
      </c>
      <c r="B1284" t="s">
        <v>2399</v>
      </c>
      <c r="C1284" t="s">
        <v>2400</v>
      </c>
      <c r="D1284" t="s">
        <v>355</v>
      </c>
      <c r="E1284" t="s">
        <v>136</v>
      </c>
      <c r="F1284">
        <v>12225393</v>
      </c>
      <c r="G1284" t="s">
        <v>356</v>
      </c>
      <c r="H1284" t="s">
        <v>150</v>
      </c>
      <c r="I1284" t="s">
        <v>145</v>
      </c>
    </row>
    <row r="1285" spans="1:9" x14ac:dyDescent="0.2">
      <c r="A1285">
        <v>1283</v>
      </c>
      <c r="B1285" t="s">
        <v>2401</v>
      </c>
      <c r="C1285" t="s">
        <v>2402</v>
      </c>
      <c r="D1285" t="s">
        <v>163</v>
      </c>
      <c r="E1285" t="s">
        <v>167</v>
      </c>
      <c r="F1285">
        <v>23896534</v>
      </c>
      <c r="G1285" t="s">
        <v>137</v>
      </c>
      <c r="H1285" t="s">
        <v>138</v>
      </c>
      <c r="I1285" t="s">
        <v>139</v>
      </c>
    </row>
    <row r="1286" spans="1:9" x14ac:dyDescent="0.2">
      <c r="A1286">
        <v>1284</v>
      </c>
      <c r="B1286" t="s">
        <v>2403</v>
      </c>
      <c r="C1286" t="s">
        <v>2404</v>
      </c>
      <c r="D1286" t="s">
        <v>383</v>
      </c>
      <c r="E1286" t="s">
        <v>143</v>
      </c>
      <c r="F1286">
        <v>8500000</v>
      </c>
      <c r="G1286" t="s">
        <v>311</v>
      </c>
      <c r="H1286" t="s">
        <v>312</v>
      </c>
      <c r="I1286" t="s">
        <v>313</v>
      </c>
    </row>
    <row r="1287" spans="1:9" x14ac:dyDescent="0.2">
      <c r="A1287">
        <v>1285</v>
      </c>
      <c r="B1287" t="s">
        <v>3577</v>
      </c>
      <c r="C1287" t="s">
        <v>2405</v>
      </c>
      <c r="D1287" t="s">
        <v>208</v>
      </c>
      <c r="E1287" t="s">
        <v>136</v>
      </c>
      <c r="F1287">
        <v>12500000</v>
      </c>
      <c r="G1287" t="s">
        <v>195</v>
      </c>
      <c r="H1287" t="s">
        <v>195</v>
      </c>
      <c r="I1287" t="s">
        <v>184</v>
      </c>
    </row>
    <row r="1288" spans="1:9" x14ac:dyDescent="0.2">
      <c r="A1288">
        <v>1286</v>
      </c>
      <c r="B1288" t="s">
        <v>2406</v>
      </c>
      <c r="C1288" t="s">
        <v>2407</v>
      </c>
      <c r="D1288" t="s">
        <v>166</v>
      </c>
      <c r="E1288" t="s">
        <v>143</v>
      </c>
      <c r="F1288">
        <v>120806562</v>
      </c>
      <c r="G1288" t="s">
        <v>166</v>
      </c>
      <c r="H1288" t="s">
        <v>166</v>
      </c>
      <c r="I1288" t="s">
        <v>160</v>
      </c>
    </row>
    <row r="1289" spans="1:9" x14ac:dyDescent="0.2">
      <c r="A1289">
        <v>1287</v>
      </c>
      <c r="B1289" t="s">
        <v>3578</v>
      </c>
      <c r="C1289" t="s">
        <v>2408</v>
      </c>
      <c r="D1289" t="s">
        <v>208</v>
      </c>
      <c r="E1289" t="s">
        <v>136</v>
      </c>
      <c r="F1289">
        <v>5000000</v>
      </c>
      <c r="G1289" t="s">
        <v>195</v>
      </c>
      <c r="H1289" t="s">
        <v>195</v>
      </c>
      <c r="I1289" t="s">
        <v>184</v>
      </c>
    </row>
    <row r="1290" spans="1:9" x14ac:dyDescent="0.2">
      <c r="A1290">
        <v>1288</v>
      </c>
      <c r="B1290" t="s">
        <v>2409</v>
      </c>
      <c r="C1290" t="s">
        <v>2410</v>
      </c>
      <c r="D1290" t="s">
        <v>163</v>
      </c>
      <c r="E1290" t="s">
        <v>167</v>
      </c>
      <c r="F1290">
        <v>5702940</v>
      </c>
      <c r="G1290" t="s">
        <v>137</v>
      </c>
      <c r="H1290" t="s">
        <v>138</v>
      </c>
      <c r="I1290" t="s">
        <v>139</v>
      </c>
    </row>
    <row r="1291" spans="1:9" x14ac:dyDescent="0.2">
      <c r="A1291">
        <v>1289</v>
      </c>
      <c r="B1291" t="s">
        <v>2411</v>
      </c>
      <c r="C1291" t="s">
        <v>2412</v>
      </c>
      <c r="D1291" t="s">
        <v>237</v>
      </c>
      <c r="E1291" t="s">
        <v>167</v>
      </c>
      <c r="F1291">
        <v>16829994</v>
      </c>
      <c r="G1291" t="s">
        <v>154</v>
      </c>
      <c r="H1291" t="s">
        <v>155</v>
      </c>
      <c r="I1291" t="s">
        <v>139</v>
      </c>
    </row>
    <row r="1292" spans="1:9" x14ac:dyDescent="0.2">
      <c r="A1292">
        <v>1290</v>
      </c>
      <c r="B1292" t="s">
        <v>3579</v>
      </c>
      <c r="C1292" t="s">
        <v>2413</v>
      </c>
      <c r="D1292" t="s">
        <v>208</v>
      </c>
      <c r="E1292" t="s">
        <v>136</v>
      </c>
      <c r="F1292">
        <v>27299990</v>
      </c>
      <c r="G1292" t="s">
        <v>195</v>
      </c>
      <c r="H1292" t="s">
        <v>195</v>
      </c>
      <c r="I1292" t="s">
        <v>184</v>
      </c>
    </row>
    <row r="1293" spans="1:9" x14ac:dyDescent="0.2">
      <c r="A1293">
        <v>1291</v>
      </c>
      <c r="B1293" t="s">
        <v>3580</v>
      </c>
      <c r="C1293" t="s">
        <v>2414</v>
      </c>
      <c r="D1293" t="s">
        <v>570</v>
      </c>
      <c r="E1293" t="s">
        <v>136</v>
      </c>
      <c r="F1293">
        <v>11698575</v>
      </c>
      <c r="G1293" t="s">
        <v>260</v>
      </c>
      <c r="H1293" t="s">
        <v>183</v>
      </c>
      <c r="I1293" t="s">
        <v>184</v>
      </c>
    </row>
    <row r="1294" spans="1:9" x14ac:dyDescent="0.2">
      <c r="A1294">
        <v>1292</v>
      </c>
      <c r="B1294" t="s">
        <v>2415</v>
      </c>
      <c r="C1294" t="s">
        <v>2416</v>
      </c>
      <c r="D1294" t="s">
        <v>227</v>
      </c>
      <c r="E1294" t="s">
        <v>136</v>
      </c>
      <c r="F1294">
        <v>13539267</v>
      </c>
      <c r="G1294" t="s">
        <v>228</v>
      </c>
      <c r="H1294" t="s">
        <v>229</v>
      </c>
      <c r="I1294" t="s">
        <v>217</v>
      </c>
    </row>
    <row r="1295" spans="1:9" x14ac:dyDescent="0.2">
      <c r="A1295">
        <v>1293</v>
      </c>
      <c r="B1295" t="s">
        <v>2417</v>
      </c>
      <c r="C1295" t="s">
        <v>2418</v>
      </c>
      <c r="D1295" t="s">
        <v>347</v>
      </c>
      <c r="E1295" t="s">
        <v>167</v>
      </c>
      <c r="F1295">
        <v>11424570</v>
      </c>
      <c r="G1295" t="s">
        <v>348</v>
      </c>
      <c r="H1295" t="s">
        <v>155</v>
      </c>
      <c r="I1295" t="s">
        <v>139</v>
      </c>
    </row>
    <row r="1296" spans="1:9" x14ac:dyDescent="0.2">
      <c r="A1296">
        <v>1294</v>
      </c>
      <c r="B1296" t="s">
        <v>2419</v>
      </c>
      <c r="C1296" t="s">
        <v>2420</v>
      </c>
      <c r="D1296" t="s">
        <v>415</v>
      </c>
      <c r="E1296" t="s">
        <v>167</v>
      </c>
      <c r="F1296">
        <v>384999972</v>
      </c>
      <c r="G1296" t="s">
        <v>166</v>
      </c>
      <c r="H1296" t="s">
        <v>166</v>
      </c>
      <c r="I1296" t="s">
        <v>160</v>
      </c>
    </row>
    <row r="1297" spans="1:9" x14ac:dyDescent="0.2">
      <c r="A1297">
        <v>1295</v>
      </c>
      <c r="B1297" t="s">
        <v>2421</v>
      </c>
      <c r="C1297" t="s">
        <v>2422</v>
      </c>
      <c r="D1297" t="s">
        <v>208</v>
      </c>
      <c r="E1297" t="s">
        <v>143</v>
      </c>
      <c r="F1297">
        <v>31129907</v>
      </c>
      <c r="G1297" t="s">
        <v>195</v>
      </c>
      <c r="H1297" t="s">
        <v>195</v>
      </c>
      <c r="I1297" t="s">
        <v>184</v>
      </c>
    </row>
    <row r="1298" spans="1:9" x14ac:dyDescent="0.2">
      <c r="A1298">
        <v>1296</v>
      </c>
      <c r="B1298" t="s">
        <v>2423</v>
      </c>
      <c r="C1298" t="s">
        <v>2424</v>
      </c>
      <c r="D1298" t="s">
        <v>163</v>
      </c>
      <c r="E1298" t="s">
        <v>136</v>
      </c>
      <c r="F1298">
        <v>12152800</v>
      </c>
      <c r="G1298" t="s">
        <v>137</v>
      </c>
      <c r="H1298" t="s">
        <v>138</v>
      </c>
      <c r="I1298" t="s">
        <v>139</v>
      </c>
    </row>
    <row r="1299" spans="1:9" x14ac:dyDescent="0.2">
      <c r="A1299">
        <v>1297</v>
      </c>
      <c r="B1299" t="s">
        <v>2425</v>
      </c>
      <c r="C1299" t="s">
        <v>2426</v>
      </c>
      <c r="D1299" t="s">
        <v>383</v>
      </c>
      <c r="E1299" t="s">
        <v>136</v>
      </c>
      <c r="F1299">
        <v>32995411</v>
      </c>
      <c r="G1299" t="s">
        <v>311</v>
      </c>
      <c r="H1299" t="s">
        <v>312</v>
      </c>
      <c r="I1299" t="s">
        <v>313</v>
      </c>
    </row>
    <row r="1300" spans="1:9" x14ac:dyDescent="0.2">
      <c r="A1300">
        <v>1298</v>
      </c>
      <c r="B1300" t="s">
        <v>2427</v>
      </c>
      <c r="C1300" t="s">
        <v>2428</v>
      </c>
      <c r="D1300" t="s">
        <v>153</v>
      </c>
      <c r="E1300" t="s">
        <v>136</v>
      </c>
      <c r="F1300">
        <v>21611185</v>
      </c>
      <c r="G1300" t="s">
        <v>154</v>
      </c>
      <c r="H1300" t="s">
        <v>155</v>
      </c>
      <c r="I1300" t="s">
        <v>139</v>
      </c>
    </row>
    <row r="1301" spans="1:9" x14ac:dyDescent="0.2">
      <c r="A1301">
        <v>1299</v>
      </c>
      <c r="B1301" t="s">
        <v>2429</v>
      </c>
      <c r="C1301" t="s">
        <v>2430</v>
      </c>
      <c r="D1301" t="s">
        <v>513</v>
      </c>
      <c r="E1301" t="s">
        <v>167</v>
      </c>
      <c r="F1301">
        <v>3000000</v>
      </c>
      <c r="G1301" t="s">
        <v>229</v>
      </c>
      <c r="H1301" t="s">
        <v>229</v>
      </c>
      <c r="I1301" t="s">
        <v>217</v>
      </c>
    </row>
    <row r="1302" spans="1:9" x14ac:dyDescent="0.2">
      <c r="A1302">
        <v>1300</v>
      </c>
      <c r="B1302" t="s">
        <v>2431</v>
      </c>
      <c r="C1302" t="s">
        <v>2432</v>
      </c>
      <c r="D1302" t="s">
        <v>148</v>
      </c>
      <c r="E1302" t="s">
        <v>167</v>
      </c>
      <c r="F1302">
        <v>24569052</v>
      </c>
      <c r="G1302" t="s">
        <v>149</v>
      </c>
      <c r="H1302" t="s">
        <v>150</v>
      </c>
      <c r="I1302" t="s">
        <v>145</v>
      </c>
    </row>
    <row r="1303" spans="1:9" x14ac:dyDescent="0.2">
      <c r="A1303">
        <v>1301</v>
      </c>
      <c r="B1303" t="s">
        <v>3581</v>
      </c>
      <c r="C1303" t="s">
        <v>2433</v>
      </c>
      <c r="D1303" t="s">
        <v>437</v>
      </c>
      <c r="E1303" t="s">
        <v>136</v>
      </c>
      <c r="F1303">
        <v>3297790</v>
      </c>
      <c r="G1303" t="s">
        <v>182</v>
      </c>
      <c r="H1303" t="s">
        <v>183</v>
      </c>
      <c r="I1303" t="s">
        <v>184</v>
      </c>
    </row>
    <row r="1304" spans="1:9" x14ac:dyDescent="0.2">
      <c r="A1304">
        <v>1302</v>
      </c>
      <c r="B1304" t="s">
        <v>2434</v>
      </c>
      <c r="C1304" t="s">
        <v>2435</v>
      </c>
      <c r="D1304" t="s">
        <v>383</v>
      </c>
      <c r="E1304" t="s">
        <v>136</v>
      </c>
      <c r="F1304">
        <v>5000000</v>
      </c>
      <c r="G1304" t="s">
        <v>311</v>
      </c>
      <c r="H1304" t="s">
        <v>312</v>
      </c>
      <c r="I1304" t="s">
        <v>313</v>
      </c>
    </row>
    <row r="1305" spans="1:9" x14ac:dyDescent="0.2">
      <c r="A1305">
        <v>1303</v>
      </c>
      <c r="B1305" t="s">
        <v>2436</v>
      </c>
      <c r="C1305" t="s">
        <v>2437</v>
      </c>
      <c r="D1305" t="s">
        <v>166</v>
      </c>
      <c r="E1305" t="s">
        <v>136</v>
      </c>
      <c r="F1305">
        <v>200000000</v>
      </c>
      <c r="G1305" t="s">
        <v>166</v>
      </c>
      <c r="H1305" t="s">
        <v>166</v>
      </c>
      <c r="I1305" t="s">
        <v>160</v>
      </c>
    </row>
    <row r="1306" spans="1:9" x14ac:dyDescent="0.2">
      <c r="A1306">
        <v>1304</v>
      </c>
      <c r="B1306" t="s">
        <v>3582</v>
      </c>
      <c r="C1306" t="s">
        <v>2438</v>
      </c>
      <c r="D1306" t="s">
        <v>570</v>
      </c>
      <c r="E1306" t="s">
        <v>136</v>
      </c>
      <c r="F1306">
        <v>9569900</v>
      </c>
      <c r="G1306" t="s">
        <v>260</v>
      </c>
      <c r="H1306" t="s">
        <v>183</v>
      </c>
      <c r="I1306" t="s">
        <v>184</v>
      </c>
    </row>
    <row r="1307" spans="1:9" x14ac:dyDescent="0.2">
      <c r="A1307">
        <v>1305</v>
      </c>
      <c r="B1307" t="s">
        <v>2439</v>
      </c>
      <c r="C1307" t="s">
        <v>2440</v>
      </c>
      <c r="D1307" t="s">
        <v>166</v>
      </c>
      <c r="E1307" t="s">
        <v>167</v>
      </c>
      <c r="F1307">
        <v>193606205</v>
      </c>
      <c r="G1307" t="s">
        <v>166</v>
      </c>
      <c r="H1307" t="s">
        <v>166</v>
      </c>
      <c r="I1307" t="s">
        <v>160</v>
      </c>
    </row>
    <row r="1308" spans="1:9" x14ac:dyDescent="0.2">
      <c r="A1308">
        <v>1306</v>
      </c>
      <c r="B1308" t="s">
        <v>2441</v>
      </c>
      <c r="C1308" t="s">
        <v>2442</v>
      </c>
      <c r="D1308" t="s">
        <v>2443</v>
      </c>
      <c r="E1308" t="s">
        <v>136</v>
      </c>
      <c r="F1308">
        <v>91178331</v>
      </c>
      <c r="G1308" t="s">
        <v>159</v>
      </c>
      <c r="H1308" t="s">
        <v>159</v>
      </c>
      <c r="I1308" t="s">
        <v>160</v>
      </c>
    </row>
    <row r="1309" spans="1:9" x14ac:dyDescent="0.2">
      <c r="A1309">
        <v>1307</v>
      </c>
      <c r="B1309" t="s">
        <v>2444</v>
      </c>
      <c r="C1309" t="s">
        <v>2445</v>
      </c>
      <c r="D1309" t="s">
        <v>166</v>
      </c>
      <c r="E1309" t="s">
        <v>143</v>
      </c>
      <c r="F1309">
        <v>65007857</v>
      </c>
      <c r="G1309" t="s">
        <v>166</v>
      </c>
      <c r="H1309" t="s">
        <v>166</v>
      </c>
      <c r="I1309" t="s">
        <v>160</v>
      </c>
    </row>
    <row r="1310" spans="1:9" x14ac:dyDescent="0.2">
      <c r="A1310">
        <v>1308</v>
      </c>
      <c r="B1310" t="s">
        <v>2446</v>
      </c>
      <c r="C1310" t="s">
        <v>2447</v>
      </c>
      <c r="D1310" t="s">
        <v>355</v>
      </c>
      <c r="E1310" t="s">
        <v>136</v>
      </c>
      <c r="F1310">
        <v>184000000</v>
      </c>
      <c r="G1310" t="s">
        <v>356</v>
      </c>
      <c r="H1310" t="s">
        <v>150</v>
      </c>
      <c r="I1310" t="s">
        <v>145</v>
      </c>
    </row>
    <row r="1311" spans="1:9" x14ac:dyDescent="0.2">
      <c r="A1311">
        <v>1309</v>
      </c>
      <c r="B1311" t="s">
        <v>2448</v>
      </c>
      <c r="C1311" t="s">
        <v>2449</v>
      </c>
      <c r="D1311" t="s">
        <v>166</v>
      </c>
      <c r="E1311" t="s">
        <v>143</v>
      </c>
      <c r="F1311">
        <v>30000000</v>
      </c>
      <c r="G1311" t="s">
        <v>166</v>
      </c>
      <c r="H1311" t="s">
        <v>166</v>
      </c>
      <c r="I1311" t="s">
        <v>160</v>
      </c>
    </row>
    <row r="1312" spans="1:9" x14ac:dyDescent="0.2">
      <c r="A1312">
        <v>1310</v>
      </c>
      <c r="B1312" t="s">
        <v>3583</v>
      </c>
      <c r="C1312" t="s">
        <v>2450</v>
      </c>
      <c r="D1312" t="s">
        <v>882</v>
      </c>
      <c r="E1312" t="s">
        <v>167</v>
      </c>
      <c r="F1312">
        <v>8600000</v>
      </c>
      <c r="G1312" t="s">
        <v>212</v>
      </c>
      <c r="H1312" t="s">
        <v>183</v>
      </c>
      <c r="I1312" t="s">
        <v>184</v>
      </c>
    </row>
    <row r="1313" spans="1:9" x14ac:dyDescent="0.2">
      <c r="A1313">
        <v>1311</v>
      </c>
      <c r="B1313" t="s">
        <v>3584</v>
      </c>
      <c r="C1313" t="s">
        <v>2451</v>
      </c>
      <c r="D1313" t="s">
        <v>283</v>
      </c>
      <c r="E1313" t="s">
        <v>136</v>
      </c>
      <c r="F1313">
        <v>3800000</v>
      </c>
      <c r="G1313" t="s">
        <v>284</v>
      </c>
      <c r="H1313" t="s">
        <v>183</v>
      </c>
      <c r="I1313" t="s">
        <v>184</v>
      </c>
    </row>
    <row r="1314" spans="1:9" x14ac:dyDescent="0.2">
      <c r="A1314">
        <v>1312</v>
      </c>
      <c r="B1314" t="s">
        <v>3585</v>
      </c>
      <c r="C1314" t="s">
        <v>2452</v>
      </c>
      <c r="D1314" t="s">
        <v>208</v>
      </c>
      <c r="E1314" t="s">
        <v>136</v>
      </c>
      <c r="F1314">
        <v>15674712</v>
      </c>
      <c r="G1314" t="s">
        <v>195</v>
      </c>
      <c r="H1314" t="s">
        <v>195</v>
      </c>
      <c r="I1314" t="s">
        <v>184</v>
      </c>
    </row>
    <row r="1315" spans="1:9" x14ac:dyDescent="0.2">
      <c r="A1315">
        <v>1313</v>
      </c>
      <c r="B1315" t="s">
        <v>2453</v>
      </c>
      <c r="C1315" t="s">
        <v>2454</v>
      </c>
      <c r="D1315" t="s">
        <v>355</v>
      </c>
      <c r="E1315" t="s">
        <v>136</v>
      </c>
      <c r="F1315">
        <v>6315312</v>
      </c>
      <c r="G1315" t="s">
        <v>356</v>
      </c>
      <c r="H1315" t="s">
        <v>150</v>
      </c>
      <c r="I1315" t="s">
        <v>145</v>
      </c>
    </row>
    <row r="1316" spans="1:9" x14ac:dyDescent="0.2">
      <c r="A1316">
        <v>1314</v>
      </c>
      <c r="B1316" t="s">
        <v>2455</v>
      </c>
      <c r="C1316" t="s">
        <v>2456</v>
      </c>
      <c r="D1316" t="s">
        <v>1765</v>
      </c>
      <c r="E1316" t="s">
        <v>167</v>
      </c>
      <c r="F1316">
        <v>7255744</v>
      </c>
      <c r="G1316" t="s">
        <v>356</v>
      </c>
      <c r="H1316" t="s">
        <v>150</v>
      </c>
      <c r="I1316" t="s">
        <v>145</v>
      </c>
    </row>
    <row r="1317" spans="1:9" x14ac:dyDescent="0.2">
      <c r="A1317">
        <v>1315</v>
      </c>
      <c r="B1317" t="s">
        <v>3586</v>
      </c>
      <c r="C1317" t="s">
        <v>2457</v>
      </c>
      <c r="D1317" t="s">
        <v>208</v>
      </c>
      <c r="E1317" t="s">
        <v>136</v>
      </c>
      <c r="F1317">
        <v>16008338</v>
      </c>
      <c r="G1317" t="s">
        <v>195</v>
      </c>
      <c r="H1317" t="s">
        <v>195</v>
      </c>
      <c r="I1317" t="s">
        <v>184</v>
      </c>
    </row>
    <row r="1318" spans="1:9" x14ac:dyDescent="0.2">
      <c r="A1318">
        <v>1316</v>
      </c>
      <c r="B1318" t="s">
        <v>2458</v>
      </c>
      <c r="C1318" t="s">
        <v>2459</v>
      </c>
      <c r="D1318" t="s">
        <v>166</v>
      </c>
      <c r="E1318" t="s">
        <v>143</v>
      </c>
      <c r="F1318">
        <v>77741356</v>
      </c>
      <c r="G1318" t="s">
        <v>166</v>
      </c>
      <c r="H1318" t="s">
        <v>166</v>
      </c>
      <c r="I1318" t="s">
        <v>160</v>
      </c>
    </row>
    <row r="1319" spans="1:9" x14ac:dyDescent="0.2">
      <c r="A1319">
        <v>1317</v>
      </c>
      <c r="B1319" t="s">
        <v>2460</v>
      </c>
      <c r="C1319" t="s">
        <v>2461</v>
      </c>
      <c r="D1319" t="s">
        <v>2462</v>
      </c>
      <c r="E1319" t="s">
        <v>143</v>
      </c>
      <c r="F1319">
        <v>86453575</v>
      </c>
      <c r="G1319" t="s">
        <v>800</v>
      </c>
      <c r="H1319" t="s">
        <v>138</v>
      </c>
      <c r="I1319" t="s">
        <v>139</v>
      </c>
    </row>
    <row r="1320" spans="1:9" x14ac:dyDescent="0.2">
      <c r="A1320">
        <v>1318</v>
      </c>
      <c r="B1320" t="s">
        <v>2463</v>
      </c>
      <c r="C1320" t="s">
        <v>2464</v>
      </c>
      <c r="D1320" t="s">
        <v>355</v>
      </c>
      <c r="E1320" t="s">
        <v>143</v>
      </c>
      <c r="F1320">
        <v>112320017</v>
      </c>
      <c r="G1320" t="s">
        <v>356</v>
      </c>
      <c r="H1320" t="s">
        <v>150</v>
      </c>
      <c r="I1320" t="s">
        <v>145</v>
      </c>
    </row>
    <row r="1321" spans="1:9" x14ac:dyDescent="0.2">
      <c r="A1321">
        <v>1319</v>
      </c>
      <c r="B1321" t="s">
        <v>2465</v>
      </c>
      <c r="C1321" t="s">
        <v>2466</v>
      </c>
      <c r="D1321" t="s">
        <v>163</v>
      </c>
      <c r="E1321" t="s">
        <v>136</v>
      </c>
      <c r="F1321">
        <v>3000000</v>
      </c>
      <c r="G1321" t="s">
        <v>137</v>
      </c>
      <c r="H1321" t="s">
        <v>138</v>
      </c>
      <c r="I1321" t="s">
        <v>139</v>
      </c>
    </row>
    <row r="1322" spans="1:9" x14ac:dyDescent="0.2">
      <c r="A1322">
        <v>1320</v>
      </c>
      <c r="B1322" t="s">
        <v>2467</v>
      </c>
      <c r="C1322" t="s">
        <v>2468</v>
      </c>
      <c r="D1322" t="s">
        <v>310</v>
      </c>
      <c r="E1322" t="s">
        <v>136</v>
      </c>
      <c r="F1322">
        <v>236600000</v>
      </c>
      <c r="G1322" t="s">
        <v>311</v>
      </c>
      <c r="H1322" t="s">
        <v>312</v>
      </c>
      <c r="I1322" t="s">
        <v>313</v>
      </c>
    </row>
    <row r="1323" spans="1:9" x14ac:dyDescent="0.2">
      <c r="A1323">
        <v>1321</v>
      </c>
      <c r="B1323" t="s">
        <v>3587</v>
      </c>
      <c r="C1323" t="s">
        <v>2469</v>
      </c>
      <c r="D1323" t="s">
        <v>194</v>
      </c>
      <c r="E1323" t="s">
        <v>136</v>
      </c>
      <c r="F1323">
        <v>6989800</v>
      </c>
      <c r="G1323" t="s">
        <v>195</v>
      </c>
      <c r="H1323" t="s">
        <v>195</v>
      </c>
      <c r="I1323" t="s">
        <v>184</v>
      </c>
    </row>
    <row r="1324" spans="1:9" x14ac:dyDescent="0.2">
      <c r="A1324">
        <v>1322</v>
      </c>
      <c r="B1324" t="s">
        <v>2470</v>
      </c>
      <c r="C1324" t="s">
        <v>2471</v>
      </c>
      <c r="D1324" t="s">
        <v>148</v>
      </c>
      <c r="E1324" t="s">
        <v>167</v>
      </c>
      <c r="F1324">
        <v>15000000</v>
      </c>
      <c r="G1324" t="s">
        <v>149</v>
      </c>
      <c r="H1324" t="s">
        <v>150</v>
      </c>
      <c r="I1324" t="s">
        <v>145</v>
      </c>
    </row>
    <row r="1325" spans="1:9" x14ac:dyDescent="0.2">
      <c r="A1325">
        <v>1323</v>
      </c>
      <c r="B1325" t="s">
        <v>2472</v>
      </c>
      <c r="C1325" t="s">
        <v>2473</v>
      </c>
      <c r="D1325" t="s">
        <v>310</v>
      </c>
      <c r="E1325" t="s">
        <v>167</v>
      </c>
      <c r="F1325">
        <v>12400000</v>
      </c>
      <c r="G1325" t="s">
        <v>311</v>
      </c>
      <c r="H1325" t="s">
        <v>312</v>
      </c>
      <c r="I1325" t="s">
        <v>313</v>
      </c>
    </row>
    <row r="1326" spans="1:9" x14ac:dyDescent="0.2">
      <c r="A1326">
        <v>1324</v>
      </c>
      <c r="B1326" t="s">
        <v>2474</v>
      </c>
      <c r="C1326" t="s">
        <v>2475</v>
      </c>
      <c r="D1326" t="s">
        <v>355</v>
      </c>
      <c r="E1326" t="s">
        <v>136</v>
      </c>
      <c r="F1326">
        <v>18000000</v>
      </c>
      <c r="G1326" t="s">
        <v>356</v>
      </c>
      <c r="H1326" t="s">
        <v>150</v>
      </c>
      <c r="I1326" t="s">
        <v>145</v>
      </c>
    </row>
    <row r="1327" spans="1:9" x14ac:dyDescent="0.2">
      <c r="A1327">
        <v>1325</v>
      </c>
      <c r="B1327" t="s">
        <v>2476</v>
      </c>
      <c r="C1327" t="s">
        <v>2477</v>
      </c>
      <c r="D1327" t="s">
        <v>330</v>
      </c>
      <c r="E1327" t="s">
        <v>143</v>
      </c>
      <c r="F1327">
        <v>70000000</v>
      </c>
      <c r="G1327" t="s">
        <v>330</v>
      </c>
      <c r="H1327" t="s">
        <v>312</v>
      </c>
      <c r="I1327" t="s">
        <v>313</v>
      </c>
    </row>
    <row r="1328" spans="1:9" x14ac:dyDescent="0.2">
      <c r="A1328">
        <v>1326</v>
      </c>
      <c r="B1328" t="s">
        <v>3588</v>
      </c>
      <c r="C1328" t="s">
        <v>2478</v>
      </c>
      <c r="D1328" t="s">
        <v>211</v>
      </c>
      <c r="E1328" t="s">
        <v>143</v>
      </c>
      <c r="F1328">
        <v>169347954</v>
      </c>
      <c r="G1328" t="s">
        <v>212</v>
      </c>
      <c r="H1328" t="s">
        <v>183</v>
      </c>
      <c r="I1328" t="s">
        <v>184</v>
      </c>
    </row>
    <row r="1329" spans="1:9" x14ac:dyDescent="0.2">
      <c r="A1329">
        <v>1327</v>
      </c>
      <c r="B1329" t="s">
        <v>2479</v>
      </c>
      <c r="C1329" t="s">
        <v>2480</v>
      </c>
      <c r="D1329" t="s">
        <v>671</v>
      </c>
      <c r="E1329" t="s">
        <v>143</v>
      </c>
      <c r="F1329">
        <v>37287680</v>
      </c>
      <c r="G1329" t="s">
        <v>672</v>
      </c>
      <c r="H1329" t="s">
        <v>672</v>
      </c>
      <c r="I1329" t="s">
        <v>139</v>
      </c>
    </row>
    <row r="1330" spans="1:9" x14ac:dyDescent="0.2">
      <c r="A1330">
        <v>1328</v>
      </c>
      <c r="B1330" t="s">
        <v>2481</v>
      </c>
      <c r="C1330" t="s">
        <v>2482</v>
      </c>
      <c r="D1330" t="s">
        <v>200</v>
      </c>
      <c r="E1330" t="s">
        <v>136</v>
      </c>
      <c r="F1330">
        <v>4662350</v>
      </c>
      <c r="G1330" t="s">
        <v>201</v>
      </c>
      <c r="H1330" t="s">
        <v>150</v>
      </c>
      <c r="I1330" t="s">
        <v>145</v>
      </c>
    </row>
    <row r="1331" spans="1:9" x14ac:dyDescent="0.2">
      <c r="A1331">
        <v>1329</v>
      </c>
      <c r="B1331" t="s">
        <v>3589</v>
      </c>
      <c r="C1331" t="s">
        <v>2483</v>
      </c>
      <c r="D1331" t="s">
        <v>194</v>
      </c>
      <c r="E1331" t="s">
        <v>167</v>
      </c>
      <c r="F1331">
        <v>6000000</v>
      </c>
      <c r="G1331" t="s">
        <v>195</v>
      </c>
      <c r="H1331" t="s">
        <v>195</v>
      </c>
      <c r="I1331" t="s">
        <v>184</v>
      </c>
    </row>
    <row r="1332" spans="1:9" x14ac:dyDescent="0.2">
      <c r="A1332">
        <v>1330</v>
      </c>
      <c r="B1332" t="s">
        <v>2484</v>
      </c>
      <c r="C1332" t="s">
        <v>2485</v>
      </c>
      <c r="D1332" t="s">
        <v>166</v>
      </c>
      <c r="E1332" t="s">
        <v>143</v>
      </c>
      <c r="F1332">
        <v>54632348</v>
      </c>
      <c r="G1332" t="s">
        <v>166</v>
      </c>
      <c r="H1332" t="s">
        <v>166</v>
      </c>
      <c r="I1332" t="s">
        <v>160</v>
      </c>
    </row>
    <row r="1333" spans="1:9" x14ac:dyDescent="0.2">
      <c r="A1333">
        <v>1331</v>
      </c>
      <c r="B1333" t="s">
        <v>2486</v>
      </c>
      <c r="C1333" t="s">
        <v>2487</v>
      </c>
      <c r="D1333" t="s">
        <v>355</v>
      </c>
      <c r="E1333" t="s">
        <v>136</v>
      </c>
      <c r="F1333">
        <v>49576264</v>
      </c>
      <c r="G1333" t="s">
        <v>356</v>
      </c>
      <c r="H1333" t="s">
        <v>150</v>
      </c>
      <c r="I1333" t="s">
        <v>145</v>
      </c>
    </row>
    <row r="1334" spans="1:9" x14ac:dyDescent="0.2">
      <c r="A1334">
        <v>1332</v>
      </c>
      <c r="B1334" t="s">
        <v>2488</v>
      </c>
      <c r="C1334" t="s">
        <v>2489</v>
      </c>
      <c r="D1334" t="s">
        <v>355</v>
      </c>
      <c r="E1334" t="s">
        <v>136</v>
      </c>
      <c r="F1334">
        <v>14490000</v>
      </c>
      <c r="G1334" t="s">
        <v>356</v>
      </c>
      <c r="H1334" t="s">
        <v>150</v>
      </c>
      <c r="I1334" t="s">
        <v>145</v>
      </c>
    </row>
    <row r="1335" spans="1:9" x14ac:dyDescent="0.2">
      <c r="A1335">
        <v>1333</v>
      </c>
      <c r="B1335" t="s">
        <v>2490</v>
      </c>
      <c r="C1335" t="s">
        <v>2491</v>
      </c>
      <c r="D1335" t="s">
        <v>142</v>
      </c>
      <c r="E1335" t="s">
        <v>143</v>
      </c>
      <c r="F1335">
        <v>19250000</v>
      </c>
      <c r="G1335" t="s">
        <v>144</v>
      </c>
      <c r="H1335" t="s">
        <v>144</v>
      </c>
      <c r="I1335" t="s">
        <v>145</v>
      </c>
    </row>
    <row r="1336" spans="1:9" x14ac:dyDescent="0.2">
      <c r="A1336">
        <v>1334</v>
      </c>
      <c r="B1336" t="s">
        <v>2492</v>
      </c>
      <c r="C1336" t="s">
        <v>2493</v>
      </c>
      <c r="D1336" t="s">
        <v>163</v>
      </c>
      <c r="E1336" t="s">
        <v>167</v>
      </c>
      <c r="F1336">
        <v>122601206</v>
      </c>
      <c r="G1336" t="s">
        <v>137</v>
      </c>
      <c r="H1336" t="s">
        <v>138</v>
      </c>
      <c r="I1336" t="s">
        <v>139</v>
      </c>
    </row>
    <row r="1337" spans="1:9" x14ac:dyDescent="0.2">
      <c r="A1337">
        <v>1335</v>
      </c>
      <c r="B1337" t="s">
        <v>2494</v>
      </c>
      <c r="C1337" t="s">
        <v>2495</v>
      </c>
      <c r="D1337" t="s">
        <v>2496</v>
      </c>
      <c r="E1337" t="s">
        <v>143</v>
      </c>
      <c r="F1337">
        <v>144181270</v>
      </c>
      <c r="G1337" t="s">
        <v>269</v>
      </c>
      <c r="H1337" t="s">
        <v>241</v>
      </c>
      <c r="I1337" t="s">
        <v>242</v>
      </c>
    </row>
    <row r="1338" spans="1:9" x14ac:dyDescent="0.2">
      <c r="A1338">
        <v>1336</v>
      </c>
      <c r="B1338" t="s">
        <v>2497</v>
      </c>
      <c r="C1338" t="s">
        <v>2498</v>
      </c>
      <c r="D1338" t="s">
        <v>355</v>
      </c>
      <c r="E1338" t="s">
        <v>143</v>
      </c>
      <c r="F1338">
        <v>52500000</v>
      </c>
      <c r="G1338" t="s">
        <v>356</v>
      </c>
      <c r="H1338" t="s">
        <v>150</v>
      </c>
      <c r="I1338" t="s">
        <v>145</v>
      </c>
    </row>
    <row r="1339" spans="1:9" x14ac:dyDescent="0.2">
      <c r="A1339">
        <v>1337</v>
      </c>
      <c r="B1339" t="s">
        <v>3590</v>
      </c>
      <c r="C1339" t="s">
        <v>2499</v>
      </c>
      <c r="D1339" t="s">
        <v>208</v>
      </c>
      <c r="E1339" t="s">
        <v>136</v>
      </c>
      <c r="F1339">
        <v>5800000</v>
      </c>
      <c r="G1339" t="s">
        <v>195</v>
      </c>
      <c r="H1339" t="s">
        <v>195</v>
      </c>
      <c r="I1339" t="s">
        <v>184</v>
      </c>
    </row>
    <row r="1340" spans="1:9" x14ac:dyDescent="0.2">
      <c r="A1340">
        <v>1338</v>
      </c>
      <c r="B1340" t="s">
        <v>3591</v>
      </c>
      <c r="C1340" t="s">
        <v>2500</v>
      </c>
      <c r="D1340" t="s">
        <v>211</v>
      </c>
      <c r="E1340" t="s">
        <v>136</v>
      </c>
      <c r="F1340">
        <v>7100000</v>
      </c>
      <c r="G1340" t="s">
        <v>212</v>
      </c>
      <c r="H1340" t="s">
        <v>183</v>
      </c>
      <c r="I1340" t="s">
        <v>184</v>
      </c>
    </row>
    <row r="1341" spans="1:9" x14ac:dyDescent="0.2">
      <c r="A1341">
        <v>1339</v>
      </c>
      <c r="B1341" t="s">
        <v>2501</v>
      </c>
      <c r="C1341" t="s">
        <v>2502</v>
      </c>
      <c r="D1341" t="s">
        <v>355</v>
      </c>
      <c r="E1341" t="s">
        <v>136</v>
      </c>
      <c r="F1341">
        <v>20000000</v>
      </c>
      <c r="G1341" t="s">
        <v>356</v>
      </c>
      <c r="H1341" t="s">
        <v>150</v>
      </c>
      <c r="I1341" t="s">
        <v>145</v>
      </c>
    </row>
    <row r="1342" spans="1:9" x14ac:dyDescent="0.2">
      <c r="A1342">
        <v>1340</v>
      </c>
      <c r="B1342" t="s">
        <v>2503</v>
      </c>
      <c r="C1342" t="s">
        <v>2504</v>
      </c>
      <c r="D1342" t="s">
        <v>149</v>
      </c>
      <c r="E1342" t="s">
        <v>143</v>
      </c>
      <c r="F1342">
        <v>51000000</v>
      </c>
      <c r="G1342" t="s">
        <v>149</v>
      </c>
      <c r="H1342" t="s">
        <v>150</v>
      </c>
      <c r="I1342" t="s">
        <v>145</v>
      </c>
    </row>
    <row r="1343" spans="1:9" x14ac:dyDescent="0.2">
      <c r="A1343">
        <v>1341</v>
      </c>
      <c r="B1343" t="s">
        <v>3592</v>
      </c>
      <c r="C1343" t="s">
        <v>3593</v>
      </c>
      <c r="D1343" t="s">
        <v>137</v>
      </c>
      <c r="E1343" t="s">
        <v>136</v>
      </c>
      <c r="F1343">
        <v>23700000</v>
      </c>
      <c r="G1343" t="s">
        <v>137</v>
      </c>
      <c r="H1343" t="s">
        <v>138</v>
      </c>
      <c r="I1343" t="s">
        <v>139</v>
      </c>
    </row>
    <row r="1344" spans="1:9" x14ac:dyDescent="0.2">
      <c r="A1344">
        <v>1342</v>
      </c>
      <c r="B1344" t="s">
        <v>2505</v>
      </c>
      <c r="C1344" t="s">
        <v>2506</v>
      </c>
      <c r="D1344" t="s">
        <v>383</v>
      </c>
      <c r="E1344" t="s">
        <v>136</v>
      </c>
      <c r="F1344">
        <v>16000000</v>
      </c>
      <c r="G1344" t="s">
        <v>311</v>
      </c>
      <c r="H1344" t="s">
        <v>312</v>
      </c>
      <c r="I1344" t="s">
        <v>313</v>
      </c>
    </row>
    <row r="1345" spans="1:9" x14ac:dyDescent="0.2">
      <c r="A1345">
        <v>1343</v>
      </c>
      <c r="B1345" t="s">
        <v>2507</v>
      </c>
      <c r="C1345" t="s">
        <v>2508</v>
      </c>
      <c r="D1345" t="s">
        <v>513</v>
      </c>
      <c r="E1345" t="s">
        <v>136</v>
      </c>
      <c r="F1345">
        <v>25350000</v>
      </c>
      <c r="G1345" t="s">
        <v>229</v>
      </c>
      <c r="H1345" t="s">
        <v>229</v>
      </c>
      <c r="I1345" t="s">
        <v>217</v>
      </c>
    </row>
    <row r="1346" spans="1:9" x14ac:dyDescent="0.2">
      <c r="A1346">
        <v>1344</v>
      </c>
      <c r="B1346" t="s">
        <v>2509</v>
      </c>
      <c r="C1346" t="s">
        <v>2510</v>
      </c>
      <c r="D1346" t="s">
        <v>1859</v>
      </c>
      <c r="E1346" t="s">
        <v>136</v>
      </c>
      <c r="F1346">
        <v>30999886</v>
      </c>
      <c r="G1346" t="s">
        <v>1860</v>
      </c>
      <c r="H1346" t="s">
        <v>490</v>
      </c>
      <c r="I1346" t="s">
        <v>490</v>
      </c>
    </row>
    <row r="1347" spans="1:9" x14ac:dyDescent="0.2">
      <c r="A1347">
        <v>1345</v>
      </c>
      <c r="B1347" t="s">
        <v>3594</v>
      </c>
      <c r="C1347" t="s">
        <v>2511</v>
      </c>
      <c r="D1347" t="s">
        <v>882</v>
      </c>
      <c r="E1347" t="s">
        <v>167</v>
      </c>
      <c r="F1347">
        <v>9207842</v>
      </c>
      <c r="G1347" t="s">
        <v>212</v>
      </c>
      <c r="H1347" t="s">
        <v>183</v>
      </c>
      <c r="I1347" t="s">
        <v>184</v>
      </c>
    </row>
    <row r="1348" spans="1:9" x14ac:dyDescent="0.2">
      <c r="A1348">
        <v>1346</v>
      </c>
      <c r="B1348" t="s">
        <v>2512</v>
      </c>
      <c r="C1348" t="s">
        <v>2513</v>
      </c>
      <c r="D1348" t="s">
        <v>383</v>
      </c>
      <c r="E1348" t="s">
        <v>136</v>
      </c>
      <c r="F1348">
        <v>7978150</v>
      </c>
      <c r="G1348" t="s">
        <v>311</v>
      </c>
      <c r="H1348" t="s">
        <v>312</v>
      </c>
      <c r="I1348" t="s">
        <v>313</v>
      </c>
    </row>
    <row r="1349" spans="1:9" x14ac:dyDescent="0.2">
      <c r="A1349">
        <v>1347</v>
      </c>
      <c r="B1349" t="s">
        <v>2514</v>
      </c>
      <c r="C1349" t="s">
        <v>2515</v>
      </c>
      <c r="D1349" t="s">
        <v>170</v>
      </c>
      <c r="E1349" t="s">
        <v>143</v>
      </c>
      <c r="F1349">
        <v>2641956196</v>
      </c>
      <c r="G1349" t="s">
        <v>170</v>
      </c>
      <c r="H1349" t="s">
        <v>170</v>
      </c>
      <c r="I1349" t="s">
        <v>170</v>
      </c>
    </row>
    <row r="1350" spans="1:9" x14ac:dyDescent="0.2">
      <c r="A1350">
        <v>1348</v>
      </c>
      <c r="B1350" t="s">
        <v>2516</v>
      </c>
      <c r="C1350" t="s">
        <v>2517</v>
      </c>
      <c r="D1350" t="s">
        <v>142</v>
      </c>
      <c r="E1350" t="s">
        <v>143</v>
      </c>
      <c r="F1350">
        <v>24430596</v>
      </c>
      <c r="G1350" t="s">
        <v>144</v>
      </c>
      <c r="H1350" t="s">
        <v>144</v>
      </c>
      <c r="I1350" t="s">
        <v>145</v>
      </c>
    </row>
    <row r="1351" spans="1:9" x14ac:dyDescent="0.2">
      <c r="A1351">
        <v>1349</v>
      </c>
      <c r="B1351" t="s">
        <v>3595</v>
      </c>
      <c r="C1351" t="s">
        <v>2518</v>
      </c>
      <c r="D1351" t="s">
        <v>283</v>
      </c>
      <c r="E1351" t="s">
        <v>167</v>
      </c>
      <c r="F1351">
        <v>45000000</v>
      </c>
      <c r="G1351" t="s">
        <v>284</v>
      </c>
      <c r="H1351" t="s">
        <v>183</v>
      </c>
      <c r="I1351" t="s">
        <v>184</v>
      </c>
    </row>
    <row r="1352" spans="1:9" x14ac:dyDescent="0.2">
      <c r="A1352">
        <v>1350</v>
      </c>
      <c r="B1352" t="s">
        <v>2519</v>
      </c>
      <c r="C1352" t="s">
        <v>2520</v>
      </c>
      <c r="D1352" t="s">
        <v>430</v>
      </c>
      <c r="E1352" t="s">
        <v>136</v>
      </c>
      <c r="F1352">
        <v>5000000</v>
      </c>
      <c r="G1352" t="s">
        <v>326</v>
      </c>
      <c r="H1352" t="s">
        <v>327</v>
      </c>
      <c r="I1352" t="s">
        <v>217</v>
      </c>
    </row>
    <row r="1353" spans="1:9" x14ac:dyDescent="0.2">
      <c r="A1353">
        <v>1351</v>
      </c>
      <c r="B1353" t="s">
        <v>2521</v>
      </c>
      <c r="C1353" t="s">
        <v>2522</v>
      </c>
      <c r="D1353" t="s">
        <v>200</v>
      </c>
      <c r="E1353" t="s">
        <v>136</v>
      </c>
      <c r="F1353">
        <v>3600000</v>
      </c>
      <c r="G1353" t="s">
        <v>201</v>
      </c>
      <c r="H1353" t="s">
        <v>150</v>
      </c>
      <c r="I1353" t="s">
        <v>145</v>
      </c>
    </row>
    <row r="1354" spans="1:9" x14ac:dyDescent="0.2">
      <c r="A1354">
        <v>1352</v>
      </c>
      <c r="B1354" t="s">
        <v>2523</v>
      </c>
      <c r="C1354" t="s">
        <v>2524</v>
      </c>
      <c r="D1354" t="s">
        <v>383</v>
      </c>
      <c r="E1354" t="s">
        <v>136</v>
      </c>
      <c r="F1354">
        <v>8933200</v>
      </c>
      <c r="G1354" t="s">
        <v>311</v>
      </c>
      <c r="H1354" t="s">
        <v>312</v>
      </c>
      <c r="I1354" t="s">
        <v>313</v>
      </c>
    </row>
    <row r="1355" spans="1:9" x14ac:dyDescent="0.2">
      <c r="A1355">
        <v>1353</v>
      </c>
      <c r="B1355" t="s">
        <v>3596</v>
      </c>
      <c r="C1355" t="s">
        <v>2525</v>
      </c>
      <c r="D1355" t="s">
        <v>211</v>
      </c>
      <c r="E1355" t="s">
        <v>136</v>
      </c>
      <c r="F1355">
        <v>4592490</v>
      </c>
      <c r="G1355" t="s">
        <v>212</v>
      </c>
      <c r="H1355" t="s">
        <v>183</v>
      </c>
      <c r="I1355" t="s">
        <v>184</v>
      </c>
    </row>
    <row r="1356" spans="1:9" x14ac:dyDescent="0.2">
      <c r="A1356">
        <v>1354</v>
      </c>
      <c r="B1356" t="s">
        <v>2526</v>
      </c>
      <c r="C1356" t="s">
        <v>2527</v>
      </c>
      <c r="D1356" t="s">
        <v>240</v>
      </c>
      <c r="E1356" t="s">
        <v>143</v>
      </c>
      <c r="F1356">
        <v>41453673</v>
      </c>
      <c r="G1356" t="s">
        <v>240</v>
      </c>
      <c r="H1356" t="s">
        <v>241</v>
      </c>
      <c r="I1356" t="s">
        <v>242</v>
      </c>
    </row>
    <row r="1357" spans="1:9" x14ac:dyDescent="0.2">
      <c r="A1357">
        <v>1355</v>
      </c>
      <c r="B1357" t="s">
        <v>2528</v>
      </c>
      <c r="C1357" t="s">
        <v>2529</v>
      </c>
      <c r="D1357" t="s">
        <v>142</v>
      </c>
      <c r="E1357" t="s">
        <v>143</v>
      </c>
      <c r="F1357">
        <v>30000000</v>
      </c>
      <c r="G1357" t="s">
        <v>144</v>
      </c>
      <c r="H1357" t="s">
        <v>144</v>
      </c>
      <c r="I1357" t="s">
        <v>145</v>
      </c>
    </row>
    <row r="1358" spans="1:9" x14ac:dyDescent="0.2">
      <c r="A1358">
        <v>1356</v>
      </c>
      <c r="B1358" t="s">
        <v>3597</v>
      </c>
      <c r="C1358" t="s">
        <v>2530</v>
      </c>
      <c r="D1358" t="s">
        <v>806</v>
      </c>
      <c r="E1358" t="s">
        <v>136</v>
      </c>
      <c r="F1358">
        <v>6544268</v>
      </c>
      <c r="G1358" t="s">
        <v>212</v>
      </c>
      <c r="H1358" t="s">
        <v>183</v>
      </c>
      <c r="I1358" t="s">
        <v>184</v>
      </c>
    </row>
    <row r="1359" spans="1:9" x14ac:dyDescent="0.2">
      <c r="A1359">
        <v>1357</v>
      </c>
      <c r="B1359" t="s">
        <v>3598</v>
      </c>
      <c r="C1359" t="s">
        <v>2531</v>
      </c>
      <c r="D1359" t="s">
        <v>194</v>
      </c>
      <c r="E1359" t="s">
        <v>136</v>
      </c>
      <c r="F1359">
        <v>11000000</v>
      </c>
      <c r="G1359" t="s">
        <v>195</v>
      </c>
      <c r="H1359" t="s">
        <v>195</v>
      </c>
      <c r="I1359" t="s">
        <v>184</v>
      </c>
    </row>
    <row r="1360" spans="1:9" x14ac:dyDescent="0.2">
      <c r="A1360">
        <v>1358</v>
      </c>
      <c r="B1360" t="s">
        <v>3599</v>
      </c>
      <c r="C1360" t="s">
        <v>3600</v>
      </c>
      <c r="D1360" t="s">
        <v>3601</v>
      </c>
      <c r="E1360" t="s">
        <v>136</v>
      </c>
      <c r="F1360">
        <v>130368970</v>
      </c>
      <c r="G1360" t="s">
        <v>212</v>
      </c>
      <c r="H1360" t="s">
        <v>183</v>
      </c>
      <c r="I1360" t="s">
        <v>184</v>
      </c>
    </row>
    <row r="1361" spans="1:9" x14ac:dyDescent="0.2">
      <c r="A1361">
        <v>1359</v>
      </c>
      <c r="B1361" t="s">
        <v>3602</v>
      </c>
      <c r="C1361" t="s">
        <v>2532</v>
      </c>
      <c r="D1361" t="s">
        <v>208</v>
      </c>
      <c r="E1361" t="s">
        <v>136</v>
      </c>
      <c r="F1361">
        <v>3851880</v>
      </c>
      <c r="G1361" t="s">
        <v>195</v>
      </c>
      <c r="H1361" t="s">
        <v>195</v>
      </c>
      <c r="I1361" t="s">
        <v>184</v>
      </c>
    </row>
    <row r="1362" spans="1:9" x14ac:dyDescent="0.2">
      <c r="A1362">
        <v>1360</v>
      </c>
      <c r="B1362" t="s">
        <v>2533</v>
      </c>
      <c r="C1362" t="s">
        <v>2534</v>
      </c>
      <c r="D1362" t="s">
        <v>153</v>
      </c>
      <c r="E1362" t="s">
        <v>136</v>
      </c>
      <c r="F1362">
        <v>16160646</v>
      </c>
      <c r="G1362" t="s">
        <v>154</v>
      </c>
      <c r="H1362" t="s">
        <v>155</v>
      </c>
      <c r="I1362" t="s">
        <v>139</v>
      </c>
    </row>
    <row r="1363" spans="1:9" x14ac:dyDescent="0.2">
      <c r="A1363">
        <v>1361</v>
      </c>
      <c r="B1363" t="s">
        <v>3603</v>
      </c>
      <c r="C1363" t="s">
        <v>2989</v>
      </c>
      <c r="D1363" t="s">
        <v>208</v>
      </c>
      <c r="E1363" t="s">
        <v>136</v>
      </c>
      <c r="F1363">
        <v>40424994</v>
      </c>
      <c r="G1363" t="s">
        <v>195</v>
      </c>
      <c r="H1363" t="s">
        <v>195</v>
      </c>
      <c r="I1363" t="s">
        <v>184</v>
      </c>
    </row>
    <row r="1364" spans="1:9" x14ac:dyDescent="0.2">
      <c r="A1364">
        <v>1362</v>
      </c>
      <c r="B1364" t="s">
        <v>3604</v>
      </c>
      <c r="C1364" t="s">
        <v>2535</v>
      </c>
      <c r="D1364" t="s">
        <v>570</v>
      </c>
      <c r="E1364" t="s">
        <v>167</v>
      </c>
      <c r="F1364">
        <v>6745480</v>
      </c>
      <c r="G1364" t="s">
        <v>260</v>
      </c>
      <c r="H1364" t="s">
        <v>183</v>
      </c>
      <c r="I1364" t="s">
        <v>184</v>
      </c>
    </row>
    <row r="1365" spans="1:9" x14ac:dyDescent="0.2">
      <c r="A1365">
        <v>1363</v>
      </c>
      <c r="B1365" t="s">
        <v>2536</v>
      </c>
      <c r="C1365" t="s">
        <v>2537</v>
      </c>
      <c r="D1365" t="s">
        <v>293</v>
      </c>
      <c r="E1365" t="s">
        <v>143</v>
      </c>
      <c r="F1365">
        <v>196858925</v>
      </c>
      <c r="G1365" t="s">
        <v>144</v>
      </c>
      <c r="H1365" t="s">
        <v>144</v>
      </c>
      <c r="I1365" t="s">
        <v>145</v>
      </c>
    </row>
    <row r="1366" spans="1:9" x14ac:dyDescent="0.2">
      <c r="A1366">
        <v>1364</v>
      </c>
      <c r="B1366" t="s">
        <v>2538</v>
      </c>
      <c r="C1366" t="s">
        <v>2539</v>
      </c>
      <c r="D1366" t="s">
        <v>430</v>
      </c>
      <c r="E1366" t="s">
        <v>136</v>
      </c>
      <c r="F1366">
        <v>1300000</v>
      </c>
      <c r="G1366" t="s">
        <v>326</v>
      </c>
      <c r="H1366" t="s">
        <v>327</v>
      </c>
      <c r="I1366" t="s">
        <v>217</v>
      </c>
    </row>
    <row r="1367" spans="1:9" x14ac:dyDescent="0.2">
      <c r="A1367">
        <v>1365</v>
      </c>
      <c r="B1367" t="s">
        <v>3605</v>
      </c>
      <c r="C1367" t="s">
        <v>2540</v>
      </c>
      <c r="D1367" t="s">
        <v>3601</v>
      </c>
      <c r="E1367" t="s">
        <v>136</v>
      </c>
      <c r="F1367">
        <v>3074100</v>
      </c>
      <c r="G1367" t="s">
        <v>212</v>
      </c>
      <c r="H1367" t="s">
        <v>183</v>
      </c>
      <c r="I1367" t="s">
        <v>184</v>
      </c>
    </row>
    <row r="1368" spans="1:9" x14ac:dyDescent="0.2">
      <c r="A1368">
        <v>1366</v>
      </c>
      <c r="B1368" t="s">
        <v>2541</v>
      </c>
      <c r="C1368" t="s">
        <v>2542</v>
      </c>
      <c r="D1368" t="s">
        <v>430</v>
      </c>
      <c r="E1368" t="s">
        <v>136</v>
      </c>
      <c r="F1368">
        <v>74800000</v>
      </c>
      <c r="G1368" t="s">
        <v>326</v>
      </c>
      <c r="H1368" t="s">
        <v>327</v>
      </c>
      <c r="I1368" t="s">
        <v>217</v>
      </c>
    </row>
    <row r="1369" spans="1:9" x14ac:dyDescent="0.2">
      <c r="A1369">
        <v>1367</v>
      </c>
      <c r="B1369" t="s">
        <v>2543</v>
      </c>
      <c r="C1369" t="s">
        <v>2544</v>
      </c>
      <c r="D1369" t="s">
        <v>678</v>
      </c>
      <c r="E1369" t="s">
        <v>136</v>
      </c>
      <c r="F1369">
        <v>4800000</v>
      </c>
      <c r="G1369" t="s">
        <v>679</v>
      </c>
      <c r="H1369" t="s">
        <v>654</v>
      </c>
      <c r="I1369" t="s">
        <v>654</v>
      </c>
    </row>
    <row r="1370" spans="1:9" x14ac:dyDescent="0.2">
      <c r="A1370">
        <v>1368</v>
      </c>
      <c r="B1370" t="s">
        <v>3067</v>
      </c>
      <c r="C1370" t="s">
        <v>3068</v>
      </c>
      <c r="D1370" t="s">
        <v>237</v>
      </c>
      <c r="E1370" t="s">
        <v>136</v>
      </c>
      <c r="F1370">
        <v>20545800</v>
      </c>
      <c r="G1370" t="s">
        <v>154</v>
      </c>
      <c r="H1370" t="s">
        <v>155</v>
      </c>
      <c r="I1370" t="s">
        <v>139</v>
      </c>
    </row>
    <row r="1371" spans="1:9" x14ac:dyDescent="0.2">
      <c r="A1371">
        <v>1369</v>
      </c>
      <c r="B1371" t="s">
        <v>3055</v>
      </c>
      <c r="C1371" t="s">
        <v>3056</v>
      </c>
      <c r="D1371" t="s">
        <v>330</v>
      </c>
      <c r="E1371" t="s">
        <v>143</v>
      </c>
      <c r="F1371">
        <v>170057593</v>
      </c>
      <c r="G1371" t="s">
        <v>330</v>
      </c>
      <c r="H1371" t="s">
        <v>312</v>
      </c>
      <c r="I1371" t="s">
        <v>313</v>
      </c>
    </row>
    <row r="1372" spans="1:9" x14ac:dyDescent="0.2">
      <c r="A1372">
        <v>1370</v>
      </c>
      <c r="B1372" t="s">
        <v>3606</v>
      </c>
      <c r="C1372" t="s">
        <v>2545</v>
      </c>
      <c r="D1372" t="s">
        <v>194</v>
      </c>
      <c r="E1372" t="s">
        <v>136</v>
      </c>
      <c r="F1372">
        <v>101509583</v>
      </c>
      <c r="G1372" t="s">
        <v>195</v>
      </c>
      <c r="H1372" t="s">
        <v>195</v>
      </c>
      <c r="I1372" t="s">
        <v>184</v>
      </c>
    </row>
    <row r="1373" spans="1:9" x14ac:dyDescent="0.2">
      <c r="A1373">
        <v>1371</v>
      </c>
      <c r="B1373" t="s">
        <v>3607</v>
      </c>
      <c r="C1373" t="s">
        <v>2546</v>
      </c>
      <c r="D1373" t="s">
        <v>194</v>
      </c>
      <c r="E1373" t="s">
        <v>167</v>
      </c>
      <c r="F1373">
        <v>5992348</v>
      </c>
      <c r="G1373" t="s">
        <v>195</v>
      </c>
      <c r="H1373" t="s">
        <v>195</v>
      </c>
      <c r="I1373" t="s">
        <v>184</v>
      </c>
    </row>
    <row r="1374" spans="1:9" x14ac:dyDescent="0.2">
      <c r="A1374">
        <v>1372</v>
      </c>
      <c r="B1374" t="s">
        <v>2547</v>
      </c>
      <c r="C1374" t="s">
        <v>2548</v>
      </c>
      <c r="D1374" t="s">
        <v>2496</v>
      </c>
      <c r="E1374" t="s">
        <v>136</v>
      </c>
      <c r="F1374">
        <v>15552000</v>
      </c>
      <c r="G1374" t="s">
        <v>269</v>
      </c>
      <c r="H1374" t="s">
        <v>241</v>
      </c>
      <c r="I1374" t="s">
        <v>242</v>
      </c>
    </row>
    <row r="1375" spans="1:9" x14ac:dyDescent="0.2">
      <c r="A1375">
        <v>1373</v>
      </c>
      <c r="B1375" t="s">
        <v>2549</v>
      </c>
      <c r="C1375" t="s">
        <v>2550</v>
      </c>
      <c r="D1375" t="s">
        <v>330</v>
      </c>
      <c r="E1375" t="s">
        <v>143</v>
      </c>
      <c r="F1375">
        <v>28490400</v>
      </c>
      <c r="G1375" t="s">
        <v>330</v>
      </c>
      <c r="H1375" t="s">
        <v>312</v>
      </c>
      <c r="I1375" t="s">
        <v>313</v>
      </c>
    </row>
    <row r="1376" spans="1:9" x14ac:dyDescent="0.2">
      <c r="A1376">
        <v>1374</v>
      </c>
      <c r="B1376" t="s">
        <v>2551</v>
      </c>
      <c r="C1376" t="s">
        <v>2552</v>
      </c>
      <c r="D1376" t="s">
        <v>200</v>
      </c>
      <c r="E1376" t="s">
        <v>143</v>
      </c>
      <c r="F1376">
        <v>393548302</v>
      </c>
      <c r="G1376" t="s">
        <v>201</v>
      </c>
      <c r="H1376" t="s">
        <v>150</v>
      </c>
      <c r="I1376" t="s">
        <v>145</v>
      </c>
    </row>
    <row r="1377" spans="1:9" x14ac:dyDescent="0.2">
      <c r="A1377">
        <v>1375</v>
      </c>
      <c r="B1377" t="s">
        <v>2553</v>
      </c>
      <c r="C1377" t="s">
        <v>2554</v>
      </c>
      <c r="D1377" t="s">
        <v>163</v>
      </c>
      <c r="E1377" t="s">
        <v>136</v>
      </c>
      <c r="F1377">
        <v>3400000</v>
      </c>
      <c r="G1377" t="s">
        <v>137</v>
      </c>
      <c r="H1377" t="s">
        <v>138</v>
      </c>
      <c r="I1377" t="s">
        <v>139</v>
      </c>
    </row>
    <row r="1378" spans="1:9" x14ac:dyDescent="0.2">
      <c r="A1378">
        <v>1376</v>
      </c>
      <c r="B1378" t="s">
        <v>2555</v>
      </c>
      <c r="C1378" t="s">
        <v>2556</v>
      </c>
      <c r="D1378" t="s">
        <v>355</v>
      </c>
      <c r="E1378" t="s">
        <v>167</v>
      </c>
      <c r="F1378">
        <v>37374846</v>
      </c>
      <c r="G1378" t="s">
        <v>356</v>
      </c>
      <c r="H1378" t="s">
        <v>150</v>
      </c>
      <c r="I1378" t="s">
        <v>145</v>
      </c>
    </row>
    <row r="1379" spans="1:9" x14ac:dyDescent="0.2">
      <c r="A1379">
        <v>1377</v>
      </c>
      <c r="B1379" t="s">
        <v>3608</v>
      </c>
      <c r="C1379" t="s">
        <v>2557</v>
      </c>
      <c r="D1379" t="s">
        <v>208</v>
      </c>
      <c r="E1379" t="s">
        <v>167</v>
      </c>
      <c r="F1379">
        <v>41908000</v>
      </c>
      <c r="G1379" t="s">
        <v>195</v>
      </c>
      <c r="H1379" t="s">
        <v>195</v>
      </c>
      <c r="I1379" t="s">
        <v>184</v>
      </c>
    </row>
    <row r="1380" spans="1:9" x14ac:dyDescent="0.2">
      <c r="A1380">
        <v>1378</v>
      </c>
      <c r="B1380" t="s">
        <v>2558</v>
      </c>
      <c r="C1380" t="s">
        <v>2559</v>
      </c>
      <c r="D1380" t="s">
        <v>1037</v>
      </c>
      <c r="E1380" t="s">
        <v>136</v>
      </c>
      <c r="F1380">
        <v>36727500</v>
      </c>
      <c r="G1380" t="s">
        <v>1037</v>
      </c>
      <c r="H1380" t="s">
        <v>174</v>
      </c>
      <c r="I1380" t="s">
        <v>174</v>
      </c>
    </row>
    <row r="1381" spans="1:9" x14ac:dyDescent="0.2">
      <c r="A1381">
        <v>1379</v>
      </c>
      <c r="B1381" t="s">
        <v>2560</v>
      </c>
      <c r="C1381" t="s">
        <v>2561</v>
      </c>
      <c r="D1381" t="s">
        <v>355</v>
      </c>
      <c r="E1381" t="s">
        <v>136</v>
      </c>
      <c r="F1381">
        <v>50800000</v>
      </c>
      <c r="G1381" t="s">
        <v>356</v>
      </c>
      <c r="H1381" t="s">
        <v>150</v>
      </c>
      <c r="I1381" t="s">
        <v>145</v>
      </c>
    </row>
    <row r="1382" spans="1:9" x14ac:dyDescent="0.2">
      <c r="A1382">
        <v>1380</v>
      </c>
      <c r="B1382" t="s">
        <v>2562</v>
      </c>
      <c r="C1382" t="s">
        <v>2563</v>
      </c>
      <c r="D1382" t="s">
        <v>430</v>
      </c>
      <c r="E1382" t="s">
        <v>167</v>
      </c>
      <c r="F1382">
        <v>4570210</v>
      </c>
      <c r="G1382" t="s">
        <v>326</v>
      </c>
      <c r="H1382" t="s">
        <v>327</v>
      </c>
      <c r="I1382" t="s">
        <v>217</v>
      </c>
    </row>
    <row r="1383" spans="1:9" x14ac:dyDescent="0.2">
      <c r="A1383">
        <v>1381</v>
      </c>
      <c r="B1383" t="s">
        <v>3609</v>
      </c>
      <c r="C1383" t="s">
        <v>2564</v>
      </c>
      <c r="D1383" t="s">
        <v>194</v>
      </c>
      <c r="E1383" t="s">
        <v>136</v>
      </c>
      <c r="F1383">
        <v>7570444</v>
      </c>
      <c r="G1383" t="s">
        <v>195</v>
      </c>
      <c r="H1383" t="s">
        <v>195</v>
      </c>
      <c r="I1383" t="s">
        <v>184</v>
      </c>
    </row>
    <row r="1384" spans="1:9" x14ac:dyDescent="0.2">
      <c r="A1384">
        <v>1382</v>
      </c>
      <c r="B1384" t="s">
        <v>3610</v>
      </c>
      <c r="C1384" t="s">
        <v>2565</v>
      </c>
      <c r="D1384" t="s">
        <v>211</v>
      </c>
      <c r="E1384" t="s">
        <v>136</v>
      </c>
      <c r="F1384">
        <v>5375079</v>
      </c>
      <c r="G1384" t="s">
        <v>212</v>
      </c>
      <c r="H1384" t="s">
        <v>183</v>
      </c>
      <c r="I1384" t="s">
        <v>184</v>
      </c>
    </row>
    <row r="1385" spans="1:9" x14ac:dyDescent="0.2">
      <c r="A1385">
        <v>1383</v>
      </c>
      <c r="B1385" t="s">
        <v>3611</v>
      </c>
      <c r="C1385" t="s">
        <v>2566</v>
      </c>
      <c r="D1385" t="s">
        <v>181</v>
      </c>
      <c r="E1385" t="s">
        <v>136</v>
      </c>
      <c r="F1385">
        <v>26691319</v>
      </c>
      <c r="G1385" t="s">
        <v>182</v>
      </c>
      <c r="H1385" t="s">
        <v>183</v>
      </c>
      <c r="I1385" t="s">
        <v>184</v>
      </c>
    </row>
    <row r="1386" spans="1:9" x14ac:dyDescent="0.2">
      <c r="A1386">
        <v>1384</v>
      </c>
      <c r="B1386" t="s">
        <v>3157</v>
      </c>
      <c r="C1386" t="s">
        <v>2567</v>
      </c>
      <c r="D1386" t="s">
        <v>181</v>
      </c>
      <c r="E1386" t="s">
        <v>143</v>
      </c>
      <c r="F1386">
        <v>67526165</v>
      </c>
      <c r="G1386" t="s">
        <v>182</v>
      </c>
      <c r="H1386" t="s">
        <v>183</v>
      </c>
      <c r="I1386" t="s">
        <v>184</v>
      </c>
    </row>
    <row r="1387" spans="1:9" x14ac:dyDescent="0.2">
      <c r="A1387">
        <v>1385</v>
      </c>
      <c r="B1387" t="s">
        <v>3612</v>
      </c>
      <c r="C1387" t="s">
        <v>2568</v>
      </c>
      <c r="D1387" t="s">
        <v>208</v>
      </c>
      <c r="E1387" t="s">
        <v>167</v>
      </c>
      <c r="F1387">
        <v>9517303</v>
      </c>
      <c r="G1387" t="s">
        <v>195</v>
      </c>
      <c r="H1387" t="s">
        <v>195</v>
      </c>
      <c r="I1387" t="s">
        <v>184</v>
      </c>
    </row>
    <row r="1388" spans="1:9" x14ac:dyDescent="0.2">
      <c r="A1388">
        <v>1386</v>
      </c>
      <c r="B1388" t="s">
        <v>3613</v>
      </c>
      <c r="C1388" t="s">
        <v>2569</v>
      </c>
      <c r="D1388" t="s">
        <v>181</v>
      </c>
      <c r="E1388" t="s">
        <v>167</v>
      </c>
      <c r="F1388">
        <v>19846016</v>
      </c>
      <c r="G1388" t="s">
        <v>182</v>
      </c>
      <c r="H1388" t="s">
        <v>183</v>
      </c>
      <c r="I1388" t="s">
        <v>184</v>
      </c>
    </row>
    <row r="1389" spans="1:9" x14ac:dyDescent="0.2">
      <c r="A1389">
        <v>1387</v>
      </c>
      <c r="B1389" t="s">
        <v>2570</v>
      </c>
      <c r="C1389" t="s">
        <v>2571</v>
      </c>
      <c r="D1389" t="s">
        <v>316</v>
      </c>
      <c r="E1389" t="s">
        <v>136</v>
      </c>
      <c r="F1389">
        <v>3000000</v>
      </c>
      <c r="G1389" t="s">
        <v>229</v>
      </c>
      <c r="H1389" t="s">
        <v>229</v>
      </c>
      <c r="I1389" t="s">
        <v>217</v>
      </c>
    </row>
    <row r="1390" spans="1:9" x14ac:dyDescent="0.2">
      <c r="A1390">
        <v>1388</v>
      </c>
      <c r="B1390" t="s">
        <v>3614</v>
      </c>
      <c r="C1390" t="s">
        <v>2572</v>
      </c>
      <c r="D1390" t="s">
        <v>194</v>
      </c>
      <c r="E1390" t="s">
        <v>136</v>
      </c>
      <c r="F1390">
        <v>6300000</v>
      </c>
      <c r="G1390" t="s">
        <v>195</v>
      </c>
      <c r="H1390" t="s">
        <v>195</v>
      </c>
      <c r="I1390" t="s">
        <v>184</v>
      </c>
    </row>
    <row r="1391" spans="1:9" x14ac:dyDescent="0.2">
      <c r="A1391">
        <v>1389</v>
      </c>
      <c r="B1391" t="s">
        <v>2573</v>
      </c>
      <c r="C1391" t="s">
        <v>2574</v>
      </c>
      <c r="D1391" t="s">
        <v>158</v>
      </c>
      <c r="E1391" t="s">
        <v>143</v>
      </c>
      <c r="F1391">
        <v>112097019</v>
      </c>
      <c r="G1391" t="s">
        <v>159</v>
      </c>
      <c r="H1391" t="s">
        <v>159</v>
      </c>
      <c r="I1391" t="s">
        <v>160</v>
      </c>
    </row>
    <row r="1392" spans="1:9" x14ac:dyDescent="0.2">
      <c r="A1392">
        <v>1390</v>
      </c>
      <c r="B1392" t="s">
        <v>2575</v>
      </c>
      <c r="C1392" t="s">
        <v>2576</v>
      </c>
      <c r="D1392" t="s">
        <v>367</v>
      </c>
      <c r="E1392" t="s">
        <v>167</v>
      </c>
      <c r="F1392">
        <v>110610670</v>
      </c>
      <c r="G1392" t="s">
        <v>159</v>
      </c>
      <c r="H1392" t="s">
        <v>159</v>
      </c>
      <c r="I1392" t="s">
        <v>160</v>
      </c>
    </row>
    <row r="1393" spans="1:9" x14ac:dyDescent="0.2">
      <c r="A1393">
        <v>1391</v>
      </c>
      <c r="B1393" t="s">
        <v>2577</v>
      </c>
      <c r="C1393" t="s">
        <v>2578</v>
      </c>
      <c r="D1393" t="s">
        <v>148</v>
      </c>
      <c r="E1393" t="s">
        <v>167</v>
      </c>
      <c r="F1393">
        <v>44962864</v>
      </c>
      <c r="G1393" t="s">
        <v>149</v>
      </c>
      <c r="H1393" t="s">
        <v>150</v>
      </c>
      <c r="I1393" t="s">
        <v>145</v>
      </c>
    </row>
    <row r="1394" spans="1:9" x14ac:dyDescent="0.2">
      <c r="A1394">
        <v>1392</v>
      </c>
      <c r="B1394" t="s">
        <v>3615</v>
      </c>
      <c r="C1394" t="s">
        <v>2579</v>
      </c>
      <c r="D1394" t="s">
        <v>208</v>
      </c>
      <c r="E1394" t="s">
        <v>136</v>
      </c>
      <c r="F1394">
        <v>2029589</v>
      </c>
      <c r="G1394" t="s">
        <v>195</v>
      </c>
      <c r="H1394" t="s">
        <v>195</v>
      </c>
      <c r="I1394" t="s">
        <v>184</v>
      </c>
    </row>
    <row r="1395" spans="1:9" x14ac:dyDescent="0.2">
      <c r="A1395">
        <v>1393</v>
      </c>
      <c r="B1395" t="s">
        <v>3616</v>
      </c>
      <c r="C1395" t="s">
        <v>2580</v>
      </c>
      <c r="D1395" t="s">
        <v>208</v>
      </c>
      <c r="E1395" t="s">
        <v>136</v>
      </c>
      <c r="F1395">
        <v>4004000</v>
      </c>
      <c r="G1395" t="s">
        <v>195</v>
      </c>
      <c r="H1395" t="s">
        <v>195</v>
      </c>
      <c r="I1395" t="s">
        <v>184</v>
      </c>
    </row>
    <row r="1396" spans="1:9" x14ac:dyDescent="0.2">
      <c r="A1396">
        <v>1394</v>
      </c>
      <c r="B1396" t="s">
        <v>3617</v>
      </c>
      <c r="C1396" t="s">
        <v>2581</v>
      </c>
      <c r="D1396" t="s">
        <v>181</v>
      </c>
      <c r="E1396" t="s">
        <v>136</v>
      </c>
      <c r="F1396">
        <v>2400000</v>
      </c>
      <c r="G1396" t="s">
        <v>182</v>
      </c>
      <c r="H1396" t="s">
        <v>183</v>
      </c>
      <c r="I1396" t="s">
        <v>184</v>
      </c>
    </row>
    <row r="1397" spans="1:9" x14ac:dyDescent="0.2">
      <c r="A1397">
        <v>1395</v>
      </c>
      <c r="B1397" t="s">
        <v>2582</v>
      </c>
      <c r="C1397" t="s">
        <v>2583</v>
      </c>
      <c r="D1397" t="s">
        <v>355</v>
      </c>
      <c r="E1397" t="s">
        <v>136</v>
      </c>
      <c r="F1397">
        <v>678000000</v>
      </c>
      <c r="G1397" t="s">
        <v>356</v>
      </c>
      <c r="H1397" t="s">
        <v>150</v>
      </c>
      <c r="I1397" t="s">
        <v>145</v>
      </c>
    </row>
    <row r="1398" spans="1:9" x14ac:dyDescent="0.2">
      <c r="A1398">
        <v>1396</v>
      </c>
      <c r="B1398" t="s">
        <v>2584</v>
      </c>
      <c r="C1398" t="s">
        <v>2585</v>
      </c>
      <c r="D1398" t="s">
        <v>158</v>
      </c>
      <c r="E1398" t="s">
        <v>143</v>
      </c>
      <c r="F1398">
        <v>166995274</v>
      </c>
      <c r="G1398" t="s">
        <v>159</v>
      </c>
      <c r="H1398" t="s">
        <v>159</v>
      </c>
      <c r="I1398" t="s">
        <v>160</v>
      </c>
    </row>
    <row r="1399" spans="1:9" x14ac:dyDescent="0.2">
      <c r="A1399">
        <v>1397</v>
      </c>
      <c r="B1399" t="s">
        <v>2586</v>
      </c>
      <c r="C1399" t="s">
        <v>2587</v>
      </c>
      <c r="D1399" t="s">
        <v>163</v>
      </c>
      <c r="E1399" t="s">
        <v>143</v>
      </c>
      <c r="F1399">
        <v>21000000</v>
      </c>
      <c r="G1399" t="s">
        <v>137</v>
      </c>
      <c r="H1399" t="s">
        <v>138</v>
      </c>
      <c r="I1399" t="s">
        <v>139</v>
      </c>
    </row>
    <row r="1400" spans="1:9" x14ac:dyDescent="0.2">
      <c r="A1400">
        <v>1398</v>
      </c>
      <c r="B1400" t="s">
        <v>2588</v>
      </c>
      <c r="C1400" t="s">
        <v>2589</v>
      </c>
      <c r="D1400" t="s">
        <v>240</v>
      </c>
      <c r="E1400" t="s">
        <v>136</v>
      </c>
      <c r="F1400">
        <v>1750000</v>
      </c>
      <c r="G1400" t="s">
        <v>240</v>
      </c>
      <c r="H1400" t="s">
        <v>241</v>
      </c>
      <c r="I1400" t="s">
        <v>242</v>
      </c>
    </row>
    <row r="1401" spans="1:9" x14ac:dyDescent="0.2">
      <c r="A1401">
        <v>1399</v>
      </c>
      <c r="B1401" t="s">
        <v>3618</v>
      </c>
      <c r="C1401" t="s">
        <v>2590</v>
      </c>
      <c r="D1401" t="s">
        <v>194</v>
      </c>
      <c r="E1401" t="s">
        <v>167</v>
      </c>
      <c r="F1401">
        <v>7000000</v>
      </c>
      <c r="G1401" t="s">
        <v>195</v>
      </c>
      <c r="H1401" t="s">
        <v>195</v>
      </c>
      <c r="I1401" t="s">
        <v>184</v>
      </c>
    </row>
    <row r="1402" spans="1:9" x14ac:dyDescent="0.2">
      <c r="A1402">
        <v>1400</v>
      </c>
      <c r="B1402" t="s">
        <v>3619</v>
      </c>
      <c r="C1402" t="s">
        <v>2591</v>
      </c>
      <c r="D1402" t="s">
        <v>570</v>
      </c>
      <c r="E1402" t="s">
        <v>143</v>
      </c>
      <c r="F1402">
        <v>6134773</v>
      </c>
      <c r="G1402" t="s">
        <v>260</v>
      </c>
      <c r="H1402" t="s">
        <v>183</v>
      </c>
      <c r="I1402" t="s">
        <v>184</v>
      </c>
    </row>
    <row r="1403" spans="1:9" x14ac:dyDescent="0.2">
      <c r="A1403">
        <v>1401</v>
      </c>
      <c r="B1403" t="s">
        <v>3620</v>
      </c>
      <c r="C1403" t="s">
        <v>2592</v>
      </c>
      <c r="D1403" t="s">
        <v>437</v>
      </c>
      <c r="E1403" t="s">
        <v>136</v>
      </c>
      <c r="F1403">
        <v>5344345</v>
      </c>
      <c r="G1403" t="s">
        <v>182</v>
      </c>
      <c r="H1403" t="s">
        <v>183</v>
      </c>
      <c r="I1403" t="s">
        <v>184</v>
      </c>
    </row>
    <row r="1404" spans="1:9" x14ac:dyDescent="0.2">
      <c r="A1404">
        <v>1402</v>
      </c>
      <c r="B1404" t="s">
        <v>3621</v>
      </c>
      <c r="C1404" t="s">
        <v>2593</v>
      </c>
      <c r="D1404" t="s">
        <v>208</v>
      </c>
      <c r="E1404" t="s">
        <v>136</v>
      </c>
      <c r="F1404">
        <v>35000000</v>
      </c>
      <c r="G1404" t="s">
        <v>195</v>
      </c>
      <c r="H1404" t="s">
        <v>195</v>
      </c>
      <c r="I1404" t="s">
        <v>184</v>
      </c>
    </row>
    <row r="1405" spans="1:9" x14ac:dyDescent="0.2">
      <c r="A1405">
        <v>1403</v>
      </c>
      <c r="B1405" t="s">
        <v>3622</v>
      </c>
      <c r="C1405" t="s">
        <v>2594</v>
      </c>
      <c r="D1405" t="s">
        <v>208</v>
      </c>
      <c r="E1405" t="s">
        <v>136</v>
      </c>
      <c r="F1405">
        <v>16500000</v>
      </c>
      <c r="G1405" t="s">
        <v>195</v>
      </c>
      <c r="H1405" t="s">
        <v>195</v>
      </c>
      <c r="I1405" t="s">
        <v>184</v>
      </c>
    </row>
    <row r="1406" spans="1:9" x14ac:dyDescent="0.2">
      <c r="A1406">
        <v>1404</v>
      </c>
      <c r="B1406" t="s">
        <v>3623</v>
      </c>
      <c r="C1406" t="s">
        <v>2595</v>
      </c>
      <c r="D1406" t="s">
        <v>437</v>
      </c>
      <c r="E1406" t="s">
        <v>136</v>
      </c>
      <c r="F1406">
        <v>6620000</v>
      </c>
      <c r="G1406" t="s">
        <v>182</v>
      </c>
      <c r="H1406" t="s">
        <v>183</v>
      </c>
      <c r="I1406" t="s">
        <v>184</v>
      </c>
    </row>
    <row r="1407" spans="1:9" x14ac:dyDescent="0.2">
      <c r="A1407">
        <v>1405</v>
      </c>
      <c r="B1407" t="s">
        <v>3624</v>
      </c>
      <c r="C1407" t="s">
        <v>2596</v>
      </c>
      <c r="D1407" t="s">
        <v>289</v>
      </c>
      <c r="E1407" t="s">
        <v>136</v>
      </c>
      <c r="F1407">
        <v>2438100</v>
      </c>
      <c r="G1407" t="s">
        <v>290</v>
      </c>
      <c r="H1407" t="s">
        <v>183</v>
      </c>
      <c r="I1407" t="s">
        <v>184</v>
      </c>
    </row>
    <row r="1408" spans="1:9" x14ac:dyDescent="0.2">
      <c r="A1408">
        <v>1406</v>
      </c>
      <c r="B1408" t="s">
        <v>2597</v>
      </c>
      <c r="C1408" t="s">
        <v>2598</v>
      </c>
      <c r="D1408" t="s">
        <v>330</v>
      </c>
      <c r="E1408" t="s">
        <v>143</v>
      </c>
      <c r="F1408">
        <v>8308000</v>
      </c>
      <c r="G1408" t="s">
        <v>330</v>
      </c>
      <c r="H1408" t="s">
        <v>312</v>
      </c>
      <c r="I1408" t="s">
        <v>313</v>
      </c>
    </row>
    <row r="1409" spans="1:9" x14ac:dyDescent="0.2">
      <c r="A1409">
        <v>1407</v>
      </c>
      <c r="B1409" t="s">
        <v>3625</v>
      </c>
      <c r="C1409" t="s">
        <v>2599</v>
      </c>
      <c r="D1409" t="s">
        <v>208</v>
      </c>
      <c r="E1409" t="s">
        <v>136</v>
      </c>
      <c r="F1409">
        <v>1841617</v>
      </c>
      <c r="G1409" t="s">
        <v>195</v>
      </c>
      <c r="H1409" t="s">
        <v>195</v>
      </c>
      <c r="I1409" t="s">
        <v>184</v>
      </c>
    </row>
    <row r="1410" spans="1:9" x14ac:dyDescent="0.2">
      <c r="A1410">
        <v>1408</v>
      </c>
      <c r="B1410" t="s">
        <v>2600</v>
      </c>
      <c r="C1410" t="s">
        <v>2601</v>
      </c>
      <c r="D1410" t="s">
        <v>678</v>
      </c>
      <c r="E1410" t="s">
        <v>167</v>
      </c>
      <c r="F1410">
        <v>42617632</v>
      </c>
      <c r="G1410" t="s">
        <v>679</v>
      </c>
      <c r="H1410" t="s">
        <v>654</v>
      </c>
      <c r="I1410" t="s">
        <v>654</v>
      </c>
    </row>
    <row r="1411" spans="1:9" x14ac:dyDescent="0.2">
      <c r="A1411">
        <v>1409</v>
      </c>
      <c r="B1411" t="s">
        <v>2602</v>
      </c>
      <c r="C1411" t="s">
        <v>2603</v>
      </c>
      <c r="D1411" t="s">
        <v>627</v>
      </c>
      <c r="E1411" t="s">
        <v>136</v>
      </c>
      <c r="F1411">
        <v>3400000</v>
      </c>
      <c r="G1411" t="s">
        <v>311</v>
      </c>
      <c r="H1411" t="s">
        <v>312</v>
      </c>
      <c r="I1411" t="s">
        <v>313</v>
      </c>
    </row>
    <row r="1412" spans="1:9" x14ac:dyDescent="0.2">
      <c r="A1412">
        <v>1410</v>
      </c>
      <c r="B1412" t="s">
        <v>2604</v>
      </c>
      <c r="C1412" t="s">
        <v>2605</v>
      </c>
      <c r="D1412" t="s">
        <v>240</v>
      </c>
      <c r="E1412" t="s">
        <v>136</v>
      </c>
      <c r="F1412">
        <v>13294641</v>
      </c>
      <c r="G1412" t="s">
        <v>240</v>
      </c>
      <c r="H1412" t="s">
        <v>241</v>
      </c>
      <c r="I1412" t="s">
        <v>242</v>
      </c>
    </row>
    <row r="1413" spans="1:9" x14ac:dyDescent="0.2">
      <c r="A1413">
        <v>1411</v>
      </c>
      <c r="B1413" t="s">
        <v>3626</v>
      </c>
      <c r="C1413" t="s">
        <v>2606</v>
      </c>
      <c r="D1413" t="s">
        <v>208</v>
      </c>
      <c r="E1413" t="s">
        <v>136</v>
      </c>
      <c r="F1413">
        <v>5500000</v>
      </c>
      <c r="G1413" t="s">
        <v>195</v>
      </c>
      <c r="H1413" t="s">
        <v>195</v>
      </c>
      <c r="I1413" t="s">
        <v>184</v>
      </c>
    </row>
    <row r="1414" spans="1:9" x14ac:dyDescent="0.2">
      <c r="A1414">
        <v>1412</v>
      </c>
      <c r="B1414" t="s">
        <v>3627</v>
      </c>
      <c r="C1414" t="s">
        <v>2607</v>
      </c>
      <c r="D1414" t="s">
        <v>437</v>
      </c>
      <c r="E1414" t="s">
        <v>136</v>
      </c>
      <c r="F1414">
        <v>5600000</v>
      </c>
      <c r="G1414" t="s">
        <v>182</v>
      </c>
      <c r="H1414" t="s">
        <v>183</v>
      </c>
      <c r="I1414" t="s">
        <v>184</v>
      </c>
    </row>
    <row r="1415" spans="1:9" x14ac:dyDescent="0.2">
      <c r="A1415">
        <v>1413</v>
      </c>
      <c r="B1415" t="s">
        <v>3628</v>
      </c>
      <c r="C1415" t="s">
        <v>3629</v>
      </c>
      <c r="D1415" t="s">
        <v>153</v>
      </c>
      <c r="E1415" t="s">
        <v>136</v>
      </c>
      <c r="F1415">
        <v>35400000</v>
      </c>
      <c r="G1415" t="s">
        <v>154</v>
      </c>
      <c r="H1415" t="s">
        <v>155</v>
      </c>
      <c r="I1415" t="s">
        <v>139</v>
      </c>
    </row>
    <row r="1416" spans="1:9" x14ac:dyDescent="0.2">
      <c r="A1416">
        <v>1414</v>
      </c>
      <c r="B1416" t="s">
        <v>3630</v>
      </c>
      <c r="C1416" t="s">
        <v>2608</v>
      </c>
      <c r="D1416" t="s">
        <v>208</v>
      </c>
      <c r="E1416" t="s">
        <v>167</v>
      </c>
      <c r="F1416">
        <v>11636000</v>
      </c>
      <c r="G1416" t="s">
        <v>195</v>
      </c>
      <c r="H1416" t="s">
        <v>195</v>
      </c>
      <c r="I1416" t="s">
        <v>184</v>
      </c>
    </row>
    <row r="1417" spans="1:9" x14ac:dyDescent="0.2">
      <c r="A1417">
        <v>1415</v>
      </c>
      <c r="B1417" t="s">
        <v>3631</v>
      </c>
      <c r="C1417" t="s">
        <v>2609</v>
      </c>
      <c r="D1417" t="s">
        <v>208</v>
      </c>
      <c r="E1417" t="s">
        <v>136</v>
      </c>
      <c r="F1417">
        <v>10000000</v>
      </c>
      <c r="G1417" t="s">
        <v>195</v>
      </c>
      <c r="H1417" t="s">
        <v>195</v>
      </c>
      <c r="I1417" t="s">
        <v>184</v>
      </c>
    </row>
    <row r="1418" spans="1:9" x14ac:dyDescent="0.2">
      <c r="A1418">
        <v>1416</v>
      </c>
      <c r="B1418" t="s">
        <v>2610</v>
      </c>
      <c r="C1418" t="s">
        <v>2611</v>
      </c>
      <c r="D1418" t="s">
        <v>166</v>
      </c>
      <c r="E1418" t="s">
        <v>167</v>
      </c>
      <c r="F1418">
        <v>11999789</v>
      </c>
      <c r="G1418" t="s">
        <v>166</v>
      </c>
      <c r="H1418" t="s">
        <v>166</v>
      </c>
      <c r="I1418" t="s">
        <v>160</v>
      </c>
    </row>
    <row r="1419" spans="1:9" x14ac:dyDescent="0.2">
      <c r="A1419">
        <v>1417</v>
      </c>
      <c r="B1419" t="s">
        <v>2612</v>
      </c>
      <c r="C1419" t="s">
        <v>2613</v>
      </c>
      <c r="D1419" t="s">
        <v>170</v>
      </c>
      <c r="E1419" t="s">
        <v>143</v>
      </c>
      <c r="F1419">
        <v>539960043</v>
      </c>
      <c r="G1419" t="s">
        <v>170</v>
      </c>
      <c r="H1419" t="s">
        <v>170</v>
      </c>
      <c r="I1419" t="s">
        <v>170</v>
      </c>
    </row>
    <row r="1420" spans="1:9" x14ac:dyDescent="0.2">
      <c r="A1420">
        <v>1418</v>
      </c>
      <c r="B1420" t="s">
        <v>2614</v>
      </c>
      <c r="C1420" t="s">
        <v>2615</v>
      </c>
      <c r="D1420" t="s">
        <v>293</v>
      </c>
      <c r="E1420" t="s">
        <v>143</v>
      </c>
      <c r="F1420">
        <v>37665348</v>
      </c>
      <c r="G1420" t="s">
        <v>144</v>
      </c>
      <c r="H1420" t="s">
        <v>144</v>
      </c>
      <c r="I1420" t="s">
        <v>145</v>
      </c>
    </row>
    <row r="1421" spans="1:9" x14ac:dyDescent="0.2">
      <c r="A1421">
        <v>1419</v>
      </c>
      <c r="B1421" t="s">
        <v>2616</v>
      </c>
      <c r="C1421" t="s">
        <v>2617</v>
      </c>
      <c r="D1421" t="s">
        <v>383</v>
      </c>
      <c r="E1421" t="s">
        <v>136</v>
      </c>
      <c r="F1421">
        <v>32000000</v>
      </c>
      <c r="G1421" t="s">
        <v>311</v>
      </c>
      <c r="H1421" t="s">
        <v>312</v>
      </c>
      <c r="I1421" t="s">
        <v>313</v>
      </c>
    </row>
    <row r="1422" spans="1:9" x14ac:dyDescent="0.2">
      <c r="A1422">
        <v>1420</v>
      </c>
      <c r="B1422" t="s">
        <v>2618</v>
      </c>
      <c r="C1422" t="s">
        <v>2619</v>
      </c>
      <c r="D1422" t="s">
        <v>170</v>
      </c>
      <c r="E1422" t="s">
        <v>136</v>
      </c>
      <c r="F1422">
        <v>821031970</v>
      </c>
      <c r="G1422" t="s">
        <v>170</v>
      </c>
      <c r="H1422" t="s">
        <v>170</v>
      </c>
      <c r="I1422" t="s">
        <v>170</v>
      </c>
    </row>
    <row r="1423" spans="1:9" x14ac:dyDescent="0.2">
      <c r="A1423">
        <v>1421</v>
      </c>
      <c r="B1423" t="s">
        <v>3632</v>
      </c>
      <c r="C1423" t="s">
        <v>2620</v>
      </c>
      <c r="D1423" t="s">
        <v>283</v>
      </c>
      <c r="E1423" t="s">
        <v>167</v>
      </c>
      <c r="F1423">
        <v>7499972</v>
      </c>
      <c r="G1423" t="s">
        <v>284</v>
      </c>
      <c r="H1423" t="s">
        <v>183</v>
      </c>
      <c r="I1423" t="s">
        <v>184</v>
      </c>
    </row>
    <row r="1424" spans="1:9" x14ac:dyDescent="0.2">
      <c r="A1424">
        <v>1422</v>
      </c>
      <c r="B1424" t="s">
        <v>2621</v>
      </c>
      <c r="C1424" t="s">
        <v>2622</v>
      </c>
      <c r="D1424" t="s">
        <v>149</v>
      </c>
      <c r="E1424" t="s">
        <v>136</v>
      </c>
      <c r="F1424">
        <v>8600000</v>
      </c>
      <c r="G1424" t="s">
        <v>149</v>
      </c>
      <c r="H1424" t="s">
        <v>150</v>
      </c>
      <c r="I1424" t="s">
        <v>145</v>
      </c>
    </row>
    <row r="1425" spans="1:9" x14ac:dyDescent="0.2">
      <c r="A1425">
        <v>1423</v>
      </c>
      <c r="B1425" t="s">
        <v>3633</v>
      </c>
      <c r="C1425" t="s">
        <v>2623</v>
      </c>
      <c r="D1425" t="s">
        <v>570</v>
      </c>
      <c r="E1425" t="s">
        <v>136</v>
      </c>
      <c r="F1425">
        <v>2900000</v>
      </c>
      <c r="G1425" t="s">
        <v>260</v>
      </c>
      <c r="H1425" t="s">
        <v>183</v>
      </c>
      <c r="I1425" t="s">
        <v>184</v>
      </c>
    </row>
    <row r="1426" spans="1:9" x14ac:dyDescent="0.2">
      <c r="A1426">
        <v>1424</v>
      </c>
      <c r="B1426" t="s">
        <v>3634</v>
      </c>
      <c r="C1426" t="s">
        <v>2624</v>
      </c>
      <c r="D1426" t="s">
        <v>208</v>
      </c>
      <c r="E1426" t="s">
        <v>167</v>
      </c>
      <c r="F1426">
        <v>12000000</v>
      </c>
      <c r="G1426" t="s">
        <v>195</v>
      </c>
      <c r="H1426" t="s">
        <v>195</v>
      </c>
      <c r="I1426" t="s">
        <v>184</v>
      </c>
    </row>
    <row r="1427" spans="1:9" x14ac:dyDescent="0.2">
      <c r="A1427">
        <v>1425</v>
      </c>
      <c r="B1427" t="s">
        <v>3635</v>
      </c>
      <c r="C1427" t="s">
        <v>2625</v>
      </c>
      <c r="D1427" t="s">
        <v>208</v>
      </c>
      <c r="E1427" t="s">
        <v>167</v>
      </c>
      <c r="F1427">
        <v>68769410</v>
      </c>
      <c r="G1427" t="s">
        <v>195</v>
      </c>
      <c r="H1427" t="s">
        <v>195</v>
      </c>
      <c r="I1427" t="s">
        <v>184</v>
      </c>
    </row>
    <row r="1428" spans="1:9" x14ac:dyDescent="0.2">
      <c r="A1428">
        <v>1426</v>
      </c>
      <c r="B1428" t="s">
        <v>2626</v>
      </c>
      <c r="C1428" t="s">
        <v>2627</v>
      </c>
      <c r="D1428" t="s">
        <v>415</v>
      </c>
      <c r="E1428" t="s">
        <v>167</v>
      </c>
      <c r="F1428">
        <v>125150939</v>
      </c>
      <c r="G1428" t="s">
        <v>166</v>
      </c>
      <c r="H1428" t="s">
        <v>166</v>
      </c>
      <c r="I1428" t="s">
        <v>160</v>
      </c>
    </row>
    <row r="1429" spans="1:9" x14ac:dyDescent="0.2">
      <c r="A1429">
        <v>1427</v>
      </c>
      <c r="B1429" t="s">
        <v>3636</v>
      </c>
      <c r="C1429" t="s">
        <v>2146</v>
      </c>
      <c r="D1429" t="s">
        <v>208</v>
      </c>
      <c r="E1429" t="s">
        <v>136</v>
      </c>
      <c r="F1429">
        <v>5000000</v>
      </c>
      <c r="G1429" t="s">
        <v>195</v>
      </c>
      <c r="H1429" t="s">
        <v>195</v>
      </c>
      <c r="I1429" t="s">
        <v>184</v>
      </c>
    </row>
    <row r="1430" spans="1:9" x14ac:dyDescent="0.2">
      <c r="A1430">
        <v>1428</v>
      </c>
      <c r="B1430" t="s">
        <v>3637</v>
      </c>
      <c r="C1430" t="s">
        <v>2628</v>
      </c>
      <c r="D1430" t="s">
        <v>208</v>
      </c>
      <c r="E1430" t="s">
        <v>167</v>
      </c>
      <c r="F1430">
        <v>10840877</v>
      </c>
      <c r="G1430" t="s">
        <v>195</v>
      </c>
      <c r="H1430" t="s">
        <v>195</v>
      </c>
      <c r="I1430" t="s">
        <v>184</v>
      </c>
    </row>
    <row r="1431" spans="1:9" x14ac:dyDescent="0.2">
      <c r="A1431">
        <v>1429</v>
      </c>
      <c r="B1431" t="s">
        <v>3638</v>
      </c>
      <c r="C1431" t="s">
        <v>2629</v>
      </c>
      <c r="D1431" t="s">
        <v>208</v>
      </c>
      <c r="E1431" t="s">
        <v>167</v>
      </c>
      <c r="F1431">
        <v>96090870</v>
      </c>
      <c r="G1431" t="s">
        <v>195</v>
      </c>
      <c r="H1431" t="s">
        <v>195</v>
      </c>
      <c r="I1431" t="s">
        <v>184</v>
      </c>
    </row>
    <row r="1432" spans="1:9" x14ac:dyDescent="0.2">
      <c r="A1432">
        <v>1430</v>
      </c>
      <c r="B1432" t="s">
        <v>3151</v>
      </c>
      <c r="C1432" t="s">
        <v>2630</v>
      </c>
      <c r="D1432" t="s">
        <v>208</v>
      </c>
      <c r="E1432" t="s">
        <v>167</v>
      </c>
      <c r="F1432">
        <v>17000000</v>
      </c>
      <c r="G1432" t="s">
        <v>195</v>
      </c>
      <c r="H1432" t="s">
        <v>195</v>
      </c>
      <c r="I1432" t="s">
        <v>184</v>
      </c>
    </row>
    <row r="1433" spans="1:9" x14ac:dyDescent="0.2">
      <c r="A1433">
        <v>1431</v>
      </c>
      <c r="B1433" t="s">
        <v>2631</v>
      </c>
      <c r="C1433" t="s">
        <v>2632</v>
      </c>
      <c r="D1433" t="s">
        <v>355</v>
      </c>
      <c r="E1433" t="s">
        <v>143</v>
      </c>
      <c r="F1433">
        <v>15187322</v>
      </c>
      <c r="G1433" t="s">
        <v>356</v>
      </c>
      <c r="H1433" t="s">
        <v>150</v>
      </c>
      <c r="I1433" t="s">
        <v>145</v>
      </c>
    </row>
    <row r="1434" spans="1:9" x14ac:dyDescent="0.2">
      <c r="A1434">
        <v>1432</v>
      </c>
      <c r="B1434" t="s">
        <v>123</v>
      </c>
      <c r="C1434" t="s">
        <v>2633</v>
      </c>
      <c r="D1434" t="s">
        <v>170</v>
      </c>
      <c r="E1434" t="s">
        <v>143</v>
      </c>
      <c r="F1434">
        <v>8355675094</v>
      </c>
      <c r="G1434" t="s">
        <v>170</v>
      </c>
      <c r="H1434" t="s">
        <v>170</v>
      </c>
      <c r="I1434" t="s">
        <v>170</v>
      </c>
    </row>
    <row r="1435" spans="1:9" x14ac:dyDescent="0.2">
      <c r="A1435">
        <v>1433</v>
      </c>
      <c r="B1435" t="s">
        <v>3639</v>
      </c>
      <c r="C1435" t="s">
        <v>2634</v>
      </c>
      <c r="D1435" t="s">
        <v>208</v>
      </c>
      <c r="E1435" t="s">
        <v>167</v>
      </c>
      <c r="F1435">
        <v>24000000</v>
      </c>
      <c r="G1435" t="s">
        <v>195</v>
      </c>
      <c r="H1435" t="s">
        <v>195</v>
      </c>
      <c r="I1435" t="s">
        <v>184</v>
      </c>
    </row>
    <row r="1436" spans="1:9" x14ac:dyDescent="0.2">
      <c r="A1436">
        <v>1434</v>
      </c>
      <c r="B1436" t="s">
        <v>3640</v>
      </c>
      <c r="C1436" t="s">
        <v>2635</v>
      </c>
      <c r="D1436" t="s">
        <v>208</v>
      </c>
      <c r="E1436" t="s">
        <v>136</v>
      </c>
      <c r="F1436">
        <v>5000000</v>
      </c>
      <c r="G1436" t="s">
        <v>195</v>
      </c>
      <c r="H1436" t="s">
        <v>195</v>
      </c>
      <c r="I1436" t="s">
        <v>184</v>
      </c>
    </row>
    <row r="1437" spans="1:9" x14ac:dyDescent="0.2">
      <c r="A1437">
        <v>1435</v>
      </c>
      <c r="B1437" t="s">
        <v>2636</v>
      </c>
      <c r="C1437" t="s">
        <v>2637</v>
      </c>
      <c r="D1437" t="s">
        <v>400</v>
      </c>
      <c r="E1437" t="s">
        <v>143</v>
      </c>
      <c r="F1437">
        <v>26579135</v>
      </c>
      <c r="G1437" t="s">
        <v>348</v>
      </c>
      <c r="H1437" t="s">
        <v>155</v>
      </c>
      <c r="I1437" t="s">
        <v>139</v>
      </c>
    </row>
    <row r="1438" spans="1:9" x14ac:dyDescent="0.2">
      <c r="A1438">
        <v>1436</v>
      </c>
      <c r="B1438" t="s">
        <v>2638</v>
      </c>
      <c r="C1438" t="s">
        <v>2639</v>
      </c>
      <c r="D1438" t="s">
        <v>208</v>
      </c>
      <c r="E1438" t="s">
        <v>143</v>
      </c>
      <c r="F1438">
        <v>646468336</v>
      </c>
      <c r="G1438" t="s">
        <v>195</v>
      </c>
      <c r="H1438" t="s">
        <v>195</v>
      </c>
      <c r="I1438" t="s">
        <v>184</v>
      </c>
    </row>
    <row r="1439" spans="1:9" x14ac:dyDescent="0.2">
      <c r="A1439">
        <v>1437</v>
      </c>
      <c r="B1439" t="s">
        <v>3686</v>
      </c>
      <c r="C1439" t="s">
        <v>3687</v>
      </c>
      <c r="D1439" t="s">
        <v>158</v>
      </c>
      <c r="E1439" t="s">
        <v>143</v>
      </c>
      <c r="F1439">
        <v>2434921120</v>
      </c>
      <c r="G1439" t="s">
        <v>159</v>
      </c>
      <c r="H1439" t="s">
        <v>159</v>
      </c>
      <c r="I1439" t="s">
        <v>160</v>
      </c>
    </row>
    <row r="1440" spans="1:9" x14ac:dyDescent="0.2">
      <c r="A1440">
        <v>1438</v>
      </c>
      <c r="B1440" t="s">
        <v>2640</v>
      </c>
      <c r="C1440" t="s">
        <v>2641</v>
      </c>
      <c r="D1440" t="s">
        <v>158</v>
      </c>
      <c r="E1440" t="s">
        <v>143</v>
      </c>
      <c r="F1440">
        <v>722600000</v>
      </c>
      <c r="G1440" t="s">
        <v>159</v>
      </c>
      <c r="H1440" t="s">
        <v>159</v>
      </c>
      <c r="I1440" t="s">
        <v>160</v>
      </c>
    </row>
    <row r="1441" spans="1:9" x14ac:dyDescent="0.2">
      <c r="A1441">
        <v>1439</v>
      </c>
      <c r="B1441" t="s">
        <v>3641</v>
      </c>
      <c r="C1441" t="s">
        <v>2642</v>
      </c>
      <c r="D1441" t="s">
        <v>567</v>
      </c>
      <c r="E1441" t="s">
        <v>167</v>
      </c>
      <c r="F1441">
        <v>6000000</v>
      </c>
      <c r="G1441" t="s">
        <v>182</v>
      </c>
      <c r="H1441" t="s">
        <v>183</v>
      </c>
      <c r="I1441" t="s">
        <v>184</v>
      </c>
    </row>
    <row r="1442" spans="1:9" x14ac:dyDescent="0.2">
      <c r="A1442">
        <v>1440</v>
      </c>
      <c r="B1442" t="s">
        <v>2643</v>
      </c>
      <c r="C1442" t="s">
        <v>2644</v>
      </c>
      <c r="D1442" t="s">
        <v>330</v>
      </c>
      <c r="E1442" t="s">
        <v>136</v>
      </c>
      <c r="F1442">
        <v>83789658</v>
      </c>
      <c r="G1442" t="s">
        <v>330</v>
      </c>
      <c r="H1442" t="s">
        <v>312</v>
      </c>
      <c r="I1442" t="s">
        <v>313</v>
      </c>
    </row>
    <row r="1443" spans="1:9" x14ac:dyDescent="0.2">
      <c r="A1443">
        <v>1441</v>
      </c>
      <c r="B1443" t="s">
        <v>2645</v>
      </c>
      <c r="C1443" t="s">
        <v>2646</v>
      </c>
      <c r="D1443" t="s">
        <v>166</v>
      </c>
      <c r="E1443" t="s">
        <v>136</v>
      </c>
      <c r="F1443">
        <v>210000000</v>
      </c>
      <c r="G1443" t="s">
        <v>166</v>
      </c>
      <c r="H1443" t="s">
        <v>166</v>
      </c>
      <c r="I1443" t="s">
        <v>160</v>
      </c>
    </row>
    <row r="1444" spans="1:9" x14ac:dyDescent="0.2">
      <c r="A1444">
        <v>1442</v>
      </c>
      <c r="B1444" t="s">
        <v>3642</v>
      </c>
      <c r="C1444" t="s">
        <v>2647</v>
      </c>
      <c r="D1444" t="s">
        <v>194</v>
      </c>
      <c r="E1444" t="s">
        <v>167</v>
      </c>
      <c r="F1444">
        <v>160000000</v>
      </c>
      <c r="G1444" t="s">
        <v>195</v>
      </c>
      <c r="H1444" t="s">
        <v>195</v>
      </c>
      <c r="I1444" t="s">
        <v>184</v>
      </c>
    </row>
    <row r="1445" spans="1:9" x14ac:dyDescent="0.2">
      <c r="A1445">
        <v>1443</v>
      </c>
      <c r="B1445" t="s">
        <v>3643</v>
      </c>
      <c r="C1445" t="s">
        <v>2648</v>
      </c>
      <c r="D1445" t="s">
        <v>181</v>
      </c>
      <c r="E1445" t="s">
        <v>136</v>
      </c>
      <c r="F1445">
        <v>1100000</v>
      </c>
      <c r="G1445" t="s">
        <v>182</v>
      </c>
      <c r="H1445" t="s">
        <v>183</v>
      </c>
      <c r="I1445" t="s">
        <v>184</v>
      </c>
    </row>
    <row r="1446" spans="1:9" x14ac:dyDescent="0.2">
      <c r="A1446">
        <v>1444</v>
      </c>
      <c r="B1446" t="s">
        <v>2649</v>
      </c>
      <c r="C1446" t="s">
        <v>2650</v>
      </c>
      <c r="D1446" t="s">
        <v>383</v>
      </c>
      <c r="E1446" t="s">
        <v>136</v>
      </c>
      <c r="F1446">
        <v>75000000</v>
      </c>
      <c r="G1446" t="s">
        <v>311</v>
      </c>
      <c r="H1446" t="s">
        <v>312</v>
      </c>
      <c r="I1446" t="s">
        <v>313</v>
      </c>
    </row>
    <row r="1447" spans="1:9" x14ac:dyDescent="0.2">
      <c r="A1447">
        <v>1445</v>
      </c>
      <c r="B1447" t="s">
        <v>3644</v>
      </c>
      <c r="C1447" t="s">
        <v>2651</v>
      </c>
      <c r="D1447" t="s">
        <v>194</v>
      </c>
      <c r="E1447" t="s">
        <v>136</v>
      </c>
      <c r="F1447">
        <v>26530000</v>
      </c>
      <c r="G1447" t="s">
        <v>195</v>
      </c>
      <c r="H1447" t="s">
        <v>195</v>
      </c>
      <c r="I1447" t="s">
        <v>184</v>
      </c>
    </row>
    <row r="1448" spans="1:9" x14ac:dyDescent="0.2">
      <c r="A1448">
        <v>1446</v>
      </c>
      <c r="B1448" t="s">
        <v>2652</v>
      </c>
      <c r="C1448" t="s">
        <v>2653</v>
      </c>
      <c r="D1448" t="s">
        <v>148</v>
      </c>
      <c r="E1448" t="s">
        <v>136</v>
      </c>
      <c r="F1448">
        <v>8678238</v>
      </c>
      <c r="G1448" t="s">
        <v>149</v>
      </c>
      <c r="H1448" t="s">
        <v>150</v>
      </c>
      <c r="I1448" t="s">
        <v>145</v>
      </c>
    </row>
    <row r="1449" spans="1:9" x14ac:dyDescent="0.2">
      <c r="A1449">
        <v>1447</v>
      </c>
      <c r="B1449" t="s">
        <v>3645</v>
      </c>
      <c r="C1449" t="s">
        <v>3646</v>
      </c>
      <c r="D1449" t="s">
        <v>163</v>
      </c>
      <c r="E1449" t="s">
        <v>136</v>
      </c>
      <c r="F1449">
        <v>5774992</v>
      </c>
      <c r="G1449" t="s">
        <v>137</v>
      </c>
      <c r="H1449" t="s">
        <v>138</v>
      </c>
      <c r="I1449" t="s">
        <v>139</v>
      </c>
    </row>
    <row r="1450" spans="1:9" x14ac:dyDescent="0.2">
      <c r="A1450">
        <v>1448</v>
      </c>
      <c r="B1450" t="s">
        <v>2654</v>
      </c>
      <c r="C1450" t="s">
        <v>2655</v>
      </c>
      <c r="D1450" t="s">
        <v>1178</v>
      </c>
      <c r="E1450" t="s">
        <v>167</v>
      </c>
      <c r="F1450">
        <v>14657150</v>
      </c>
      <c r="G1450" t="s">
        <v>348</v>
      </c>
      <c r="H1450" t="s">
        <v>155</v>
      </c>
      <c r="I1450" t="s">
        <v>139</v>
      </c>
    </row>
    <row r="1451" spans="1:9" x14ac:dyDescent="0.2">
      <c r="A1451">
        <v>1449</v>
      </c>
      <c r="B1451" t="s">
        <v>2656</v>
      </c>
      <c r="C1451" t="s">
        <v>2657</v>
      </c>
      <c r="D1451" t="s">
        <v>163</v>
      </c>
      <c r="E1451" t="s">
        <v>136</v>
      </c>
      <c r="F1451">
        <v>3298910</v>
      </c>
      <c r="G1451" t="s">
        <v>137</v>
      </c>
      <c r="H1451" t="s">
        <v>138</v>
      </c>
      <c r="I1451" t="s">
        <v>139</v>
      </c>
    </row>
    <row r="1452" spans="1:9" x14ac:dyDescent="0.2">
      <c r="A1452">
        <v>1450</v>
      </c>
      <c r="B1452" t="s">
        <v>2658</v>
      </c>
      <c r="C1452" t="s">
        <v>2659</v>
      </c>
      <c r="D1452" t="s">
        <v>240</v>
      </c>
      <c r="E1452" t="s">
        <v>143</v>
      </c>
      <c r="F1452">
        <v>22083392</v>
      </c>
      <c r="G1452" t="s">
        <v>240</v>
      </c>
      <c r="H1452" t="s">
        <v>241</v>
      </c>
      <c r="I1452" t="s">
        <v>242</v>
      </c>
    </row>
    <row r="1453" spans="1:9" x14ac:dyDescent="0.2">
      <c r="A1453">
        <v>1451</v>
      </c>
      <c r="B1453" t="s">
        <v>2660</v>
      </c>
      <c r="C1453" t="s">
        <v>2661</v>
      </c>
      <c r="D1453" t="s">
        <v>158</v>
      </c>
      <c r="E1453" t="s">
        <v>143</v>
      </c>
      <c r="F1453">
        <v>267300000</v>
      </c>
      <c r="G1453" t="s">
        <v>159</v>
      </c>
      <c r="H1453" t="s">
        <v>159</v>
      </c>
      <c r="I1453" t="s">
        <v>160</v>
      </c>
    </row>
    <row r="1454" spans="1:9" x14ac:dyDescent="0.2">
      <c r="A1454">
        <v>1452</v>
      </c>
      <c r="B1454" t="s">
        <v>2662</v>
      </c>
      <c r="C1454" t="s">
        <v>2663</v>
      </c>
      <c r="D1454" t="s">
        <v>355</v>
      </c>
      <c r="E1454" t="s">
        <v>136</v>
      </c>
      <c r="F1454">
        <v>1965440</v>
      </c>
      <c r="G1454" t="s">
        <v>356</v>
      </c>
      <c r="H1454" t="s">
        <v>150</v>
      </c>
      <c r="I1454" t="s">
        <v>145</v>
      </c>
    </row>
    <row r="1455" spans="1:9" x14ac:dyDescent="0.2">
      <c r="A1455">
        <v>1453</v>
      </c>
      <c r="B1455" t="s">
        <v>3647</v>
      </c>
      <c r="C1455" t="s">
        <v>2664</v>
      </c>
      <c r="D1455" t="s">
        <v>208</v>
      </c>
      <c r="E1455" t="s">
        <v>167</v>
      </c>
      <c r="F1455">
        <v>6000000</v>
      </c>
      <c r="G1455" t="s">
        <v>195</v>
      </c>
      <c r="H1455" t="s">
        <v>195</v>
      </c>
      <c r="I1455" t="s">
        <v>184</v>
      </c>
    </row>
    <row r="1456" spans="1:9" x14ac:dyDescent="0.2">
      <c r="A1456">
        <v>1454</v>
      </c>
      <c r="B1456" t="s">
        <v>3648</v>
      </c>
      <c r="C1456" t="s">
        <v>2665</v>
      </c>
      <c r="D1456" t="s">
        <v>208</v>
      </c>
      <c r="E1456" t="s">
        <v>136</v>
      </c>
      <c r="F1456">
        <v>2158880</v>
      </c>
      <c r="G1456" t="s">
        <v>195</v>
      </c>
      <c r="H1456" t="s">
        <v>195</v>
      </c>
      <c r="I1456" t="s">
        <v>184</v>
      </c>
    </row>
    <row r="1457" spans="1:9" x14ac:dyDescent="0.2">
      <c r="A1457">
        <v>1455</v>
      </c>
      <c r="B1457" t="s">
        <v>3649</v>
      </c>
      <c r="C1457" t="s">
        <v>2666</v>
      </c>
      <c r="D1457" t="s">
        <v>208</v>
      </c>
      <c r="E1457" t="s">
        <v>167</v>
      </c>
      <c r="F1457">
        <v>1319710</v>
      </c>
      <c r="G1457" t="s">
        <v>195</v>
      </c>
      <c r="H1457" t="s">
        <v>195</v>
      </c>
      <c r="I1457" t="s">
        <v>184</v>
      </c>
    </row>
    <row r="1458" spans="1:9" x14ac:dyDescent="0.2">
      <c r="A1458">
        <v>1456</v>
      </c>
      <c r="B1458" t="s">
        <v>3650</v>
      </c>
      <c r="C1458" t="s">
        <v>2667</v>
      </c>
      <c r="D1458" t="s">
        <v>208</v>
      </c>
      <c r="E1458" t="s">
        <v>167</v>
      </c>
      <c r="F1458">
        <v>1028000</v>
      </c>
      <c r="G1458" t="s">
        <v>195</v>
      </c>
      <c r="H1458" t="s">
        <v>195</v>
      </c>
      <c r="I1458" t="s">
        <v>184</v>
      </c>
    </row>
    <row r="1459" spans="1:9" x14ac:dyDescent="0.2">
      <c r="A1459">
        <v>1457</v>
      </c>
      <c r="B1459" t="s">
        <v>3651</v>
      </c>
      <c r="C1459" t="s">
        <v>2668</v>
      </c>
      <c r="D1459" t="s">
        <v>208</v>
      </c>
      <c r="E1459" t="s">
        <v>136</v>
      </c>
      <c r="F1459">
        <v>1800000</v>
      </c>
      <c r="G1459" t="s">
        <v>195</v>
      </c>
      <c r="H1459" t="s">
        <v>195</v>
      </c>
      <c r="I1459" t="s">
        <v>184</v>
      </c>
    </row>
    <row r="1460" spans="1:9" x14ac:dyDescent="0.2">
      <c r="A1460">
        <v>1458</v>
      </c>
      <c r="B1460" t="s">
        <v>3652</v>
      </c>
      <c r="C1460" t="s">
        <v>2669</v>
      </c>
      <c r="D1460" t="s">
        <v>208</v>
      </c>
      <c r="E1460" t="s">
        <v>136</v>
      </c>
      <c r="F1460">
        <v>12523613</v>
      </c>
      <c r="G1460" t="s">
        <v>195</v>
      </c>
      <c r="H1460" t="s">
        <v>195</v>
      </c>
      <c r="I1460" t="s">
        <v>184</v>
      </c>
    </row>
    <row r="1461" spans="1:9" x14ac:dyDescent="0.2">
      <c r="A1461">
        <v>1459</v>
      </c>
      <c r="B1461" t="s">
        <v>3156</v>
      </c>
      <c r="C1461" t="s">
        <v>2670</v>
      </c>
      <c r="D1461" t="s">
        <v>289</v>
      </c>
      <c r="E1461" t="s">
        <v>136</v>
      </c>
      <c r="F1461">
        <v>1328800000</v>
      </c>
      <c r="G1461" t="s">
        <v>290</v>
      </c>
      <c r="H1461" t="s">
        <v>183</v>
      </c>
      <c r="I1461" t="s">
        <v>184</v>
      </c>
    </row>
    <row r="1462" spans="1:9" x14ac:dyDescent="0.2">
      <c r="A1462">
        <v>1460</v>
      </c>
      <c r="B1462" t="s">
        <v>2671</v>
      </c>
      <c r="C1462" t="s">
        <v>2672</v>
      </c>
      <c r="D1462" t="s">
        <v>1424</v>
      </c>
      <c r="E1462" t="s">
        <v>136</v>
      </c>
      <c r="F1462">
        <v>43800000</v>
      </c>
      <c r="G1462" t="s">
        <v>653</v>
      </c>
      <c r="H1462" t="s">
        <v>654</v>
      </c>
      <c r="I1462" t="s">
        <v>654</v>
      </c>
    </row>
    <row r="1463" spans="1:9" x14ac:dyDescent="0.2">
      <c r="A1463">
        <v>1461</v>
      </c>
      <c r="B1463" t="s">
        <v>2673</v>
      </c>
      <c r="C1463" t="s">
        <v>2674</v>
      </c>
      <c r="D1463" t="s">
        <v>166</v>
      </c>
      <c r="E1463" t="s">
        <v>136</v>
      </c>
      <c r="F1463">
        <v>166604050</v>
      </c>
      <c r="G1463" t="s">
        <v>166</v>
      </c>
      <c r="H1463" t="s">
        <v>166</v>
      </c>
      <c r="I1463" t="s">
        <v>160</v>
      </c>
    </row>
    <row r="1464" spans="1:9" x14ac:dyDescent="0.2">
      <c r="A1464">
        <v>1462</v>
      </c>
      <c r="B1464" t="s">
        <v>3653</v>
      </c>
      <c r="C1464" t="s">
        <v>2675</v>
      </c>
      <c r="D1464" t="s">
        <v>166</v>
      </c>
      <c r="E1464" t="s">
        <v>136</v>
      </c>
      <c r="F1464">
        <v>9007500</v>
      </c>
      <c r="G1464" t="s">
        <v>166</v>
      </c>
      <c r="H1464" t="s">
        <v>166</v>
      </c>
      <c r="I1464" t="s">
        <v>160</v>
      </c>
    </row>
    <row r="1465" spans="1:9" x14ac:dyDescent="0.2">
      <c r="A1465">
        <v>1463</v>
      </c>
      <c r="B1465" t="s">
        <v>2676</v>
      </c>
      <c r="C1465" t="s">
        <v>2677</v>
      </c>
      <c r="D1465" t="s">
        <v>293</v>
      </c>
      <c r="E1465" t="s">
        <v>136</v>
      </c>
      <c r="F1465">
        <v>16000000</v>
      </c>
      <c r="G1465" t="s">
        <v>144</v>
      </c>
      <c r="H1465" t="s">
        <v>144</v>
      </c>
      <c r="I1465" t="s">
        <v>145</v>
      </c>
    </row>
    <row r="1466" spans="1:9" x14ac:dyDescent="0.2">
      <c r="A1466">
        <v>1464</v>
      </c>
      <c r="B1466" t="s">
        <v>3654</v>
      </c>
      <c r="C1466" t="s">
        <v>2678</v>
      </c>
      <c r="D1466" t="s">
        <v>806</v>
      </c>
      <c r="E1466" t="s">
        <v>136</v>
      </c>
      <c r="F1466">
        <v>34000000</v>
      </c>
      <c r="G1466" t="s">
        <v>212</v>
      </c>
      <c r="H1466" t="s">
        <v>183</v>
      </c>
      <c r="I1466" t="s">
        <v>184</v>
      </c>
    </row>
    <row r="1467" spans="1:9" x14ac:dyDescent="0.2">
      <c r="A1467">
        <v>1465</v>
      </c>
      <c r="B1467" t="s">
        <v>2679</v>
      </c>
      <c r="C1467" t="s">
        <v>2680</v>
      </c>
      <c r="D1467" t="s">
        <v>293</v>
      </c>
      <c r="E1467" t="s">
        <v>143</v>
      </c>
      <c r="F1467">
        <v>41714614</v>
      </c>
      <c r="G1467" t="s">
        <v>144</v>
      </c>
      <c r="H1467" t="s">
        <v>144</v>
      </c>
      <c r="I1467" t="s">
        <v>145</v>
      </c>
    </row>
    <row r="1468" spans="1:9" x14ac:dyDescent="0.2">
      <c r="A1468">
        <v>1466</v>
      </c>
      <c r="B1468" t="s">
        <v>3655</v>
      </c>
      <c r="C1468" t="s">
        <v>2681</v>
      </c>
      <c r="D1468" t="s">
        <v>806</v>
      </c>
      <c r="E1468" t="s">
        <v>136</v>
      </c>
      <c r="F1468">
        <v>15000000</v>
      </c>
      <c r="G1468" t="s">
        <v>212</v>
      </c>
      <c r="H1468" t="s">
        <v>183</v>
      </c>
      <c r="I1468" t="s">
        <v>184</v>
      </c>
    </row>
    <row r="1469" spans="1:9" x14ac:dyDescent="0.2">
      <c r="A1469">
        <v>1467</v>
      </c>
      <c r="B1469" t="s">
        <v>2682</v>
      </c>
      <c r="C1469" t="s">
        <v>2683</v>
      </c>
      <c r="D1469" t="s">
        <v>158</v>
      </c>
      <c r="E1469" t="s">
        <v>167</v>
      </c>
      <c r="F1469">
        <v>129599879</v>
      </c>
      <c r="G1469" t="s">
        <v>159</v>
      </c>
      <c r="H1469" t="s">
        <v>159</v>
      </c>
      <c r="I1469" t="s">
        <v>160</v>
      </c>
    </row>
    <row r="1470" spans="1:9" x14ac:dyDescent="0.2">
      <c r="A1470">
        <v>1468</v>
      </c>
      <c r="B1470" t="s">
        <v>2684</v>
      </c>
      <c r="C1470" t="s">
        <v>2685</v>
      </c>
      <c r="D1470" t="s">
        <v>194</v>
      </c>
      <c r="E1470" t="s">
        <v>143</v>
      </c>
      <c r="F1470">
        <v>448350000</v>
      </c>
      <c r="G1470" t="s">
        <v>195</v>
      </c>
      <c r="H1470" t="s">
        <v>195</v>
      </c>
      <c r="I1470" t="s">
        <v>184</v>
      </c>
    </row>
    <row r="1471" spans="1:9" x14ac:dyDescent="0.2">
      <c r="A1471">
        <v>1469</v>
      </c>
      <c r="B1471" t="s">
        <v>2686</v>
      </c>
      <c r="C1471" t="s">
        <v>2687</v>
      </c>
      <c r="D1471" t="s">
        <v>163</v>
      </c>
      <c r="E1471" t="s">
        <v>136</v>
      </c>
      <c r="F1471">
        <v>44100000</v>
      </c>
      <c r="G1471" t="s">
        <v>137</v>
      </c>
      <c r="H1471" t="s">
        <v>138</v>
      </c>
      <c r="I1471" t="s">
        <v>139</v>
      </c>
    </row>
    <row r="1472" spans="1:9" x14ac:dyDescent="0.2">
      <c r="A1472">
        <v>1470</v>
      </c>
      <c r="B1472" t="s">
        <v>2688</v>
      </c>
      <c r="C1472" t="s">
        <v>2689</v>
      </c>
      <c r="D1472" t="s">
        <v>173</v>
      </c>
      <c r="E1472" t="s">
        <v>136</v>
      </c>
      <c r="F1472">
        <v>3043811200</v>
      </c>
      <c r="G1472" t="s">
        <v>173</v>
      </c>
      <c r="H1472" t="s">
        <v>174</v>
      </c>
      <c r="I1472" t="s">
        <v>174</v>
      </c>
    </row>
    <row r="1473" spans="1:9" x14ac:dyDescent="0.2">
      <c r="A1473">
        <v>1471</v>
      </c>
      <c r="B1473" t="s">
        <v>2690</v>
      </c>
      <c r="C1473" t="s">
        <v>2691</v>
      </c>
      <c r="D1473" t="s">
        <v>355</v>
      </c>
      <c r="E1473" t="s">
        <v>136</v>
      </c>
      <c r="F1473">
        <v>9325155</v>
      </c>
      <c r="G1473" t="s">
        <v>356</v>
      </c>
      <c r="H1473" t="s">
        <v>150</v>
      </c>
      <c r="I1473" t="s">
        <v>145</v>
      </c>
    </row>
    <row r="1474" spans="1:9" x14ac:dyDescent="0.2">
      <c r="A1474">
        <v>1472</v>
      </c>
      <c r="B1474" t="s">
        <v>3656</v>
      </c>
      <c r="C1474" t="s">
        <v>2692</v>
      </c>
      <c r="D1474" t="s">
        <v>211</v>
      </c>
      <c r="E1474" t="s">
        <v>167</v>
      </c>
      <c r="F1474">
        <v>8214692</v>
      </c>
      <c r="G1474" t="s">
        <v>212</v>
      </c>
      <c r="H1474" t="s">
        <v>183</v>
      </c>
      <c r="I1474" t="s">
        <v>184</v>
      </c>
    </row>
    <row r="1475" spans="1:9" x14ac:dyDescent="0.2">
      <c r="A1475">
        <v>1473</v>
      </c>
      <c r="B1475" t="s">
        <v>3657</v>
      </c>
      <c r="C1475" t="s">
        <v>2693</v>
      </c>
      <c r="D1475" t="s">
        <v>211</v>
      </c>
      <c r="E1475" t="s">
        <v>136</v>
      </c>
      <c r="F1475">
        <v>63250000</v>
      </c>
      <c r="G1475" t="s">
        <v>212</v>
      </c>
      <c r="H1475" t="s">
        <v>183</v>
      </c>
      <c r="I1475" t="s">
        <v>184</v>
      </c>
    </row>
    <row r="1476" spans="1:9" x14ac:dyDescent="0.2">
      <c r="A1476">
        <v>1474</v>
      </c>
      <c r="B1476" t="s">
        <v>2694</v>
      </c>
      <c r="C1476" t="s">
        <v>2695</v>
      </c>
      <c r="D1476" t="s">
        <v>355</v>
      </c>
      <c r="E1476" t="s">
        <v>167</v>
      </c>
      <c r="F1476">
        <v>55932126</v>
      </c>
      <c r="G1476" t="s">
        <v>356</v>
      </c>
      <c r="H1476" t="s">
        <v>150</v>
      </c>
      <c r="I1476" t="s">
        <v>145</v>
      </c>
    </row>
    <row r="1477" spans="1:9" x14ac:dyDescent="0.2">
      <c r="A1477">
        <v>1475</v>
      </c>
      <c r="B1477" t="s">
        <v>2696</v>
      </c>
      <c r="C1477" t="s">
        <v>2697</v>
      </c>
      <c r="D1477" t="s">
        <v>163</v>
      </c>
      <c r="E1477" t="s">
        <v>136</v>
      </c>
      <c r="F1477">
        <v>500000000</v>
      </c>
      <c r="G1477" t="s">
        <v>137</v>
      </c>
      <c r="H1477" t="s">
        <v>138</v>
      </c>
      <c r="I1477" t="s">
        <v>139</v>
      </c>
    </row>
    <row r="1478" spans="1:9" x14ac:dyDescent="0.2">
      <c r="A1478">
        <v>1476</v>
      </c>
      <c r="B1478" t="s">
        <v>2698</v>
      </c>
      <c r="C1478" t="s">
        <v>2699</v>
      </c>
      <c r="D1478" t="s">
        <v>166</v>
      </c>
      <c r="E1478" t="s">
        <v>136</v>
      </c>
      <c r="F1478">
        <v>35774448</v>
      </c>
      <c r="G1478" t="s">
        <v>166</v>
      </c>
      <c r="H1478" t="s">
        <v>166</v>
      </c>
      <c r="I1478" t="s">
        <v>160</v>
      </c>
    </row>
    <row r="1479" spans="1:9" x14ac:dyDescent="0.2">
      <c r="A1479">
        <v>1477</v>
      </c>
      <c r="B1479" t="s">
        <v>2700</v>
      </c>
      <c r="C1479" t="s">
        <v>2701</v>
      </c>
      <c r="D1479" t="s">
        <v>153</v>
      </c>
      <c r="E1479" t="s">
        <v>143</v>
      </c>
      <c r="F1479">
        <v>224453159</v>
      </c>
      <c r="G1479" t="s">
        <v>154</v>
      </c>
      <c r="H1479" t="s">
        <v>155</v>
      </c>
      <c r="I1479" t="s">
        <v>139</v>
      </c>
    </row>
    <row r="1480" spans="1:9" x14ac:dyDescent="0.2">
      <c r="A1480">
        <v>1478</v>
      </c>
      <c r="B1480" t="s">
        <v>2702</v>
      </c>
      <c r="C1480" t="s">
        <v>2703</v>
      </c>
      <c r="D1480" t="s">
        <v>166</v>
      </c>
      <c r="E1480" t="s">
        <v>136</v>
      </c>
      <c r="F1480">
        <v>38000000</v>
      </c>
      <c r="G1480" t="s">
        <v>166</v>
      </c>
      <c r="H1480" t="s">
        <v>166</v>
      </c>
      <c r="I1480" t="s">
        <v>160</v>
      </c>
    </row>
    <row r="1481" spans="1:9" x14ac:dyDescent="0.2">
      <c r="A1481">
        <v>1479</v>
      </c>
      <c r="B1481" t="s">
        <v>2704</v>
      </c>
      <c r="C1481" t="s">
        <v>2705</v>
      </c>
      <c r="D1481" t="s">
        <v>240</v>
      </c>
      <c r="E1481" t="s">
        <v>167</v>
      </c>
      <c r="F1481">
        <v>33140000</v>
      </c>
      <c r="G1481" t="s">
        <v>240</v>
      </c>
      <c r="H1481" t="s">
        <v>241</v>
      </c>
      <c r="I1481" t="s">
        <v>242</v>
      </c>
    </row>
    <row r="1482" spans="1:9" x14ac:dyDescent="0.2">
      <c r="A1482">
        <v>1480</v>
      </c>
      <c r="B1482" t="s">
        <v>2706</v>
      </c>
      <c r="C1482" t="s">
        <v>2707</v>
      </c>
      <c r="D1482" t="s">
        <v>237</v>
      </c>
      <c r="E1482" t="s">
        <v>136</v>
      </c>
      <c r="F1482">
        <v>21500000</v>
      </c>
      <c r="G1482" t="s">
        <v>154</v>
      </c>
      <c r="H1482" t="s">
        <v>155</v>
      </c>
      <c r="I1482" t="s">
        <v>139</v>
      </c>
    </row>
    <row r="1483" spans="1:9" x14ac:dyDescent="0.2">
      <c r="A1483">
        <v>1481</v>
      </c>
      <c r="B1483" t="s">
        <v>3658</v>
      </c>
      <c r="C1483" t="s">
        <v>2708</v>
      </c>
      <c r="D1483" t="s">
        <v>2064</v>
      </c>
      <c r="E1483" t="s">
        <v>136</v>
      </c>
      <c r="F1483">
        <v>150000000</v>
      </c>
      <c r="G1483" t="s">
        <v>284</v>
      </c>
      <c r="H1483" t="s">
        <v>183</v>
      </c>
      <c r="I1483" t="s">
        <v>184</v>
      </c>
    </row>
    <row r="1484" spans="1:9" x14ac:dyDescent="0.2">
      <c r="A1484">
        <v>1482</v>
      </c>
      <c r="B1484" t="s">
        <v>3659</v>
      </c>
      <c r="C1484" t="s">
        <v>2709</v>
      </c>
      <c r="D1484" t="s">
        <v>194</v>
      </c>
      <c r="E1484" t="s">
        <v>136</v>
      </c>
      <c r="F1484">
        <v>7500000</v>
      </c>
      <c r="G1484" t="s">
        <v>195</v>
      </c>
      <c r="H1484" t="s">
        <v>195</v>
      </c>
      <c r="I1484" t="s">
        <v>184</v>
      </c>
    </row>
    <row r="1485" spans="1:9" x14ac:dyDescent="0.2">
      <c r="A1485">
        <v>1483</v>
      </c>
      <c r="B1485" t="s">
        <v>3660</v>
      </c>
      <c r="C1485" t="s">
        <v>2710</v>
      </c>
      <c r="D1485" t="s">
        <v>194</v>
      </c>
      <c r="E1485" t="s">
        <v>167</v>
      </c>
      <c r="F1485">
        <v>25000000</v>
      </c>
      <c r="G1485" t="s">
        <v>195</v>
      </c>
      <c r="H1485" t="s">
        <v>195</v>
      </c>
      <c r="I1485" t="s">
        <v>184</v>
      </c>
    </row>
    <row r="1486" spans="1:9" x14ac:dyDescent="0.2">
      <c r="A1486">
        <v>1484</v>
      </c>
      <c r="B1486" t="s">
        <v>2711</v>
      </c>
      <c r="C1486" t="s">
        <v>2712</v>
      </c>
      <c r="D1486" t="s">
        <v>166</v>
      </c>
      <c r="E1486" t="s">
        <v>143</v>
      </c>
      <c r="F1486">
        <v>4107412004</v>
      </c>
      <c r="G1486" t="s">
        <v>166</v>
      </c>
      <c r="H1486" t="s">
        <v>166</v>
      </c>
      <c r="I1486" t="s">
        <v>160</v>
      </c>
    </row>
    <row r="1487" spans="1:9" x14ac:dyDescent="0.2">
      <c r="A1487">
        <v>1485</v>
      </c>
      <c r="B1487" t="s">
        <v>2713</v>
      </c>
      <c r="C1487" t="s">
        <v>2714</v>
      </c>
      <c r="D1487" t="s">
        <v>170</v>
      </c>
      <c r="E1487" t="s">
        <v>143</v>
      </c>
      <c r="F1487">
        <v>2979127815</v>
      </c>
      <c r="G1487" t="s">
        <v>170</v>
      </c>
      <c r="H1487" t="s">
        <v>170</v>
      </c>
      <c r="I1487" t="s">
        <v>170</v>
      </c>
    </row>
    <row r="1488" spans="1:9" x14ac:dyDescent="0.2">
      <c r="A1488">
        <v>1486</v>
      </c>
      <c r="B1488" t="s">
        <v>2715</v>
      </c>
      <c r="C1488" t="s">
        <v>2716</v>
      </c>
      <c r="D1488" t="s">
        <v>166</v>
      </c>
      <c r="E1488" t="s">
        <v>143</v>
      </c>
      <c r="F1488">
        <v>3823661561</v>
      </c>
      <c r="G1488" t="s">
        <v>166</v>
      </c>
      <c r="H1488" t="s">
        <v>166</v>
      </c>
      <c r="I1488" t="s">
        <v>160</v>
      </c>
    </row>
    <row r="1489" spans="1:9" x14ac:dyDescent="0.2">
      <c r="A1489">
        <v>1487</v>
      </c>
      <c r="B1489" t="s">
        <v>2717</v>
      </c>
      <c r="C1489" t="s">
        <v>2718</v>
      </c>
      <c r="D1489" t="s">
        <v>564</v>
      </c>
      <c r="E1489" t="s">
        <v>143</v>
      </c>
      <c r="F1489">
        <v>40836069</v>
      </c>
      <c r="G1489" t="s">
        <v>201</v>
      </c>
      <c r="H1489" t="s">
        <v>150</v>
      </c>
      <c r="I1489" t="s">
        <v>145</v>
      </c>
    </row>
    <row r="1490" spans="1:9" x14ac:dyDescent="0.2">
      <c r="A1490">
        <v>1488</v>
      </c>
      <c r="B1490" t="s">
        <v>2719</v>
      </c>
      <c r="C1490" t="s">
        <v>2720</v>
      </c>
      <c r="D1490" t="s">
        <v>652</v>
      </c>
      <c r="E1490" t="s">
        <v>136</v>
      </c>
      <c r="F1490">
        <v>5061244</v>
      </c>
      <c r="G1490" t="s">
        <v>653</v>
      </c>
      <c r="H1490" t="s">
        <v>654</v>
      </c>
      <c r="I1490" t="s">
        <v>654</v>
      </c>
    </row>
    <row r="1491" spans="1:9" x14ac:dyDescent="0.2">
      <c r="A1491">
        <v>1489</v>
      </c>
      <c r="B1491" t="s">
        <v>3069</v>
      </c>
      <c r="C1491" t="s">
        <v>3070</v>
      </c>
      <c r="D1491" t="s">
        <v>200</v>
      </c>
      <c r="E1491" t="s">
        <v>167</v>
      </c>
      <c r="F1491">
        <v>350000000</v>
      </c>
      <c r="G1491" t="s">
        <v>201</v>
      </c>
      <c r="H1491" t="s">
        <v>150</v>
      </c>
      <c r="I1491" t="s">
        <v>145</v>
      </c>
    </row>
    <row r="1492" spans="1:9" x14ac:dyDescent="0.2">
      <c r="A1492">
        <v>1490</v>
      </c>
      <c r="B1492" t="s">
        <v>3071</v>
      </c>
      <c r="C1492" t="s">
        <v>3072</v>
      </c>
      <c r="D1492" t="s">
        <v>158</v>
      </c>
      <c r="E1492" t="s">
        <v>167</v>
      </c>
      <c r="F1492">
        <v>45133300</v>
      </c>
      <c r="G1492" t="s">
        <v>159</v>
      </c>
      <c r="H1492" t="s">
        <v>159</v>
      </c>
      <c r="I1492" t="s">
        <v>160</v>
      </c>
    </row>
    <row r="1493" spans="1:9" x14ac:dyDescent="0.2">
      <c r="A1493">
        <v>1491</v>
      </c>
      <c r="B1493" t="s">
        <v>3661</v>
      </c>
      <c r="C1493" t="s">
        <v>2721</v>
      </c>
      <c r="D1493" t="s">
        <v>194</v>
      </c>
      <c r="E1493" t="s">
        <v>136</v>
      </c>
      <c r="F1493">
        <v>5600000</v>
      </c>
      <c r="G1493" t="s">
        <v>195</v>
      </c>
      <c r="H1493" t="s">
        <v>195</v>
      </c>
      <c r="I1493" t="s">
        <v>184</v>
      </c>
    </row>
    <row r="1494" spans="1:9" x14ac:dyDescent="0.2">
      <c r="A1494">
        <v>1492</v>
      </c>
      <c r="B1494" t="s">
        <v>2722</v>
      </c>
      <c r="C1494" t="s">
        <v>2723</v>
      </c>
      <c r="D1494" t="s">
        <v>149</v>
      </c>
      <c r="E1494" t="s">
        <v>136</v>
      </c>
      <c r="F1494">
        <v>1250000</v>
      </c>
      <c r="G1494" t="s">
        <v>149</v>
      </c>
      <c r="H1494" t="s">
        <v>150</v>
      </c>
      <c r="I1494" t="s">
        <v>145</v>
      </c>
    </row>
    <row r="1495" spans="1:9" x14ac:dyDescent="0.2">
      <c r="A1495">
        <v>1493</v>
      </c>
      <c r="B1495" t="s">
        <v>3662</v>
      </c>
      <c r="C1495" t="s">
        <v>2724</v>
      </c>
      <c r="D1495" t="s">
        <v>211</v>
      </c>
      <c r="E1495" t="s">
        <v>136</v>
      </c>
      <c r="F1495">
        <v>25500000</v>
      </c>
      <c r="G1495" t="s">
        <v>212</v>
      </c>
      <c r="H1495" t="s">
        <v>183</v>
      </c>
      <c r="I1495" t="s">
        <v>184</v>
      </c>
    </row>
    <row r="1496" spans="1:9" x14ac:dyDescent="0.2">
      <c r="A1496">
        <v>1494</v>
      </c>
      <c r="B1496" t="s">
        <v>2725</v>
      </c>
      <c r="C1496" t="s">
        <v>2726</v>
      </c>
      <c r="D1496" t="s">
        <v>806</v>
      </c>
      <c r="E1496" t="s">
        <v>143</v>
      </c>
      <c r="F1496">
        <v>68470941</v>
      </c>
      <c r="G1496" t="s">
        <v>212</v>
      </c>
      <c r="H1496" t="s">
        <v>183</v>
      </c>
      <c r="I1496" t="s">
        <v>184</v>
      </c>
    </row>
    <row r="1497" spans="1:9" x14ac:dyDescent="0.2">
      <c r="A1497">
        <v>1495</v>
      </c>
      <c r="B1497" t="s">
        <v>2727</v>
      </c>
      <c r="C1497" t="s">
        <v>2728</v>
      </c>
      <c r="D1497" t="s">
        <v>376</v>
      </c>
      <c r="E1497" t="s">
        <v>136</v>
      </c>
      <c r="F1497">
        <v>8240000</v>
      </c>
      <c r="G1497" t="s">
        <v>326</v>
      </c>
      <c r="H1497" t="s">
        <v>327</v>
      </c>
      <c r="I1497" t="s">
        <v>217</v>
      </c>
    </row>
    <row r="1498" spans="1:9" x14ac:dyDescent="0.2">
      <c r="A1498">
        <v>1496</v>
      </c>
      <c r="B1498" t="s">
        <v>3663</v>
      </c>
      <c r="C1498" t="s">
        <v>2729</v>
      </c>
      <c r="D1498" t="s">
        <v>194</v>
      </c>
      <c r="E1498" t="s">
        <v>167</v>
      </c>
      <c r="F1498">
        <v>50000000</v>
      </c>
      <c r="G1498" t="s">
        <v>195</v>
      </c>
      <c r="H1498" t="s">
        <v>195</v>
      </c>
      <c r="I1498" t="s">
        <v>184</v>
      </c>
    </row>
    <row r="1499" spans="1:9" x14ac:dyDescent="0.2">
      <c r="A1499">
        <v>1497</v>
      </c>
      <c r="B1499" t="s">
        <v>3664</v>
      </c>
      <c r="C1499" t="s">
        <v>2730</v>
      </c>
      <c r="D1499" t="s">
        <v>208</v>
      </c>
      <c r="E1499" t="s">
        <v>136</v>
      </c>
      <c r="F1499">
        <v>58018600</v>
      </c>
      <c r="G1499" t="s">
        <v>195</v>
      </c>
      <c r="H1499" t="s">
        <v>195</v>
      </c>
      <c r="I1499" t="s">
        <v>184</v>
      </c>
    </row>
    <row r="1500" spans="1:9" x14ac:dyDescent="0.2">
      <c r="A1500">
        <v>1498</v>
      </c>
      <c r="B1500" t="s">
        <v>2731</v>
      </c>
      <c r="C1500" t="s">
        <v>2732</v>
      </c>
      <c r="D1500" t="s">
        <v>158</v>
      </c>
      <c r="E1500" t="s">
        <v>143</v>
      </c>
      <c r="F1500">
        <v>1531429858</v>
      </c>
      <c r="G1500" t="s">
        <v>159</v>
      </c>
      <c r="H1500" t="s">
        <v>159</v>
      </c>
      <c r="I1500" t="s">
        <v>160</v>
      </c>
    </row>
    <row r="1501" spans="1:9" x14ac:dyDescent="0.2">
      <c r="A1501">
        <v>1499</v>
      </c>
      <c r="B1501" t="s">
        <v>2733</v>
      </c>
      <c r="C1501" t="s">
        <v>2734</v>
      </c>
      <c r="D1501" t="s">
        <v>1364</v>
      </c>
      <c r="E1501" t="s">
        <v>143</v>
      </c>
      <c r="F1501">
        <v>541611334</v>
      </c>
      <c r="G1501" t="s">
        <v>326</v>
      </c>
      <c r="H1501" t="s">
        <v>327</v>
      </c>
      <c r="I1501" t="s">
        <v>217</v>
      </c>
    </row>
    <row r="1502" spans="1:9" x14ac:dyDescent="0.2">
      <c r="A1502">
        <v>1500</v>
      </c>
      <c r="B1502" t="s">
        <v>2735</v>
      </c>
      <c r="C1502" t="s">
        <v>2736</v>
      </c>
      <c r="D1502" t="s">
        <v>724</v>
      </c>
      <c r="E1502" t="s">
        <v>136</v>
      </c>
      <c r="F1502">
        <v>20000000</v>
      </c>
      <c r="G1502" t="s">
        <v>672</v>
      </c>
      <c r="H1502" t="s">
        <v>672</v>
      </c>
      <c r="I1502" t="s">
        <v>139</v>
      </c>
    </row>
    <row r="1503" spans="1:9" x14ac:dyDescent="0.2">
      <c r="A1503">
        <v>1501</v>
      </c>
      <c r="B1503" t="s">
        <v>2737</v>
      </c>
      <c r="C1503" t="s">
        <v>2738</v>
      </c>
      <c r="D1503" t="s">
        <v>142</v>
      </c>
      <c r="E1503" t="s">
        <v>136</v>
      </c>
      <c r="F1503">
        <v>8000000</v>
      </c>
      <c r="G1503" t="s">
        <v>144</v>
      </c>
      <c r="H1503" t="s">
        <v>144</v>
      </c>
      <c r="I1503" t="s">
        <v>145</v>
      </c>
    </row>
    <row r="1504" spans="1:9" x14ac:dyDescent="0.2">
      <c r="A1504">
        <v>1502</v>
      </c>
      <c r="B1504" t="s">
        <v>2739</v>
      </c>
      <c r="C1504" t="s">
        <v>2740</v>
      </c>
      <c r="D1504" t="s">
        <v>690</v>
      </c>
      <c r="E1504" t="s">
        <v>167</v>
      </c>
      <c r="F1504">
        <v>3995996</v>
      </c>
      <c r="G1504" t="s">
        <v>679</v>
      </c>
      <c r="H1504" t="s">
        <v>654</v>
      </c>
      <c r="I1504" t="s">
        <v>654</v>
      </c>
    </row>
    <row r="1505" spans="1:9" x14ac:dyDescent="0.2">
      <c r="A1505">
        <v>1503</v>
      </c>
      <c r="B1505" t="s">
        <v>3153</v>
      </c>
      <c r="C1505" t="s">
        <v>2741</v>
      </c>
      <c r="D1505" t="s">
        <v>194</v>
      </c>
      <c r="E1505" t="s">
        <v>136</v>
      </c>
      <c r="F1505">
        <v>46921600</v>
      </c>
      <c r="G1505" t="s">
        <v>195</v>
      </c>
      <c r="H1505" t="s">
        <v>195</v>
      </c>
      <c r="I1505" t="s">
        <v>184</v>
      </c>
    </row>
    <row r="1506" spans="1:9" x14ac:dyDescent="0.2">
      <c r="A1506">
        <v>1504</v>
      </c>
      <c r="B1506" t="s">
        <v>2742</v>
      </c>
      <c r="C1506" t="s">
        <v>2743</v>
      </c>
      <c r="D1506" t="s">
        <v>153</v>
      </c>
      <c r="E1506" t="s">
        <v>136</v>
      </c>
      <c r="F1506">
        <v>212491611</v>
      </c>
      <c r="G1506" t="s">
        <v>154</v>
      </c>
      <c r="H1506" t="s">
        <v>155</v>
      </c>
      <c r="I1506" t="s">
        <v>139</v>
      </c>
    </row>
    <row r="1507" spans="1:9" x14ac:dyDescent="0.2">
      <c r="A1507">
        <v>1505</v>
      </c>
      <c r="B1507" t="s">
        <v>2744</v>
      </c>
      <c r="C1507" t="s">
        <v>2745</v>
      </c>
      <c r="D1507" t="s">
        <v>237</v>
      </c>
      <c r="E1507" t="s">
        <v>136</v>
      </c>
      <c r="F1507">
        <v>11959982</v>
      </c>
      <c r="G1507" t="s">
        <v>154</v>
      </c>
      <c r="H1507" t="s">
        <v>155</v>
      </c>
      <c r="I1507" t="s">
        <v>139</v>
      </c>
    </row>
    <row r="1508" spans="1:9" x14ac:dyDescent="0.2">
      <c r="A1508">
        <v>1506</v>
      </c>
      <c r="B1508" t="s">
        <v>3665</v>
      </c>
      <c r="C1508" t="s">
        <v>2746</v>
      </c>
      <c r="D1508" t="s">
        <v>882</v>
      </c>
      <c r="E1508" t="s">
        <v>136</v>
      </c>
      <c r="F1508">
        <v>14212130</v>
      </c>
      <c r="G1508" t="s">
        <v>212</v>
      </c>
      <c r="H1508" t="s">
        <v>183</v>
      </c>
      <c r="I1508" t="s">
        <v>184</v>
      </c>
    </row>
    <row r="1509" spans="1:9" x14ac:dyDescent="0.2">
      <c r="A1509">
        <v>1507</v>
      </c>
      <c r="B1509" t="s">
        <v>3666</v>
      </c>
      <c r="C1509" t="s">
        <v>2747</v>
      </c>
      <c r="D1509" t="s">
        <v>437</v>
      </c>
      <c r="E1509" t="s">
        <v>136</v>
      </c>
      <c r="F1509">
        <v>3536222</v>
      </c>
      <c r="G1509" t="s">
        <v>182</v>
      </c>
      <c r="H1509" t="s">
        <v>183</v>
      </c>
      <c r="I1509" t="s">
        <v>184</v>
      </c>
    </row>
    <row r="1510" spans="1:9" x14ac:dyDescent="0.2">
      <c r="A1510">
        <v>1508</v>
      </c>
      <c r="B1510" t="s">
        <v>2748</v>
      </c>
      <c r="C1510" t="s">
        <v>2749</v>
      </c>
      <c r="D1510" t="s">
        <v>383</v>
      </c>
      <c r="E1510" t="s">
        <v>136</v>
      </c>
      <c r="F1510">
        <v>28900000</v>
      </c>
      <c r="G1510" t="s">
        <v>311</v>
      </c>
      <c r="H1510" t="s">
        <v>312</v>
      </c>
      <c r="I1510" t="s">
        <v>313</v>
      </c>
    </row>
    <row r="1511" spans="1:9" x14ac:dyDescent="0.2">
      <c r="A1511">
        <v>1509</v>
      </c>
      <c r="B1511" t="s">
        <v>2750</v>
      </c>
      <c r="C1511" t="s">
        <v>2751</v>
      </c>
      <c r="D1511" t="s">
        <v>671</v>
      </c>
      <c r="E1511" t="s">
        <v>136</v>
      </c>
      <c r="F1511">
        <v>2700000</v>
      </c>
      <c r="G1511" t="s">
        <v>672</v>
      </c>
      <c r="H1511" t="s">
        <v>672</v>
      </c>
      <c r="I1511" t="s">
        <v>139</v>
      </c>
    </row>
    <row r="1512" spans="1:9" x14ac:dyDescent="0.2">
      <c r="A1512">
        <v>1510</v>
      </c>
      <c r="B1512" t="s">
        <v>3667</v>
      </c>
      <c r="C1512" t="s">
        <v>2752</v>
      </c>
      <c r="D1512" t="s">
        <v>208</v>
      </c>
      <c r="E1512" t="s">
        <v>167</v>
      </c>
      <c r="F1512">
        <v>26134132</v>
      </c>
      <c r="G1512" t="s">
        <v>195</v>
      </c>
      <c r="H1512" t="s">
        <v>195</v>
      </c>
      <c r="I1512" t="s">
        <v>184</v>
      </c>
    </row>
    <row r="1513" spans="1:9" x14ac:dyDescent="0.2">
      <c r="A1513">
        <v>1511</v>
      </c>
      <c r="B1513" t="s">
        <v>2753</v>
      </c>
      <c r="C1513" t="s">
        <v>2754</v>
      </c>
      <c r="D1513" t="s">
        <v>240</v>
      </c>
      <c r="E1513" t="s">
        <v>143</v>
      </c>
      <c r="F1513">
        <v>15440268</v>
      </c>
      <c r="G1513" t="s">
        <v>240</v>
      </c>
      <c r="H1513" t="s">
        <v>241</v>
      </c>
      <c r="I1513" t="s">
        <v>242</v>
      </c>
    </row>
    <row r="1514" spans="1:9" x14ac:dyDescent="0.2">
      <c r="A1514">
        <v>1512</v>
      </c>
      <c r="B1514" t="s">
        <v>2755</v>
      </c>
      <c r="C1514" t="s">
        <v>2756</v>
      </c>
      <c r="D1514" t="s">
        <v>310</v>
      </c>
      <c r="E1514" t="s">
        <v>136</v>
      </c>
      <c r="F1514">
        <v>9600000</v>
      </c>
      <c r="G1514" t="s">
        <v>311</v>
      </c>
      <c r="H1514" t="s">
        <v>312</v>
      </c>
      <c r="I1514" t="s">
        <v>313</v>
      </c>
    </row>
    <row r="1515" spans="1:9" x14ac:dyDescent="0.2">
      <c r="A1515">
        <v>1513</v>
      </c>
      <c r="B1515" t="s">
        <v>2757</v>
      </c>
      <c r="C1515" t="s">
        <v>2758</v>
      </c>
      <c r="D1515" t="s">
        <v>194</v>
      </c>
      <c r="E1515" t="s">
        <v>136</v>
      </c>
      <c r="F1515">
        <v>7000000</v>
      </c>
      <c r="G1515" t="s">
        <v>195</v>
      </c>
      <c r="H1515" t="s">
        <v>195</v>
      </c>
      <c r="I1515" t="s">
        <v>184</v>
      </c>
    </row>
    <row r="1516" spans="1:9" x14ac:dyDescent="0.2">
      <c r="A1516">
        <v>1514</v>
      </c>
      <c r="B1516" t="s">
        <v>3668</v>
      </c>
      <c r="C1516" t="s">
        <v>2759</v>
      </c>
      <c r="D1516" t="s">
        <v>211</v>
      </c>
      <c r="E1516" t="s">
        <v>167</v>
      </c>
      <c r="F1516">
        <v>9000000</v>
      </c>
      <c r="G1516" t="s">
        <v>212</v>
      </c>
      <c r="H1516" t="s">
        <v>183</v>
      </c>
      <c r="I1516" t="s">
        <v>184</v>
      </c>
    </row>
    <row r="1517" spans="1:9" x14ac:dyDescent="0.2">
      <c r="A1517">
        <v>1515</v>
      </c>
      <c r="B1517" t="s">
        <v>3669</v>
      </c>
      <c r="C1517" t="s">
        <v>2760</v>
      </c>
      <c r="D1517" t="s">
        <v>882</v>
      </c>
      <c r="E1517" t="s">
        <v>136</v>
      </c>
      <c r="F1517">
        <v>6142500</v>
      </c>
      <c r="G1517" t="s">
        <v>212</v>
      </c>
      <c r="H1517" t="s">
        <v>183</v>
      </c>
      <c r="I1517" t="s">
        <v>184</v>
      </c>
    </row>
    <row r="1518" spans="1:9" x14ac:dyDescent="0.2">
      <c r="A1518">
        <v>1516</v>
      </c>
      <c r="B1518" t="s">
        <v>3670</v>
      </c>
      <c r="C1518" t="s">
        <v>2761</v>
      </c>
      <c r="D1518" t="s">
        <v>806</v>
      </c>
      <c r="E1518" t="s">
        <v>136</v>
      </c>
      <c r="F1518">
        <v>33999960</v>
      </c>
      <c r="G1518" t="s">
        <v>212</v>
      </c>
      <c r="H1518" t="s">
        <v>183</v>
      </c>
      <c r="I1518" t="s">
        <v>184</v>
      </c>
    </row>
    <row r="1519" spans="1:9" x14ac:dyDescent="0.2">
      <c r="A1519">
        <v>1517</v>
      </c>
      <c r="B1519" t="s">
        <v>2762</v>
      </c>
      <c r="C1519" t="s">
        <v>2763</v>
      </c>
      <c r="D1519" t="s">
        <v>215</v>
      </c>
      <c r="E1519" t="s">
        <v>136</v>
      </c>
      <c r="F1519">
        <v>67909960</v>
      </c>
      <c r="G1519" t="s">
        <v>216</v>
      </c>
      <c r="H1519" t="s">
        <v>216</v>
      </c>
      <c r="I1519" t="s">
        <v>217</v>
      </c>
    </row>
    <row r="1520" spans="1:9" x14ac:dyDescent="0.2">
      <c r="A1520">
        <v>1518</v>
      </c>
      <c r="B1520" t="s">
        <v>3671</v>
      </c>
      <c r="C1520" t="s">
        <v>2764</v>
      </c>
      <c r="D1520" t="s">
        <v>181</v>
      </c>
      <c r="E1520" t="s">
        <v>167</v>
      </c>
      <c r="F1520">
        <v>10499955</v>
      </c>
      <c r="G1520" t="s">
        <v>182</v>
      </c>
      <c r="H1520" t="s">
        <v>183</v>
      </c>
      <c r="I1520" t="s">
        <v>184</v>
      </c>
    </row>
    <row r="1521" spans="1:9" x14ac:dyDescent="0.2">
      <c r="A1521">
        <v>1519</v>
      </c>
      <c r="B1521" t="s">
        <v>119</v>
      </c>
      <c r="C1521" t="s">
        <v>2765</v>
      </c>
      <c r="D1521" t="s">
        <v>158</v>
      </c>
      <c r="E1521" t="s">
        <v>143</v>
      </c>
      <c r="F1521">
        <v>1522299908</v>
      </c>
      <c r="G1521" t="s">
        <v>159</v>
      </c>
      <c r="H1521" t="s">
        <v>159</v>
      </c>
      <c r="I1521" t="s">
        <v>160</v>
      </c>
    </row>
    <row r="1522" spans="1:9" x14ac:dyDescent="0.2">
      <c r="A1522">
        <v>1520</v>
      </c>
      <c r="B1522" t="s">
        <v>2766</v>
      </c>
      <c r="C1522" t="s">
        <v>2767</v>
      </c>
      <c r="D1522" t="s">
        <v>208</v>
      </c>
      <c r="E1522" t="s">
        <v>143</v>
      </c>
      <c r="F1522">
        <v>90432953</v>
      </c>
      <c r="G1522" t="s">
        <v>195</v>
      </c>
      <c r="H1522" t="s">
        <v>195</v>
      </c>
      <c r="I1522" t="s">
        <v>184</v>
      </c>
    </row>
    <row r="1523" spans="1:9" x14ac:dyDescent="0.2">
      <c r="A1523">
        <v>1521</v>
      </c>
      <c r="B1523" t="s">
        <v>3672</v>
      </c>
      <c r="C1523" t="s">
        <v>2768</v>
      </c>
      <c r="D1523" t="s">
        <v>882</v>
      </c>
      <c r="E1523" t="s">
        <v>167</v>
      </c>
      <c r="F1523">
        <v>31715880</v>
      </c>
      <c r="G1523" t="s">
        <v>212</v>
      </c>
      <c r="H1523" t="s">
        <v>183</v>
      </c>
      <c r="I1523" t="s">
        <v>184</v>
      </c>
    </row>
    <row r="1524" spans="1:9" x14ac:dyDescent="0.2">
      <c r="A1524">
        <v>1522</v>
      </c>
      <c r="B1524" t="s">
        <v>2769</v>
      </c>
      <c r="C1524" t="s">
        <v>2770</v>
      </c>
      <c r="D1524" t="s">
        <v>376</v>
      </c>
      <c r="E1524" t="s">
        <v>143</v>
      </c>
      <c r="F1524">
        <v>97276608</v>
      </c>
      <c r="G1524" t="s">
        <v>326</v>
      </c>
      <c r="H1524" t="s">
        <v>327</v>
      </c>
      <c r="I1524" t="s">
        <v>217</v>
      </c>
    </row>
    <row r="1525" spans="1:9" x14ac:dyDescent="0.2">
      <c r="A1525">
        <v>1523</v>
      </c>
      <c r="B1525" t="s">
        <v>2771</v>
      </c>
      <c r="C1525" t="s">
        <v>2772</v>
      </c>
      <c r="D1525" t="s">
        <v>153</v>
      </c>
      <c r="E1525" t="s">
        <v>136</v>
      </c>
      <c r="F1525">
        <v>8023071</v>
      </c>
      <c r="G1525" t="s">
        <v>154</v>
      </c>
      <c r="H1525" t="s">
        <v>155</v>
      </c>
      <c r="I1525" t="s">
        <v>139</v>
      </c>
    </row>
    <row r="1526" spans="1:9" x14ac:dyDescent="0.2">
      <c r="A1526">
        <v>1524</v>
      </c>
      <c r="B1526" t="s">
        <v>2773</v>
      </c>
      <c r="C1526" t="s">
        <v>2774</v>
      </c>
      <c r="D1526" t="s">
        <v>166</v>
      </c>
      <c r="E1526" t="s">
        <v>136</v>
      </c>
      <c r="F1526">
        <v>10559996</v>
      </c>
      <c r="G1526" t="s">
        <v>166</v>
      </c>
      <c r="H1526" t="s">
        <v>166</v>
      </c>
      <c r="I1526" t="s">
        <v>160</v>
      </c>
    </row>
    <row r="1527" spans="1:9" x14ac:dyDescent="0.2">
      <c r="A1527">
        <v>1525</v>
      </c>
      <c r="B1527" t="s">
        <v>3673</v>
      </c>
      <c r="C1527" t="s">
        <v>2775</v>
      </c>
      <c r="D1527" t="s">
        <v>882</v>
      </c>
      <c r="E1527" t="s">
        <v>143</v>
      </c>
      <c r="F1527">
        <v>14140487</v>
      </c>
      <c r="G1527" t="s">
        <v>212</v>
      </c>
      <c r="H1527" t="s">
        <v>183</v>
      </c>
      <c r="I1527" t="s">
        <v>184</v>
      </c>
    </row>
    <row r="1528" spans="1:9" x14ac:dyDescent="0.2">
      <c r="A1528">
        <v>1526</v>
      </c>
      <c r="B1528" t="s">
        <v>2776</v>
      </c>
      <c r="C1528" t="s">
        <v>2777</v>
      </c>
      <c r="D1528" t="s">
        <v>237</v>
      </c>
      <c r="E1528" t="s">
        <v>143</v>
      </c>
      <c r="F1528">
        <v>2089955445</v>
      </c>
      <c r="G1528" t="s">
        <v>154</v>
      </c>
      <c r="H1528" t="s">
        <v>155</v>
      </c>
      <c r="I1528" t="s">
        <v>139</v>
      </c>
    </row>
    <row r="1529" spans="1:9" x14ac:dyDescent="0.2">
      <c r="A1529">
        <v>1527</v>
      </c>
      <c r="B1529" t="s">
        <v>2778</v>
      </c>
      <c r="C1529" t="s">
        <v>2779</v>
      </c>
      <c r="D1529" t="s">
        <v>142</v>
      </c>
      <c r="E1529" t="s">
        <v>136</v>
      </c>
      <c r="F1529">
        <v>19428913</v>
      </c>
      <c r="G1529" t="s">
        <v>144</v>
      </c>
      <c r="H1529" t="s">
        <v>144</v>
      </c>
      <c r="I1529" t="s">
        <v>145</v>
      </c>
    </row>
    <row r="1530" spans="1:9" x14ac:dyDescent="0.2">
      <c r="A1530">
        <v>1528</v>
      </c>
      <c r="B1530" t="s">
        <v>2780</v>
      </c>
      <c r="C1530" t="s">
        <v>2781</v>
      </c>
      <c r="D1530" t="s">
        <v>1968</v>
      </c>
      <c r="E1530" t="s">
        <v>167</v>
      </c>
      <c r="F1530">
        <v>182391455</v>
      </c>
      <c r="G1530" t="s">
        <v>177</v>
      </c>
      <c r="H1530" t="s">
        <v>178</v>
      </c>
      <c r="I1530" t="s">
        <v>160</v>
      </c>
    </row>
    <row r="1531" spans="1:9" x14ac:dyDescent="0.2">
      <c r="A1531">
        <v>1529</v>
      </c>
      <c r="B1531" t="s">
        <v>2782</v>
      </c>
      <c r="C1531" t="s">
        <v>2783</v>
      </c>
      <c r="D1531" t="s">
        <v>430</v>
      </c>
      <c r="E1531" t="s">
        <v>143</v>
      </c>
      <c r="F1531">
        <v>67859192</v>
      </c>
      <c r="G1531" t="s">
        <v>326</v>
      </c>
      <c r="H1531" t="s">
        <v>327</v>
      </c>
      <c r="I1531" t="s">
        <v>217</v>
      </c>
    </row>
    <row r="1532" spans="1:9" x14ac:dyDescent="0.2">
      <c r="A1532">
        <v>1530</v>
      </c>
      <c r="B1532" t="s">
        <v>3674</v>
      </c>
      <c r="C1532" t="s">
        <v>2784</v>
      </c>
      <c r="D1532" t="s">
        <v>882</v>
      </c>
      <c r="E1532" t="s">
        <v>167</v>
      </c>
      <c r="F1532">
        <v>16699497</v>
      </c>
      <c r="G1532" t="s">
        <v>212</v>
      </c>
      <c r="H1532" t="s">
        <v>183</v>
      </c>
      <c r="I1532" t="s">
        <v>184</v>
      </c>
    </row>
    <row r="1533" spans="1:9" x14ac:dyDescent="0.2">
      <c r="A1533">
        <v>1531</v>
      </c>
      <c r="B1533" t="s">
        <v>2785</v>
      </c>
      <c r="C1533" t="s">
        <v>2786</v>
      </c>
      <c r="D1533" t="s">
        <v>220</v>
      </c>
      <c r="E1533" t="s">
        <v>136</v>
      </c>
      <c r="F1533">
        <v>1898669</v>
      </c>
      <c r="G1533" t="s">
        <v>216</v>
      </c>
      <c r="H1533" t="s">
        <v>216</v>
      </c>
      <c r="I1533" t="s">
        <v>217</v>
      </c>
    </row>
    <row r="1534" spans="1:9" x14ac:dyDescent="0.2">
      <c r="A1534">
        <v>1532</v>
      </c>
      <c r="B1534" t="s">
        <v>2787</v>
      </c>
      <c r="C1534" t="s">
        <v>2788</v>
      </c>
      <c r="D1534" t="s">
        <v>293</v>
      </c>
      <c r="E1534" t="s">
        <v>136</v>
      </c>
      <c r="F1534">
        <v>16249969</v>
      </c>
      <c r="G1534" t="s">
        <v>144</v>
      </c>
      <c r="H1534" t="s">
        <v>144</v>
      </c>
      <c r="I1534" t="s">
        <v>145</v>
      </c>
    </row>
    <row r="1535" spans="1:9" x14ac:dyDescent="0.2">
      <c r="A1535">
        <v>1533</v>
      </c>
      <c r="B1535" t="s">
        <v>2789</v>
      </c>
      <c r="C1535" t="s">
        <v>2790</v>
      </c>
      <c r="D1535" t="s">
        <v>555</v>
      </c>
      <c r="E1535" t="s">
        <v>136</v>
      </c>
      <c r="F1535">
        <v>29376974</v>
      </c>
      <c r="G1535" t="s">
        <v>216</v>
      </c>
      <c r="H1535" t="s">
        <v>216</v>
      </c>
      <c r="I1535" t="s">
        <v>217</v>
      </c>
    </row>
    <row r="1536" spans="1:9" x14ac:dyDescent="0.2">
      <c r="A1536">
        <v>1534</v>
      </c>
      <c r="B1536" t="s">
        <v>2791</v>
      </c>
      <c r="C1536" t="s">
        <v>2792</v>
      </c>
      <c r="D1536" t="s">
        <v>237</v>
      </c>
      <c r="E1536" t="s">
        <v>136</v>
      </c>
      <c r="F1536">
        <v>121800000</v>
      </c>
      <c r="G1536" t="s">
        <v>154</v>
      </c>
      <c r="H1536" t="s">
        <v>155</v>
      </c>
      <c r="I1536" t="s">
        <v>139</v>
      </c>
    </row>
    <row r="1537" spans="1:9" x14ac:dyDescent="0.2">
      <c r="A1537">
        <v>1535</v>
      </c>
      <c r="B1537" t="s">
        <v>2793</v>
      </c>
      <c r="C1537" t="s">
        <v>2794</v>
      </c>
      <c r="D1537" t="s">
        <v>806</v>
      </c>
      <c r="E1537" t="s">
        <v>143</v>
      </c>
      <c r="F1537">
        <v>140000000</v>
      </c>
      <c r="G1537" t="s">
        <v>212</v>
      </c>
      <c r="H1537" t="s">
        <v>183</v>
      </c>
      <c r="I1537" t="s">
        <v>184</v>
      </c>
    </row>
    <row r="1538" spans="1:9" x14ac:dyDescent="0.2">
      <c r="A1538">
        <v>1536</v>
      </c>
      <c r="B1538" t="s">
        <v>3675</v>
      </c>
      <c r="C1538" t="s">
        <v>2795</v>
      </c>
      <c r="D1538" t="s">
        <v>806</v>
      </c>
      <c r="E1538" t="s">
        <v>136</v>
      </c>
      <c r="F1538">
        <v>15076177</v>
      </c>
      <c r="G1538" t="s">
        <v>212</v>
      </c>
      <c r="H1538" t="s">
        <v>183</v>
      </c>
      <c r="I1538" t="s">
        <v>184</v>
      </c>
    </row>
    <row r="1539" spans="1:9" x14ac:dyDescent="0.2">
      <c r="A1539">
        <v>1537</v>
      </c>
      <c r="B1539" t="s">
        <v>2796</v>
      </c>
      <c r="C1539" t="s">
        <v>2797</v>
      </c>
      <c r="D1539" t="s">
        <v>170</v>
      </c>
      <c r="E1539" t="s">
        <v>143</v>
      </c>
      <c r="F1539">
        <v>7933923601</v>
      </c>
      <c r="G1539" t="s">
        <v>170</v>
      </c>
      <c r="H1539" t="s">
        <v>170</v>
      </c>
      <c r="I1539" t="s">
        <v>170</v>
      </c>
    </row>
    <row r="1540" spans="1:9" x14ac:dyDescent="0.2">
      <c r="A1540">
        <v>1538</v>
      </c>
      <c r="B1540" t="s">
        <v>3676</v>
      </c>
      <c r="C1540" t="s">
        <v>2798</v>
      </c>
      <c r="D1540" t="s">
        <v>208</v>
      </c>
      <c r="E1540" t="s">
        <v>136</v>
      </c>
      <c r="F1540">
        <v>5625000</v>
      </c>
      <c r="G1540" t="s">
        <v>195</v>
      </c>
      <c r="H1540" t="s">
        <v>195</v>
      </c>
      <c r="I1540" t="s">
        <v>184</v>
      </c>
    </row>
    <row r="1541" spans="1:9" x14ac:dyDescent="0.2">
      <c r="A1541">
        <v>1539</v>
      </c>
      <c r="B1541" t="s">
        <v>2799</v>
      </c>
      <c r="C1541" t="s">
        <v>2800</v>
      </c>
      <c r="D1541" t="s">
        <v>330</v>
      </c>
      <c r="E1541" t="s">
        <v>143</v>
      </c>
      <c r="F1541">
        <v>106589629</v>
      </c>
      <c r="G1541" t="s">
        <v>330</v>
      </c>
      <c r="H1541" t="s">
        <v>312</v>
      </c>
      <c r="I1541" t="s">
        <v>313</v>
      </c>
    </row>
    <row r="1542" spans="1:9" x14ac:dyDescent="0.2">
      <c r="A1542">
        <v>1540</v>
      </c>
      <c r="B1542" t="s">
        <v>2801</v>
      </c>
      <c r="C1542" t="s">
        <v>2802</v>
      </c>
      <c r="D1542" t="s">
        <v>149</v>
      </c>
      <c r="E1542" t="s">
        <v>143</v>
      </c>
      <c r="F1542">
        <v>88415751</v>
      </c>
      <c r="G1542" t="s">
        <v>149</v>
      </c>
      <c r="H1542" t="s">
        <v>150</v>
      </c>
      <c r="I1542" t="s">
        <v>145</v>
      </c>
    </row>
    <row r="1543" spans="1:9" x14ac:dyDescent="0.2">
      <c r="A1543">
        <v>1541</v>
      </c>
      <c r="B1543" t="s">
        <v>2803</v>
      </c>
      <c r="C1543" t="s">
        <v>2804</v>
      </c>
      <c r="D1543" t="s">
        <v>166</v>
      </c>
      <c r="E1543" t="s">
        <v>143</v>
      </c>
      <c r="F1543">
        <v>95357800</v>
      </c>
      <c r="G1543" t="s">
        <v>166</v>
      </c>
      <c r="H1543" t="s">
        <v>166</v>
      </c>
      <c r="I1543" t="s">
        <v>160</v>
      </c>
    </row>
    <row r="1544" spans="1:9" x14ac:dyDescent="0.2">
      <c r="A1544">
        <v>1542</v>
      </c>
      <c r="B1544" t="s">
        <v>2805</v>
      </c>
      <c r="C1544" t="s">
        <v>2806</v>
      </c>
      <c r="D1544" t="s">
        <v>166</v>
      </c>
      <c r="E1544" t="s">
        <v>143</v>
      </c>
      <c r="F1544">
        <v>320049577</v>
      </c>
      <c r="G1544" t="s">
        <v>166</v>
      </c>
      <c r="H1544" t="s">
        <v>166</v>
      </c>
      <c r="I1544" t="s">
        <v>160</v>
      </c>
    </row>
    <row r="1545" spans="1:9" x14ac:dyDescent="0.2">
      <c r="A1545">
        <v>1543</v>
      </c>
      <c r="B1545" t="s">
        <v>3188</v>
      </c>
      <c r="C1545" t="s">
        <v>3677</v>
      </c>
      <c r="D1545" t="s">
        <v>876</v>
      </c>
      <c r="E1545" t="s">
        <v>143</v>
      </c>
      <c r="F1545">
        <v>1793300377</v>
      </c>
      <c r="G1545" t="s">
        <v>326</v>
      </c>
      <c r="H1545" t="s">
        <v>327</v>
      </c>
      <c r="I1545" t="s">
        <v>217</v>
      </c>
    </row>
    <row r="1546" spans="1:9" x14ac:dyDescent="0.2">
      <c r="A1546">
        <v>1544</v>
      </c>
      <c r="B1546" t="s">
        <v>2807</v>
      </c>
      <c r="C1546" t="s">
        <v>2808</v>
      </c>
      <c r="D1546" t="s">
        <v>215</v>
      </c>
      <c r="E1546" t="s">
        <v>136</v>
      </c>
      <c r="F1546">
        <v>5033539</v>
      </c>
      <c r="G1546" t="s">
        <v>216</v>
      </c>
      <c r="H1546" t="s">
        <v>216</v>
      </c>
      <c r="I1546" t="s">
        <v>217</v>
      </c>
    </row>
    <row r="1547" spans="1:9" x14ac:dyDescent="0.2">
      <c r="A1547">
        <v>1545</v>
      </c>
      <c r="B1547" t="s">
        <v>2809</v>
      </c>
      <c r="C1547" t="s">
        <v>2810</v>
      </c>
      <c r="D1547" t="s">
        <v>293</v>
      </c>
      <c r="E1547" t="s">
        <v>143</v>
      </c>
      <c r="F1547">
        <v>24460792</v>
      </c>
      <c r="G1547" t="s">
        <v>144</v>
      </c>
      <c r="H1547" t="s">
        <v>144</v>
      </c>
      <c r="I1547" t="s">
        <v>145</v>
      </c>
    </row>
    <row r="1548" spans="1:9" x14ac:dyDescent="0.2">
      <c r="A1548">
        <v>1546</v>
      </c>
      <c r="B1548" t="s">
        <v>2811</v>
      </c>
      <c r="C1548" t="s">
        <v>2812</v>
      </c>
      <c r="D1548" t="s">
        <v>383</v>
      </c>
      <c r="E1548" t="s">
        <v>136</v>
      </c>
      <c r="F1548">
        <v>11168676</v>
      </c>
      <c r="G1548" t="s">
        <v>311</v>
      </c>
      <c r="H1548" t="s">
        <v>312</v>
      </c>
      <c r="I1548" t="s">
        <v>313</v>
      </c>
    </row>
    <row r="1549" spans="1:9" x14ac:dyDescent="0.2">
      <c r="A1549">
        <v>1547</v>
      </c>
      <c r="B1549" t="s">
        <v>3678</v>
      </c>
      <c r="C1549" t="s">
        <v>2813</v>
      </c>
      <c r="D1549" t="s">
        <v>181</v>
      </c>
      <c r="E1549" t="s">
        <v>136</v>
      </c>
      <c r="F1549">
        <v>3599580</v>
      </c>
      <c r="G1549" t="s">
        <v>182</v>
      </c>
      <c r="H1549" t="s">
        <v>183</v>
      </c>
      <c r="I1549" t="s">
        <v>184</v>
      </c>
    </row>
    <row r="1550" spans="1:9" x14ac:dyDescent="0.2">
      <c r="A1550">
        <v>1548</v>
      </c>
      <c r="B1550" t="s">
        <v>2814</v>
      </c>
      <c r="C1550" t="s">
        <v>2815</v>
      </c>
      <c r="D1550" t="s">
        <v>166</v>
      </c>
      <c r="E1550" t="s">
        <v>143</v>
      </c>
      <c r="F1550">
        <v>50000000</v>
      </c>
      <c r="G1550" t="s">
        <v>166</v>
      </c>
      <c r="H1550" t="s">
        <v>166</v>
      </c>
      <c r="I1550" t="s">
        <v>160</v>
      </c>
    </row>
    <row r="1551" spans="1:9" x14ac:dyDescent="0.2">
      <c r="A1551">
        <v>1549</v>
      </c>
      <c r="B1551" t="s">
        <v>2816</v>
      </c>
      <c r="C1551" t="s">
        <v>2817</v>
      </c>
      <c r="D1551" t="s">
        <v>166</v>
      </c>
      <c r="E1551" t="s">
        <v>143</v>
      </c>
      <c r="F1551">
        <v>2328818410</v>
      </c>
      <c r="G1551" t="s">
        <v>166</v>
      </c>
      <c r="H1551" t="s">
        <v>166</v>
      </c>
      <c r="I1551" t="s">
        <v>160</v>
      </c>
    </row>
    <row r="1552" spans="1:9" x14ac:dyDescent="0.2">
      <c r="A1552">
        <v>1550</v>
      </c>
      <c r="B1552" t="s">
        <v>2818</v>
      </c>
      <c r="C1552" t="s">
        <v>2819</v>
      </c>
      <c r="D1552" t="s">
        <v>166</v>
      </c>
      <c r="E1552" t="s">
        <v>136</v>
      </c>
      <c r="F1552">
        <v>25894868</v>
      </c>
      <c r="G1552" t="s">
        <v>166</v>
      </c>
      <c r="H1552" t="s">
        <v>166</v>
      </c>
      <c r="I1552" t="s">
        <v>160</v>
      </c>
    </row>
    <row r="1553" spans="1:9" x14ac:dyDescent="0.2">
      <c r="A1553">
        <v>1551</v>
      </c>
      <c r="B1553" t="s">
        <v>3679</v>
      </c>
      <c r="C1553" t="s">
        <v>2820</v>
      </c>
      <c r="D1553" t="s">
        <v>882</v>
      </c>
      <c r="E1553" t="s">
        <v>167</v>
      </c>
      <c r="F1553">
        <v>14096486</v>
      </c>
      <c r="G1553" t="s">
        <v>212</v>
      </c>
      <c r="H1553" t="s">
        <v>183</v>
      </c>
      <c r="I1553" t="s">
        <v>184</v>
      </c>
    </row>
    <row r="1554" spans="1:9" x14ac:dyDescent="0.2">
      <c r="A1554">
        <v>1552</v>
      </c>
      <c r="B1554" t="s">
        <v>2821</v>
      </c>
      <c r="C1554" t="s">
        <v>2822</v>
      </c>
      <c r="D1554" t="s">
        <v>211</v>
      </c>
      <c r="E1554" t="s">
        <v>143</v>
      </c>
      <c r="F1554">
        <v>374370362</v>
      </c>
      <c r="G1554" t="s">
        <v>212</v>
      </c>
      <c r="H1554" t="s">
        <v>183</v>
      </c>
      <c r="I1554" t="s">
        <v>184</v>
      </c>
    </row>
    <row r="1555" spans="1:9" x14ac:dyDescent="0.2">
      <c r="A1555">
        <v>1553</v>
      </c>
      <c r="B1555" t="s">
        <v>3680</v>
      </c>
      <c r="C1555" t="s">
        <v>2823</v>
      </c>
      <c r="D1555" t="s">
        <v>211</v>
      </c>
      <c r="E1555" t="s">
        <v>136</v>
      </c>
      <c r="F1555">
        <v>8937250</v>
      </c>
      <c r="G1555" t="s">
        <v>212</v>
      </c>
      <c r="H1555" t="s">
        <v>183</v>
      </c>
      <c r="I1555" t="s">
        <v>184</v>
      </c>
    </row>
    <row r="1556" spans="1:9" x14ac:dyDescent="0.2">
      <c r="A1556">
        <v>1554</v>
      </c>
      <c r="B1556" t="s">
        <v>2824</v>
      </c>
      <c r="C1556" t="s">
        <v>2825</v>
      </c>
      <c r="D1556" t="s">
        <v>237</v>
      </c>
      <c r="E1556" t="s">
        <v>136</v>
      </c>
      <c r="F1556">
        <v>500000000</v>
      </c>
      <c r="G1556" t="s">
        <v>154</v>
      </c>
      <c r="H1556" t="s">
        <v>155</v>
      </c>
      <c r="I1556" t="s">
        <v>139</v>
      </c>
    </row>
    <row r="1557" spans="1:9" x14ac:dyDescent="0.2">
      <c r="A1557">
        <v>1555</v>
      </c>
      <c r="B1557" t="s">
        <v>3681</v>
      </c>
      <c r="C1557" t="s">
        <v>2826</v>
      </c>
      <c r="D1557" t="s">
        <v>211</v>
      </c>
      <c r="E1557" t="s">
        <v>136</v>
      </c>
      <c r="F1557">
        <v>11044000</v>
      </c>
      <c r="G1557" t="s">
        <v>212</v>
      </c>
      <c r="H1557" t="s">
        <v>183</v>
      </c>
      <c r="I1557" t="s">
        <v>184</v>
      </c>
    </row>
    <row r="1558" spans="1:9" x14ac:dyDescent="0.2">
      <c r="A1558">
        <v>1556</v>
      </c>
      <c r="B1558" t="s">
        <v>2827</v>
      </c>
      <c r="C1558" t="s">
        <v>2828</v>
      </c>
      <c r="D1558" t="s">
        <v>330</v>
      </c>
      <c r="E1558" t="s">
        <v>143</v>
      </c>
      <c r="F1558">
        <v>236241246</v>
      </c>
      <c r="G1558" t="s">
        <v>330</v>
      </c>
      <c r="H1558" t="s">
        <v>312</v>
      </c>
      <c r="I1558" t="s">
        <v>313</v>
      </c>
    </row>
    <row r="1559" spans="1:9" x14ac:dyDescent="0.2">
      <c r="A1559">
        <v>1557</v>
      </c>
      <c r="B1559" t="s">
        <v>2829</v>
      </c>
      <c r="C1559" t="s">
        <v>2830</v>
      </c>
      <c r="D1559" t="s">
        <v>208</v>
      </c>
      <c r="E1559" t="s">
        <v>143</v>
      </c>
      <c r="F1559">
        <v>13200000</v>
      </c>
      <c r="G1559" t="s">
        <v>195</v>
      </c>
      <c r="H1559" t="s">
        <v>195</v>
      </c>
      <c r="I1559" t="s">
        <v>184</v>
      </c>
    </row>
    <row r="1560" spans="1:9" x14ac:dyDescent="0.2">
      <c r="A1560">
        <v>1558</v>
      </c>
      <c r="B1560" t="s">
        <v>3682</v>
      </c>
      <c r="C1560" t="s">
        <v>2831</v>
      </c>
      <c r="D1560" t="s">
        <v>211</v>
      </c>
      <c r="E1560" t="s">
        <v>167</v>
      </c>
      <c r="F1560">
        <v>5032475</v>
      </c>
      <c r="G1560" t="s">
        <v>212</v>
      </c>
      <c r="H1560" t="s">
        <v>183</v>
      </c>
      <c r="I1560" t="s">
        <v>184</v>
      </c>
    </row>
    <row r="1561" spans="1:9" x14ac:dyDescent="0.2">
      <c r="A1561">
        <v>1559</v>
      </c>
      <c r="B1561" t="s">
        <v>2832</v>
      </c>
      <c r="C1561" t="s">
        <v>2833</v>
      </c>
      <c r="D1561" t="s">
        <v>237</v>
      </c>
      <c r="E1561" t="s">
        <v>136</v>
      </c>
      <c r="F1561">
        <v>80914300</v>
      </c>
      <c r="G1561" t="s">
        <v>154</v>
      </c>
      <c r="H1561" t="s">
        <v>155</v>
      </c>
      <c r="I1561" t="s">
        <v>139</v>
      </c>
    </row>
    <row r="1562" spans="1:9" x14ac:dyDescent="0.2">
      <c r="A1562">
        <v>1560</v>
      </c>
      <c r="B1562" t="s">
        <v>3683</v>
      </c>
      <c r="C1562" t="s">
        <v>2834</v>
      </c>
      <c r="D1562" t="s">
        <v>806</v>
      </c>
      <c r="E1562" t="s">
        <v>136</v>
      </c>
      <c r="F1562">
        <v>68999337</v>
      </c>
      <c r="G1562" t="s">
        <v>212</v>
      </c>
      <c r="H1562" t="s">
        <v>183</v>
      </c>
      <c r="I1562" t="s">
        <v>184</v>
      </c>
    </row>
    <row r="1563" spans="1:9" x14ac:dyDescent="0.2">
      <c r="A1563">
        <v>1561</v>
      </c>
      <c r="B1563" t="s">
        <v>3684</v>
      </c>
      <c r="C1563" t="s">
        <v>2835</v>
      </c>
      <c r="D1563" t="s">
        <v>194</v>
      </c>
      <c r="E1563" t="s">
        <v>136</v>
      </c>
      <c r="F1563">
        <v>8000000</v>
      </c>
      <c r="G1563" t="s">
        <v>195</v>
      </c>
      <c r="H1563" t="s">
        <v>195</v>
      </c>
      <c r="I1563" t="s">
        <v>184</v>
      </c>
    </row>
    <row r="1564" spans="1:9" x14ac:dyDescent="0.2">
      <c r="A1564">
        <v>1562</v>
      </c>
      <c r="B1564" t="s">
        <v>3685</v>
      </c>
      <c r="C1564" t="s">
        <v>2836</v>
      </c>
      <c r="D1564" t="s">
        <v>570</v>
      </c>
      <c r="E1564" t="s">
        <v>143</v>
      </c>
      <c r="F1564">
        <v>11982050</v>
      </c>
      <c r="G1564" t="s">
        <v>260</v>
      </c>
      <c r="H1564" t="s">
        <v>183</v>
      </c>
      <c r="I1564" t="s">
        <v>184</v>
      </c>
    </row>
    <row r="1565" spans="1:9" x14ac:dyDescent="0.2">
      <c r="A1565">
        <v>1563</v>
      </c>
      <c r="B1565" t="s">
        <v>2837</v>
      </c>
      <c r="C1565" t="s">
        <v>2838</v>
      </c>
      <c r="D1565" t="s">
        <v>652</v>
      </c>
      <c r="E1565" t="s">
        <v>167</v>
      </c>
      <c r="F1565">
        <v>4534696</v>
      </c>
      <c r="G1565" t="s">
        <v>653</v>
      </c>
      <c r="H1565" t="s">
        <v>654</v>
      </c>
      <c r="I1565" t="s">
        <v>654</v>
      </c>
    </row>
    <row r="1566" spans="1:9" x14ac:dyDescent="0.2">
      <c r="A1566">
        <v>1564</v>
      </c>
      <c r="B1566" t="s">
        <v>2839</v>
      </c>
      <c r="C1566" t="s">
        <v>2840</v>
      </c>
      <c r="D1566" t="s">
        <v>430</v>
      </c>
      <c r="E1566" t="s">
        <v>136</v>
      </c>
      <c r="F1566">
        <v>24000000</v>
      </c>
      <c r="G1566" t="s">
        <v>326</v>
      </c>
      <c r="H1566" t="s">
        <v>327</v>
      </c>
      <c r="I1566" t="s">
        <v>217</v>
      </c>
    </row>
    <row r="1567" spans="1:9" x14ac:dyDescent="0.2">
      <c r="A1567">
        <v>1565</v>
      </c>
      <c r="B1567" t="s">
        <v>2841</v>
      </c>
      <c r="C1567" t="s">
        <v>2842</v>
      </c>
      <c r="D1567" t="s">
        <v>652</v>
      </c>
      <c r="E1567" t="s">
        <v>136</v>
      </c>
      <c r="F1567">
        <v>15600000</v>
      </c>
      <c r="G1567" t="s">
        <v>653</v>
      </c>
      <c r="H1567" t="s">
        <v>654</v>
      </c>
      <c r="I1567" t="s">
        <v>654</v>
      </c>
    </row>
    <row r="1568" spans="1:9" x14ac:dyDescent="0.2">
      <c r="A1568">
        <v>1566</v>
      </c>
      <c r="B1568" t="s">
        <v>2843</v>
      </c>
      <c r="C1568" t="s">
        <v>2844</v>
      </c>
      <c r="D1568" t="s">
        <v>430</v>
      </c>
      <c r="E1568" t="s">
        <v>136</v>
      </c>
      <c r="F1568">
        <v>18644500</v>
      </c>
      <c r="G1568" t="s">
        <v>326</v>
      </c>
      <c r="H1568" t="s">
        <v>327</v>
      </c>
      <c r="I1568" t="s">
        <v>217</v>
      </c>
    </row>
    <row r="1569" spans="1:9" x14ac:dyDescent="0.2">
      <c r="A1569">
        <v>1567</v>
      </c>
      <c r="B1569" t="s">
        <v>2845</v>
      </c>
      <c r="C1569" t="s">
        <v>2846</v>
      </c>
      <c r="D1569" t="s">
        <v>570</v>
      </c>
      <c r="E1569" t="s">
        <v>167</v>
      </c>
      <c r="F1569">
        <v>7899989</v>
      </c>
      <c r="G1569" t="s">
        <v>260</v>
      </c>
      <c r="H1569" t="s">
        <v>183</v>
      </c>
      <c r="I1569" t="s">
        <v>184</v>
      </c>
    </row>
    <row r="1570" spans="1:9" x14ac:dyDescent="0.2">
      <c r="A1570">
        <v>1568</v>
      </c>
      <c r="B1570" t="s">
        <v>2847</v>
      </c>
      <c r="C1570" t="s">
        <v>2848</v>
      </c>
      <c r="D1570" t="s">
        <v>163</v>
      </c>
      <c r="E1570" t="s">
        <v>136</v>
      </c>
      <c r="F1570">
        <v>3500000</v>
      </c>
      <c r="G1570" t="s">
        <v>137</v>
      </c>
      <c r="H1570" t="s">
        <v>138</v>
      </c>
      <c r="I1570" t="s">
        <v>139</v>
      </c>
    </row>
    <row r="1571" spans="1:9" x14ac:dyDescent="0.2">
      <c r="A1571">
        <v>1569</v>
      </c>
      <c r="B1571" t="s">
        <v>2849</v>
      </c>
      <c r="C1571" t="s">
        <v>2850</v>
      </c>
      <c r="D1571" t="s">
        <v>657</v>
      </c>
      <c r="E1571" t="s">
        <v>167</v>
      </c>
      <c r="F1571">
        <v>11400000</v>
      </c>
      <c r="G1571" t="s">
        <v>657</v>
      </c>
      <c r="H1571" t="s">
        <v>138</v>
      </c>
      <c r="I1571" t="s">
        <v>139</v>
      </c>
    </row>
    <row r="1572" spans="1:9" x14ac:dyDescent="0.2">
      <c r="A1572">
        <v>1570</v>
      </c>
      <c r="B1572" t="s">
        <v>2851</v>
      </c>
      <c r="C1572" t="s">
        <v>2852</v>
      </c>
      <c r="D1572" t="s">
        <v>181</v>
      </c>
      <c r="E1572" t="s">
        <v>136</v>
      </c>
      <c r="F1572">
        <v>9383230</v>
      </c>
      <c r="G1572" t="s">
        <v>182</v>
      </c>
      <c r="H1572" t="s">
        <v>183</v>
      </c>
      <c r="I1572" t="s">
        <v>184</v>
      </c>
    </row>
    <row r="1573" spans="1:9" x14ac:dyDescent="0.2">
      <c r="A1573">
        <v>1571</v>
      </c>
      <c r="B1573" t="s">
        <v>2853</v>
      </c>
      <c r="C1573" t="s">
        <v>2854</v>
      </c>
      <c r="D1573" t="s">
        <v>1178</v>
      </c>
      <c r="E1573" t="s">
        <v>136</v>
      </c>
      <c r="F1573">
        <v>10119984</v>
      </c>
      <c r="G1573" t="s">
        <v>348</v>
      </c>
      <c r="H1573" t="s">
        <v>155</v>
      </c>
      <c r="I1573" t="s">
        <v>139</v>
      </c>
    </row>
    <row r="1574" spans="1:9" x14ac:dyDescent="0.2">
      <c r="A1574">
        <v>1572</v>
      </c>
      <c r="B1574" t="s">
        <v>2855</v>
      </c>
      <c r="C1574" t="s">
        <v>2856</v>
      </c>
      <c r="D1574" t="s">
        <v>430</v>
      </c>
      <c r="E1574" t="s">
        <v>136</v>
      </c>
      <c r="F1574">
        <v>3279797</v>
      </c>
      <c r="G1574" t="s">
        <v>326</v>
      </c>
      <c r="H1574" t="s">
        <v>327</v>
      </c>
      <c r="I1574" t="s">
        <v>217</v>
      </c>
    </row>
    <row r="1575" spans="1:9" x14ac:dyDescent="0.2">
      <c r="A1575">
        <v>1573</v>
      </c>
      <c r="B1575" t="s">
        <v>2857</v>
      </c>
      <c r="C1575" t="s">
        <v>2858</v>
      </c>
      <c r="D1575" t="s">
        <v>806</v>
      </c>
      <c r="E1575" t="s">
        <v>143</v>
      </c>
      <c r="F1575">
        <v>79866666</v>
      </c>
      <c r="G1575" t="s">
        <v>212</v>
      </c>
      <c r="H1575" t="s">
        <v>183</v>
      </c>
      <c r="I1575" t="s">
        <v>184</v>
      </c>
    </row>
    <row r="1576" spans="1:9" x14ac:dyDescent="0.2">
      <c r="A1576">
        <v>1574</v>
      </c>
      <c r="B1576" t="s">
        <v>2859</v>
      </c>
      <c r="C1576" t="s">
        <v>2860</v>
      </c>
      <c r="D1576" t="s">
        <v>993</v>
      </c>
      <c r="E1576" t="s">
        <v>143</v>
      </c>
      <c r="F1576">
        <v>121783042</v>
      </c>
      <c r="G1576" t="s">
        <v>212</v>
      </c>
      <c r="H1576" t="s">
        <v>183</v>
      </c>
      <c r="I1576" t="s">
        <v>184</v>
      </c>
    </row>
    <row r="1577" spans="1:9" x14ac:dyDescent="0.2">
      <c r="A1577">
        <v>1575</v>
      </c>
      <c r="B1577" t="s">
        <v>2861</v>
      </c>
      <c r="C1577" t="s">
        <v>2862</v>
      </c>
      <c r="D1577" t="s">
        <v>142</v>
      </c>
      <c r="E1577" t="s">
        <v>136</v>
      </c>
      <c r="F1577">
        <v>17081791</v>
      </c>
      <c r="G1577" t="s">
        <v>144</v>
      </c>
      <c r="H1577" t="s">
        <v>144</v>
      </c>
      <c r="I1577" t="s">
        <v>145</v>
      </c>
    </row>
    <row r="1578" spans="1:9" x14ac:dyDescent="0.2">
      <c r="A1578">
        <v>1576</v>
      </c>
      <c r="B1578" t="s">
        <v>2863</v>
      </c>
      <c r="C1578" t="s">
        <v>2864</v>
      </c>
      <c r="D1578" t="s">
        <v>430</v>
      </c>
      <c r="E1578" t="s">
        <v>136</v>
      </c>
      <c r="F1578">
        <v>29239090</v>
      </c>
      <c r="G1578" t="s">
        <v>326</v>
      </c>
      <c r="H1578" t="s">
        <v>327</v>
      </c>
      <c r="I1578" t="s">
        <v>217</v>
      </c>
    </row>
    <row r="1579" spans="1:9" x14ac:dyDescent="0.2">
      <c r="A1579">
        <v>1577</v>
      </c>
      <c r="B1579" t="s">
        <v>2865</v>
      </c>
      <c r="C1579" t="s">
        <v>2866</v>
      </c>
      <c r="D1579" t="s">
        <v>194</v>
      </c>
      <c r="E1579" t="s">
        <v>136</v>
      </c>
      <c r="F1579">
        <v>2000205</v>
      </c>
      <c r="G1579" t="s">
        <v>195</v>
      </c>
      <c r="H1579" t="s">
        <v>195</v>
      </c>
      <c r="I1579" t="s">
        <v>184</v>
      </c>
    </row>
    <row r="1580" spans="1:9" x14ac:dyDescent="0.2">
      <c r="A1580">
        <v>1578</v>
      </c>
      <c r="B1580" t="s">
        <v>2867</v>
      </c>
      <c r="C1580" t="s">
        <v>2868</v>
      </c>
      <c r="D1580" t="s">
        <v>194</v>
      </c>
      <c r="E1580" t="s">
        <v>167</v>
      </c>
      <c r="F1580">
        <v>31199825</v>
      </c>
      <c r="G1580" t="s">
        <v>195</v>
      </c>
      <c r="H1580" t="s">
        <v>195</v>
      </c>
      <c r="I1580" t="s">
        <v>184</v>
      </c>
    </row>
    <row r="1581" spans="1:9" x14ac:dyDescent="0.2">
      <c r="A1581">
        <v>1579</v>
      </c>
      <c r="B1581" t="s">
        <v>2869</v>
      </c>
      <c r="C1581" t="s">
        <v>2870</v>
      </c>
      <c r="D1581" t="s">
        <v>882</v>
      </c>
      <c r="E1581" t="s">
        <v>136</v>
      </c>
      <c r="F1581">
        <v>20972321</v>
      </c>
      <c r="G1581" t="s">
        <v>212</v>
      </c>
      <c r="H1581" t="s">
        <v>183</v>
      </c>
      <c r="I1581" t="s">
        <v>184</v>
      </c>
    </row>
    <row r="1582" spans="1:9" x14ac:dyDescent="0.2">
      <c r="A1582">
        <v>1580</v>
      </c>
      <c r="B1582" t="s">
        <v>2871</v>
      </c>
      <c r="C1582" t="s">
        <v>2872</v>
      </c>
      <c r="D1582" t="s">
        <v>142</v>
      </c>
      <c r="E1582" t="s">
        <v>167</v>
      </c>
      <c r="F1582">
        <v>76159833</v>
      </c>
      <c r="G1582" t="s">
        <v>144</v>
      </c>
      <c r="H1582" t="s">
        <v>144</v>
      </c>
      <c r="I1582" t="s">
        <v>145</v>
      </c>
    </row>
    <row r="1583" spans="1:9" x14ac:dyDescent="0.2">
      <c r="A1583">
        <v>1581</v>
      </c>
      <c r="B1583" t="s">
        <v>2873</v>
      </c>
      <c r="C1583" t="s">
        <v>2874</v>
      </c>
      <c r="D1583" t="s">
        <v>158</v>
      </c>
      <c r="E1583" t="s">
        <v>136</v>
      </c>
      <c r="F1583">
        <v>33900000</v>
      </c>
      <c r="G1583" t="s">
        <v>159</v>
      </c>
      <c r="H1583" t="s">
        <v>159</v>
      </c>
      <c r="I1583" t="s">
        <v>160</v>
      </c>
    </row>
    <row r="1584" spans="1:9" x14ac:dyDescent="0.2">
      <c r="A1584">
        <v>1582</v>
      </c>
      <c r="B1584" t="s">
        <v>2875</v>
      </c>
      <c r="C1584" t="s">
        <v>2876</v>
      </c>
      <c r="D1584" t="s">
        <v>208</v>
      </c>
      <c r="E1584" t="s">
        <v>136</v>
      </c>
      <c r="F1584">
        <v>55000000</v>
      </c>
      <c r="G1584" t="s">
        <v>195</v>
      </c>
      <c r="H1584" t="s">
        <v>195</v>
      </c>
      <c r="I1584" t="s">
        <v>184</v>
      </c>
    </row>
    <row r="1585" spans="1:9" x14ac:dyDescent="0.2">
      <c r="A1585">
        <v>1583</v>
      </c>
      <c r="B1585" t="s">
        <v>2877</v>
      </c>
      <c r="C1585" t="s">
        <v>2878</v>
      </c>
      <c r="D1585" t="s">
        <v>671</v>
      </c>
      <c r="E1585" t="s">
        <v>136</v>
      </c>
      <c r="F1585">
        <v>21525000</v>
      </c>
      <c r="G1585" t="s">
        <v>672</v>
      </c>
      <c r="H1585" t="s">
        <v>672</v>
      </c>
      <c r="I1585" t="s">
        <v>139</v>
      </c>
    </row>
    <row r="1586" spans="1:9" x14ac:dyDescent="0.2">
      <c r="A1586">
        <v>1584</v>
      </c>
      <c r="B1586" t="s">
        <v>2879</v>
      </c>
      <c r="C1586" t="s">
        <v>2880</v>
      </c>
      <c r="D1586" t="s">
        <v>208</v>
      </c>
      <c r="E1586" t="s">
        <v>136</v>
      </c>
      <c r="F1586">
        <v>2000000</v>
      </c>
      <c r="G1586" t="s">
        <v>195</v>
      </c>
      <c r="H1586" t="s">
        <v>195</v>
      </c>
      <c r="I1586" t="s">
        <v>184</v>
      </c>
    </row>
    <row r="1587" spans="1:9" x14ac:dyDescent="0.2">
      <c r="A1587">
        <v>1585</v>
      </c>
      <c r="B1587" t="s">
        <v>2881</v>
      </c>
      <c r="C1587" t="s">
        <v>2882</v>
      </c>
      <c r="D1587" t="s">
        <v>383</v>
      </c>
      <c r="E1587" t="s">
        <v>136</v>
      </c>
      <c r="F1587">
        <v>3600000</v>
      </c>
      <c r="G1587" t="s">
        <v>311</v>
      </c>
      <c r="H1587" t="s">
        <v>312</v>
      </c>
      <c r="I1587" t="s">
        <v>313</v>
      </c>
    </row>
    <row r="1588" spans="1:9" x14ac:dyDescent="0.2">
      <c r="A1588">
        <v>1586</v>
      </c>
      <c r="B1588" t="s">
        <v>2883</v>
      </c>
      <c r="C1588" t="s">
        <v>2884</v>
      </c>
      <c r="D1588" t="s">
        <v>194</v>
      </c>
      <c r="E1588" t="s">
        <v>136</v>
      </c>
      <c r="F1588">
        <v>4049006</v>
      </c>
      <c r="G1588" t="s">
        <v>195</v>
      </c>
      <c r="H1588" t="s">
        <v>195</v>
      </c>
      <c r="I1588" t="s">
        <v>184</v>
      </c>
    </row>
    <row r="1589" spans="1:9" x14ac:dyDescent="0.2">
      <c r="A1589">
        <v>1587</v>
      </c>
      <c r="B1589" t="s">
        <v>2885</v>
      </c>
      <c r="C1589" t="s">
        <v>2886</v>
      </c>
      <c r="D1589" t="s">
        <v>293</v>
      </c>
      <c r="E1589" t="s">
        <v>136</v>
      </c>
      <c r="F1589">
        <v>3600000</v>
      </c>
      <c r="G1589" t="s">
        <v>144</v>
      </c>
      <c r="H1589" t="s">
        <v>144</v>
      </c>
      <c r="I1589" t="s">
        <v>145</v>
      </c>
    </row>
    <row r="1590" spans="1:9" x14ac:dyDescent="0.2">
      <c r="A1590">
        <v>1588</v>
      </c>
      <c r="B1590" t="s">
        <v>2887</v>
      </c>
      <c r="C1590" t="s">
        <v>2888</v>
      </c>
      <c r="D1590" t="s">
        <v>265</v>
      </c>
      <c r="E1590" t="s">
        <v>136</v>
      </c>
      <c r="F1590">
        <v>6011932</v>
      </c>
      <c r="G1590" t="s">
        <v>182</v>
      </c>
      <c r="H1590" t="s">
        <v>183</v>
      </c>
      <c r="I1590" t="s">
        <v>184</v>
      </c>
    </row>
    <row r="1591" spans="1:9" x14ac:dyDescent="0.2">
      <c r="A1591">
        <v>1589</v>
      </c>
      <c r="B1591" t="s">
        <v>2889</v>
      </c>
      <c r="C1591" t="s">
        <v>2890</v>
      </c>
      <c r="D1591" t="s">
        <v>211</v>
      </c>
      <c r="E1591" t="s">
        <v>167</v>
      </c>
      <c r="F1591">
        <v>2500000</v>
      </c>
      <c r="G1591" t="s">
        <v>212</v>
      </c>
      <c r="H1591" t="s">
        <v>183</v>
      </c>
      <c r="I1591" t="s">
        <v>184</v>
      </c>
    </row>
    <row r="1592" spans="1:9" x14ac:dyDescent="0.2">
      <c r="A1592">
        <v>1590</v>
      </c>
      <c r="B1592" t="s">
        <v>2891</v>
      </c>
      <c r="C1592" t="s">
        <v>2892</v>
      </c>
      <c r="D1592" t="s">
        <v>347</v>
      </c>
      <c r="E1592" t="s">
        <v>136</v>
      </c>
      <c r="F1592">
        <v>14500000</v>
      </c>
      <c r="G1592" t="s">
        <v>348</v>
      </c>
      <c r="H1592" t="s">
        <v>155</v>
      </c>
      <c r="I1592" t="s">
        <v>139</v>
      </c>
    </row>
    <row r="1593" spans="1:9" x14ac:dyDescent="0.2">
      <c r="A1593">
        <v>1591</v>
      </c>
      <c r="B1593" t="s">
        <v>2893</v>
      </c>
      <c r="C1593" t="s">
        <v>2894</v>
      </c>
      <c r="D1593" t="s">
        <v>158</v>
      </c>
      <c r="E1593" t="s">
        <v>167</v>
      </c>
      <c r="F1593">
        <v>50300000</v>
      </c>
      <c r="G1593" t="s">
        <v>159</v>
      </c>
      <c r="H1593" t="s">
        <v>159</v>
      </c>
      <c r="I1593" t="s">
        <v>160</v>
      </c>
    </row>
    <row r="1594" spans="1:9" x14ac:dyDescent="0.2">
      <c r="A1594">
        <v>1592</v>
      </c>
      <c r="B1594" t="s">
        <v>2895</v>
      </c>
      <c r="C1594" t="s">
        <v>2896</v>
      </c>
      <c r="D1594" t="s">
        <v>806</v>
      </c>
      <c r="E1594" t="s">
        <v>136</v>
      </c>
      <c r="F1594">
        <v>10000000</v>
      </c>
      <c r="G1594" t="s">
        <v>212</v>
      </c>
      <c r="H1594" t="s">
        <v>183</v>
      </c>
      <c r="I1594" t="s">
        <v>184</v>
      </c>
    </row>
    <row r="1595" spans="1:9" x14ac:dyDescent="0.2">
      <c r="A1595">
        <v>1593</v>
      </c>
      <c r="B1595" t="s">
        <v>2897</v>
      </c>
      <c r="C1595" t="s">
        <v>2898</v>
      </c>
      <c r="D1595" t="s">
        <v>163</v>
      </c>
      <c r="E1595" t="s">
        <v>167</v>
      </c>
      <c r="F1595">
        <v>17250000</v>
      </c>
      <c r="G1595" t="s">
        <v>137</v>
      </c>
      <c r="H1595" t="s">
        <v>138</v>
      </c>
      <c r="I1595" t="s">
        <v>139</v>
      </c>
    </row>
    <row r="1596" spans="1:9" x14ac:dyDescent="0.2">
      <c r="A1596">
        <v>1594</v>
      </c>
      <c r="B1596" t="s">
        <v>2899</v>
      </c>
      <c r="C1596" t="s">
        <v>2900</v>
      </c>
      <c r="D1596" t="s">
        <v>163</v>
      </c>
      <c r="E1596" t="s">
        <v>136</v>
      </c>
      <c r="F1596">
        <v>5000000</v>
      </c>
      <c r="G1596" t="s">
        <v>137</v>
      </c>
      <c r="H1596" t="s">
        <v>138</v>
      </c>
      <c r="I1596" t="s">
        <v>139</v>
      </c>
    </row>
    <row r="1597" spans="1:9" x14ac:dyDescent="0.2">
      <c r="A1597">
        <v>1595</v>
      </c>
      <c r="B1597" t="s">
        <v>2901</v>
      </c>
      <c r="C1597" t="s">
        <v>2902</v>
      </c>
      <c r="D1597" t="s">
        <v>194</v>
      </c>
      <c r="E1597" t="s">
        <v>136</v>
      </c>
      <c r="F1597">
        <v>1340877</v>
      </c>
      <c r="G1597" t="s">
        <v>195</v>
      </c>
      <c r="H1597" t="s">
        <v>195</v>
      </c>
      <c r="I1597" t="s">
        <v>184</v>
      </c>
    </row>
    <row r="1598" spans="1:9" x14ac:dyDescent="0.2">
      <c r="A1598">
        <v>1596</v>
      </c>
      <c r="B1598" t="s">
        <v>2903</v>
      </c>
      <c r="C1598" t="s">
        <v>2904</v>
      </c>
      <c r="D1598" t="s">
        <v>166</v>
      </c>
      <c r="E1598" t="s">
        <v>136</v>
      </c>
      <c r="F1598">
        <v>27026907</v>
      </c>
      <c r="G1598" t="s">
        <v>166</v>
      </c>
      <c r="H1598" t="s">
        <v>166</v>
      </c>
      <c r="I1598" t="s">
        <v>160</v>
      </c>
    </row>
    <row r="1599" spans="1:9" x14ac:dyDescent="0.2">
      <c r="A1599">
        <v>1597</v>
      </c>
      <c r="B1599" t="s">
        <v>2905</v>
      </c>
      <c r="C1599" t="s">
        <v>2906</v>
      </c>
      <c r="D1599" t="s">
        <v>799</v>
      </c>
      <c r="E1599" t="s">
        <v>136</v>
      </c>
      <c r="F1599">
        <v>21096500</v>
      </c>
      <c r="G1599" t="s">
        <v>800</v>
      </c>
      <c r="H1599" t="s">
        <v>138</v>
      </c>
      <c r="I1599" t="s">
        <v>139</v>
      </c>
    </row>
    <row r="1600" spans="1:9" x14ac:dyDescent="0.2">
      <c r="A1600">
        <v>1598</v>
      </c>
      <c r="B1600" t="s">
        <v>2907</v>
      </c>
      <c r="C1600" t="s">
        <v>2908</v>
      </c>
      <c r="D1600" t="s">
        <v>208</v>
      </c>
      <c r="E1600" t="s">
        <v>136</v>
      </c>
      <c r="F1600">
        <v>3000000</v>
      </c>
      <c r="G1600" t="s">
        <v>195</v>
      </c>
      <c r="H1600" t="s">
        <v>195</v>
      </c>
      <c r="I1600" t="s">
        <v>184</v>
      </c>
    </row>
    <row r="1601" spans="1:9" x14ac:dyDescent="0.2">
      <c r="A1601">
        <v>1599</v>
      </c>
      <c r="B1601" t="s">
        <v>2909</v>
      </c>
      <c r="C1601" t="s">
        <v>2910</v>
      </c>
      <c r="D1601" t="s">
        <v>194</v>
      </c>
      <c r="E1601" t="s">
        <v>136</v>
      </c>
      <c r="F1601">
        <v>71405689</v>
      </c>
      <c r="G1601" t="s">
        <v>195</v>
      </c>
      <c r="H1601" t="s">
        <v>195</v>
      </c>
      <c r="I1601" t="s">
        <v>184</v>
      </c>
    </row>
    <row r="1602" spans="1:9" x14ac:dyDescent="0.2">
      <c r="A1602">
        <v>1600</v>
      </c>
      <c r="B1602" t="s">
        <v>2911</v>
      </c>
      <c r="C1602" t="s">
        <v>2912</v>
      </c>
      <c r="D1602" t="s">
        <v>194</v>
      </c>
      <c r="E1602" t="s">
        <v>136</v>
      </c>
      <c r="F1602">
        <v>4000000</v>
      </c>
      <c r="G1602" t="s">
        <v>195</v>
      </c>
      <c r="H1602" t="s">
        <v>195</v>
      </c>
      <c r="I1602" t="s">
        <v>184</v>
      </c>
    </row>
    <row r="1603" spans="1:9" x14ac:dyDescent="0.2">
      <c r="A1603">
        <v>1601</v>
      </c>
      <c r="B1603" t="s">
        <v>2913</v>
      </c>
      <c r="C1603" t="s">
        <v>2914</v>
      </c>
      <c r="D1603" t="s">
        <v>330</v>
      </c>
      <c r="E1603" t="s">
        <v>136</v>
      </c>
      <c r="F1603">
        <v>15000000</v>
      </c>
      <c r="G1603" t="s">
        <v>330</v>
      </c>
      <c r="H1603" t="s">
        <v>312</v>
      </c>
      <c r="I1603" t="s">
        <v>313</v>
      </c>
    </row>
    <row r="1604" spans="1:9" x14ac:dyDescent="0.2">
      <c r="A1604">
        <v>1602</v>
      </c>
      <c r="B1604" t="s">
        <v>2915</v>
      </c>
      <c r="C1604" t="s">
        <v>2916</v>
      </c>
      <c r="D1604" t="s">
        <v>137</v>
      </c>
      <c r="E1604" t="s">
        <v>136</v>
      </c>
      <c r="F1604">
        <v>12972475</v>
      </c>
      <c r="G1604" t="s">
        <v>137</v>
      </c>
      <c r="H1604" t="s">
        <v>138</v>
      </c>
      <c r="I1604" t="s">
        <v>139</v>
      </c>
    </row>
    <row r="1605" spans="1:9" x14ac:dyDescent="0.2">
      <c r="A1605">
        <v>1603</v>
      </c>
      <c r="B1605" t="s">
        <v>2917</v>
      </c>
      <c r="C1605" t="s">
        <v>2918</v>
      </c>
      <c r="D1605" t="s">
        <v>194</v>
      </c>
      <c r="E1605" t="s">
        <v>136</v>
      </c>
      <c r="F1605">
        <v>11800000</v>
      </c>
      <c r="G1605" t="s">
        <v>195</v>
      </c>
      <c r="H1605" t="s">
        <v>195</v>
      </c>
      <c r="I1605" t="s">
        <v>184</v>
      </c>
    </row>
    <row r="1606" spans="1:9" x14ac:dyDescent="0.2">
      <c r="A1606">
        <v>1604</v>
      </c>
      <c r="B1606" t="s">
        <v>2919</v>
      </c>
      <c r="C1606" t="s">
        <v>2920</v>
      </c>
      <c r="D1606" t="s">
        <v>149</v>
      </c>
      <c r="E1606" t="s">
        <v>143</v>
      </c>
      <c r="F1606">
        <v>14299880</v>
      </c>
      <c r="G1606" t="s">
        <v>149</v>
      </c>
      <c r="H1606" t="s">
        <v>150</v>
      </c>
      <c r="I1606" t="s">
        <v>145</v>
      </c>
    </row>
    <row r="1607" spans="1:9" x14ac:dyDescent="0.2">
      <c r="A1607">
        <v>1605</v>
      </c>
      <c r="B1607" t="s">
        <v>2921</v>
      </c>
      <c r="C1607" t="s">
        <v>2922</v>
      </c>
      <c r="D1607" t="s">
        <v>555</v>
      </c>
      <c r="E1607" t="s">
        <v>143</v>
      </c>
      <c r="F1607">
        <v>191802035</v>
      </c>
      <c r="G1607" t="s">
        <v>216</v>
      </c>
      <c r="H1607" t="s">
        <v>216</v>
      </c>
      <c r="I1607" t="s">
        <v>217</v>
      </c>
    </row>
    <row r="1608" spans="1:9" x14ac:dyDescent="0.2">
      <c r="A1608">
        <v>1606</v>
      </c>
      <c r="B1608" t="s">
        <v>2923</v>
      </c>
      <c r="C1608" t="s">
        <v>2924</v>
      </c>
      <c r="D1608" t="s">
        <v>870</v>
      </c>
      <c r="E1608" t="s">
        <v>136</v>
      </c>
      <c r="F1608">
        <v>9548000</v>
      </c>
      <c r="G1608" t="s">
        <v>269</v>
      </c>
      <c r="H1608" t="s">
        <v>241</v>
      </c>
      <c r="I1608" t="s">
        <v>242</v>
      </c>
    </row>
  </sheetData>
  <autoFilter ref="A1:I1608" xr:uid="{DE97CC88-CB89-411D-8D49-635C7DD921CE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2677B-9E03-45C6-93A4-0745FF096075}">
  <sheetPr codeName="Sheet29"/>
  <dimension ref="A1:I47"/>
  <sheetViews>
    <sheetView workbookViewId="0">
      <selection activeCell="G24" sqref="G24"/>
    </sheetView>
  </sheetViews>
  <sheetFormatPr defaultRowHeight="15" x14ac:dyDescent="0.2"/>
  <cols>
    <col min="1" max="1" width="39.6640625" customWidth="1"/>
    <col min="2" max="7" width="18" customWidth="1"/>
    <col min="8" max="9" width="19.6640625" customWidth="1"/>
  </cols>
  <sheetData>
    <row r="1" spans="1:9" x14ac:dyDescent="0.2">
      <c r="B1" t="str" cm="1">
        <f t="array" ref="B1:I1">BS_BCTC!C3:J3</f>
        <v>31-12-2018</v>
      </c>
      <c r="C1" t="str">
        <v>31-12-2020</v>
      </c>
      <c r="D1" t="str">
        <v>31-12-2021</v>
      </c>
      <c r="E1" t="str">
        <v>31-12-2022</v>
      </c>
      <c r="F1" t="str">
        <v>31-12-2023</v>
      </c>
      <c r="G1" t="str">
        <v>31-12-2024</v>
      </c>
      <c r="H1" t="str">
        <v>31-12-2025</v>
      </c>
      <c r="I1" t="str">
        <v/>
      </c>
    </row>
    <row r="3" spans="1:9" x14ac:dyDescent="0.2"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</row>
    <row r="4" spans="1:9" x14ac:dyDescent="0.2">
      <c r="A4" t="s">
        <v>3123</v>
      </c>
    </row>
    <row r="6" spans="1:9" x14ac:dyDescent="0.2">
      <c r="A6" t="s">
        <v>3130</v>
      </c>
      <c r="B6" s="23">
        <f>IFERROR(VLOOKUP($A$6,PL_BCTC!$B:$J,Ratio!B3,FALSE), "-")</f>
        <v>409626618086</v>
      </c>
      <c r="C6" s="23">
        <f>IFERROR(VLOOKUP($A$6,PL_BCTC!$B:$J,Ratio!C3,FALSE), "-")</f>
        <v>444302703082</v>
      </c>
      <c r="D6" s="23">
        <f>IFERROR(VLOOKUP($A$6,PL_BCTC!$B:$J,Ratio!D3,FALSE), "-")</f>
        <v>502596483643</v>
      </c>
      <c r="E6" s="23">
        <f>IFERROR(VLOOKUP($A$6,PL_BCTC!$B:$J,Ratio!E3,FALSE), "-")</f>
        <v>797116822049</v>
      </c>
      <c r="F6" s="23">
        <f>IFERROR(VLOOKUP($A$6,PL_BCTC!$B:$J,Ratio!F3,FALSE), "-")</f>
        <v>806321968053</v>
      </c>
      <c r="G6" s="23">
        <f>IFERROR(VLOOKUP($A$6,PL_BCTC!$B:$J,Ratio!G3,FALSE), "-")</f>
        <v>667319916483</v>
      </c>
      <c r="H6" s="23">
        <f>IFERROR(VLOOKUP($A$6,PL_BCTC!$B:$J,Ratio!H3,FALSE), "-")</f>
        <v>2518762411895</v>
      </c>
      <c r="I6" s="23">
        <f>IFERROR(VLOOKUP($A$6,PL_BCTC!$B:$J,Ratio!I3,FALSE), "-")</f>
        <v>3578662786915</v>
      </c>
    </row>
    <row r="7" spans="1:9" x14ac:dyDescent="0.2">
      <c r="A7" t="s">
        <v>3129</v>
      </c>
      <c r="B7" s="23">
        <f>IFERROR(VLOOKUP($A$7,BS_BCTC!$B:$J,Ratio!B3,FALSE), "-")</f>
        <v>4270928091622</v>
      </c>
      <c r="C7" s="23">
        <f>IFERROR(VLOOKUP($A$7,BS_BCTC!$B:$J,Ratio!C3,FALSE), "-")</f>
        <v>4975115259394</v>
      </c>
      <c r="D7" s="23">
        <f>IFERROR(VLOOKUP($A$7,BS_BCTC!$B:$J,Ratio!D3,FALSE), "-")</f>
        <v>7820489081443</v>
      </c>
      <c r="E7" s="23">
        <f>IFERROR(VLOOKUP($A$7,BS_BCTC!$B:$J,Ratio!E3,FALSE), "-")</f>
        <v>8475011049496</v>
      </c>
      <c r="F7" s="23">
        <f>IFERROR(VLOOKUP($A$7,BS_BCTC!$B:$J,Ratio!F3,FALSE), "-")</f>
        <v>8992939064021</v>
      </c>
      <c r="G7" s="23">
        <f>IFERROR(VLOOKUP($A$7,BS_BCTC!$B:$J,Ratio!G3,FALSE), "-")</f>
        <v>11362920281297</v>
      </c>
      <c r="H7" s="23">
        <f>IFERROR(VLOOKUP($A$7,BS_BCTC!$B:$J,Ratio!H3,FALSE), "-")</f>
        <v>28835109255467</v>
      </c>
      <c r="I7" s="23">
        <f>IFERROR(VLOOKUP($A$7,BS_BCTC!$B:$J,Ratio!I3,FALSE), "-")</f>
        <v>0</v>
      </c>
    </row>
    <row r="8" spans="1:9" x14ac:dyDescent="0.2">
      <c r="A8" t="s">
        <v>107</v>
      </c>
      <c r="B8" s="211">
        <f>IFERROR(VLOOKUP($A$8,BS_BCTC!$B:$J,Ratio!B3,FALSE), "-")</f>
        <v>9660538526037</v>
      </c>
      <c r="C8" s="211">
        <f>IFERROR(VLOOKUP($A$8,BS_BCTC!$B:$J,Ratio!C3,FALSE), "-")</f>
        <v>16052326153716</v>
      </c>
      <c r="D8" s="211">
        <f>IFERROR(VLOOKUP($A$8,BS_BCTC!$B:$J,Ratio!D3,FALSE), "-")</f>
        <v>26856861040153</v>
      </c>
      <c r="E8" s="211">
        <f>IFERROR(VLOOKUP($A$8,BS_BCTC!$B:$J,Ratio!E3,FALSE), "-")</f>
        <v>20225399473260</v>
      </c>
      <c r="F8" s="211">
        <f>IFERROR(VLOOKUP($A$8,BS_BCTC!$B:$J,Ratio!F3,FALSE), "-")</f>
        <v>22462317213015</v>
      </c>
      <c r="G8" s="211">
        <f>IFERROR(VLOOKUP($A$8,BS_BCTC!$B:$J,Ratio!G3,FALSE), "-")</f>
        <v>30367897671475</v>
      </c>
      <c r="H8" s="211">
        <f>IFERROR(VLOOKUP($A$8,BS_BCTC!$B:$J,Ratio!H3,FALSE), "-")</f>
        <v>48402380273658</v>
      </c>
      <c r="I8" s="211">
        <f>IFERROR(VLOOKUP($A$8,BS_BCTC!$B:$J,Ratio!I3,FALSE), "-")</f>
        <v>0</v>
      </c>
    </row>
    <row r="9" spans="1:9" x14ac:dyDescent="0.2">
      <c r="A9" t="s">
        <v>3131</v>
      </c>
      <c r="B9" s="23" t="str">
        <f>IFERROR(VLOOKUP($A$9,PL_BCTC!$B:$J,Ratio!B3,FALSE), "-")</f>
        <v>-</v>
      </c>
      <c r="C9" s="23" t="str">
        <f>IFERROR(VLOOKUP($A$9,PL_BCTC!$B:$J,Ratio!C3,FALSE), "-")</f>
        <v>-</v>
      </c>
      <c r="D9" s="23" t="str">
        <f>IFERROR(VLOOKUP($A$9,PL_BCTC!$B:$J,Ratio!D3,FALSE), "-")</f>
        <v>-</v>
      </c>
      <c r="E9" s="23" t="str">
        <f>IFERROR(VLOOKUP($A$9,PL_BCTC!$B:$J,Ratio!E3,FALSE), "-")</f>
        <v>-</v>
      </c>
      <c r="F9" s="23" t="str">
        <f>IFERROR(VLOOKUP($A$9,PL_BCTC!$B:$J,Ratio!F3,FALSE), "-")</f>
        <v>-</v>
      </c>
      <c r="G9" s="23" t="str">
        <f>IFERROR(VLOOKUP($A$9,PL_BCTC!$B:$J,Ratio!G3,FALSE), "-")</f>
        <v>-</v>
      </c>
      <c r="H9" s="23" t="str">
        <f>IFERROR(VLOOKUP($A$9,PL_BCTC!$B:$J,Ratio!H3,FALSE), "-")</f>
        <v>-</v>
      </c>
      <c r="I9" s="23" t="str">
        <f>IFERROR(VLOOKUP($A$9,PL_BCTC!$B:$J,Ratio!I3,FALSE), "-")</f>
        <v>-</v>
      </c>
    </row>
    <row r="10" spans="1:9" x14ac:dyDescent="0.2">
      <c r="A10" t="s">
        <v>3132</v>
      </c>
      <c r="B10" s="211">
        <f>IFERROR(VLOOKUP($A$10,PL_BCTC!$B:$J,Ratio!B3,FALSE), "-")</f>
        <v>1496490369809</v>
      </c>
      <c r="C10" s="211">
        <f>IFERROR(VLOOKUP($A$10,PL_BCTC!$B:$J,Ratio!C3,FALSE), "-")</f>
        <v>3092983686830</v>
      </c>
      <c r="D10" s="211">
        <f>IFERROR(VLOOKUP($A$10,PL_BCTC!$B:$J,Ratio!D3,FALSE), "-")</f>
        <v>3828459945194</v>
      </c>
      <c r="E10" s="211">
        <f>IFERROR(VLOOKUP($A$10,PL_BCTC!$B:$J,Ratio!E3,FALSE), "-")</f>
        <v>9518118459079</v>
      </c>
      <c r="F10" s="211">
        <f>IFERROR(VLOOKUP($A$10,PL_BCTC!$B:$J,Ratio!F3,FALSE), "-")</f>
        <v>8440762913975</v>
      </c>
      <c r="G10" s="211">
        <f>IFERROR(VLOOKUP($A$10,PL_BCTC!$B:$J,Ratio!G3,FALSE), "-")</f>
        <v>6373838274239</v>
      </c>
      <c r="H10" s="211">
        <f>IFERROR(VLOOKUP($A$10,PL_BCTC!$B:$J,Ratio!H3,FALSE), "-")</f>
        <v>6466321678945</v>
      </c>
      <c r="I10" s="211">
        <f>IFERROR(VLOOKUP($A$10,PL_BCTC!$B:$J,Ratio!I3,FALSE), "-")</f>
        <v>8260714445897</v>
      </c>
    </row>
    <row r="11" spans="1:9" x14ac:dyDescent="0.2">
      <c r="B11" s="23"/>
      <c r="C11" s="23"/>
      <c r="D11" s="23"/>
      <c r="E11" s="23"/>
      <c r="F11" s="23"/>
      <c r="G11" s="23"/>
      <c r="H11" s="23"/>
      <c r="I11" s="23"/>
    </row>
    <row r="12" spans="1:9" x14ac:dyDescent="0.2">
      <c r="B12" t="str">
        <f>IF(MID(C1,4,2)*1&lt;=3,"Q1",IF(AND(MID(C1,4,2)*1&gt;3,MID(C1,4,2)*1&lt;=6),"Q2",IF(AND(MID(C1,4,2)*1&gt;6,MID(C1,4,2)*1&lt;=9),"Q3","Q4")))</f>
        <v>Q4</v>
      </c>
      <c r="C12" t="str">
        <f>IF(MID(D1,4,2)*1&lt;=3,"Q1",IF(AND(MID(D1,4,2)*1&gt;3,MID(D1,4,2)*1&lt;=6),"Q2",IF(AND(MID(D1,4,2)*1&gt;6,MID(D1,4,2)*1&lt;=9),"Q3","Q4")))</f>
        <v>Q4</v>
      </c>
      <c r="D12" t="str">
        <f>IF(MID(E1,4,2)*1&lt;=3,"Q1",IF(AND(MID(E1,4,2)*1&gt;3,MID(E1,4,2)*1&lt;=6),"Q2",IF(AND(MID(E1,4,2)*1&gt;6,MID(E1,4,2)*1&lt;=9),"Q3","Q4")))</f>
        <v>Q4</v>
      </c>
      <c r="E12" t="str">
        <f>IF(MID(F1,4,2)*1&lt;=3,"Q1",IF(AND(MID(F1,4,2)*1&gt;3,MID(F1,4,2)*1&lt;=6),"Q2",IF(AND(MID(F1,4,2)*1&gt;6,MID(F1,4,2)*1&lt;=9),"Q3","Q4")))</f>
        <v>Q4</v>
      </c>
      <c r="F12" t="str">
        <f>IF(MID(G1,4,2)*1&lt;=3,"Q1",IF(AND(MID(G1,4,2)*1&gt;3,MID(G1,4,2)*1&lt;=6),"Q2",IF(AND(MID(G1,4,2)*1&gt;6,MID(G1,4,2)*1&lt;=9),"Q3","Q4")))</f>
        <v>Q4</v>
      </c>
      <c r="G12" t="str">
        <f>IFERROR(IF(MID(H1,4,2)*1&lt;=3,"Q1",IF(AND(MID(H1,4,2)*1&gt;3,MID(H1,4,2)*1&lt;=6),"Q2",IF(AND(MID(H1,4,2)*1&gt;6,MID(H1,4,2)*1&lt;=9),"Q3","Q4"))),"-")</f>
        <v>Q4</v>
      </c>
      <c r="H12" t="str">
        <f>IFERROR(IF(MID(I1,4,2)*1&lt;=3,"Q1",IF(AND(MID(I1,4,2)*1&gt;3,MID(I1,4,2)*1&lt;=6),"Q2",IF(AND(MID(I1,4,2)*1&gt;6,MID(I1,4,2)*1&lt;=9),"Q3","Q4"))),"-")</f>
        <v>-</v>
      </c>
      <c r="I12" s="23"/>
    </row>
    <row r="13" spans="1:9" x14ac:dyDescent="0.2">
      <c r="B13" t="str">
        <f t="shared" ref="B13:H13" si="0">RIGHT(C1,4)</f>
        <v>2020</v>
      </c>
      <c r="C13" t="str">
        <f t="shared" si="0"/>
        <v>2021</v>
      </c>
      <c r="D13" t="str">
        <f t="shared" si="0"/>
        <v>2022</v>
      </c>
      <c r="E13" t="str">
        <f t="shared" si="0"/>
        <v>2023</v>
      </c>
      <c r="F13" t="str">
        <f t="shared" si="0"/>
        <v>2024</v>
      </c>
      <c r="G13" t="str">
        <f t="shared" si="0"/>
        <v>2025</v>
      </c>
      <c r="H13" t="str">
        <f t="shared" si="0"/>
        <v/>
      </c>
    </row>
    <row r="15" spans="1:9" x14ac:dyDescent="0.2">
      <c r="A15" t="s">
        <v>3122</v>
      </c>
      <c r="B15" t="str">
        <f>B12&amp;-B13</f>
        <v>Q4-2020</v>
      </c>
      <c r="C15" t="str">
        <f>C12&amp;-C13</f>
        <v>Q4-2021</v>
      </c>
      <c r="D15" t="str">
        <f>D12&amp;-D13</f>
        <v>Q4-2022</v>
      </c>
      <c r="E15" t="str">
        <f>E12&amp;-E13</f>
        <v>Q4-2023</v>
      </c>
      <c r="F15" t="str">
        <f>F12&amp;-F13</f>
        <v>Q4-2024</v>
      </c>
      <c r="G15" t="str">
        <f>IFERROR(G12&amp;-G13,NA())</f>
        <v>Q4-2025</v>
      </c>
      <c r="H15" t="e">
        <f>IFERROR(H12&amp;-H13,NA())</f>
        <v>#N/A</v>
      </c>
    </row>
    <row r="16" spans="1:9" x14ac:dyDescent="0.2">
      <c r="A16" t="s">
        <v>3124</v>
      </c>
      <c r="B16" s="210">
        <f>IFERROR((C10-B10)/B10,(C9-B9)/B9)</f>
        <v>1.0668249854656691</v>
      </c>
      <c r="C16" s="210">
        <f>IFERROR((D10-C10)/C10,(D9-C9)/C9)</f>
        <v>0.23778859924016923</v>
      </c>
      <c r="D16" s="210">
        <f>IFERROR((E10-D10)/D10,(E9-D9)/D9)</f>
        <v>1.4861481105548533</v>
      </c>
      <c r="E16" s="210">
        <f>IFERROR((F10-E10)/E10,(F9-E9)/E9)</f>
        <v>-0.11318997023790435</v>
      </c>
      <c r="F16" s="210">
        <f>IFERROR((G10-F10)/F10,(G9-F9)/F9)</f>
        <v>-0.24487414950535855</v>
      </c>
      <c r="G16" s="210">
        <f>IF(OR(H9="-", H9=0), IF(OR(H10="-", H10=0), NA(), (H10-G10)/G10), IF(OR(H10="-", H10=0), (H9-G9)/G9, NA()))</f>
        <v>1.4509844888877729E-2</v>
      </c>
      <c r="H16" s="210">
        <f>IF(OR(I9="-", I9=0), IF(OR(I10="-", I10=0), NA(), (I10-H10)/H10), IF(OR(I10="-", I10=0), (I9-H9)/H9, NA()))</f>
        <v>0.27749822171617677</v>
      </c>
    </row>
    <row r="17" spans="1:8" x14ac:dyDescent="0.2">
      <c r="A17" t="s">
        <v>3125</v>
      </c>
      <c r="B17" s="210">
        <f>(C6-B6)/B6</f>
        <v>8.4652909417912509E-2</v>
      </c>
      <c r="C17" s="210">
        <f>(D6-C6)/C6</f>
        <v>0.13120284922111169</v>
      </c>
      <c r="D17" s="210">
        <f>(E6-D6)/D6</f>
        <v>0.5859976103915624</v>
      </c>
      <c r="E17" s="210">
        <f>(F6-E6)/E6</f>
        <v>1.1548051363836536E-2</v>
      </c>
      <c r="F17" s="210">
        <f>(G6-F6)/F6</f>
        <v>-0.17239025733807531</v>
      </c>
      <c r="G17" s="210">
        <f>IF((H6-G6)/G6=-100%,NA(),(H6-G6)/G6)</f>
        <v>2.7744451344562342</v>
      </c>
      <c r="H17" s="210">
        <f>IFERROR(IF((I6-H6)/H6=-100%,NA(),(I6-H6)/H6),NA())</f>
        <v>0.42080204548652927</v>
      </c>
    </row>
    <row r="18" spans="1:8" x14ac:dyDescent="0.2">
      <c r="A18" t="s">
        <v>3128</v>
      </c>
      <c r="B18" s="210">
        <f>(C8-B8)/B8</f>
        <v>0.66163885278775181</v>
      </c>
      <c r="C18" s="210">
        <f>(D8-C8)/C8</f>
        <v>0.67308219275969716</v>
      </c>
      <c r="D18" s="210">
        <f>(E8-D8)/D8</f>
        <v>-0.24691871313548047</v>
      </c>
      <c r="E18" s="210">
        <f>(F8-E8)/E8</f>
        <v>0.11059943427631325</v>
      </c>
      <c r="F18" s="210">
        <f>(G8-F8)/F8</f>
        <v>0.35194857162285059</v>
      </c>
      <c r="G18" s="210">
        <f>IF(H8=0,NA(),(H8-G8)/G8)</f>
        <v>0.59386668110130802</v>
      </c>
      <c r="H18" s="210" t="e">
        <f>IF(I8=0,NA(),(I8-H8)/H8)</f>
        <v>#N/A</v>
      </c>
    </row>
    <row r="19" spans="1:8" x14ac:dyDescent="0.2">
      <c r="A19" t="s">
        <v>3126</v>
      </c>
      <c r="B19" s="210">
        <f>(C7-B7)/B7</f>
        <v>0.1648791908141366</v>
      </c>
      <c r="C19" s="210">
        <f>(D7-C7)/C7</f>
        <v>0.57192118648434775</v>
      </c>
      <c r="D19" s="210">
        <f>(E7-D7)/D7</f>
        <v>8.3693227013908272E-2</v>
      </c>
      <c r="E19" s="210">
        <f>(F7-E7)/E7</f>
        <v>6.1112370414643957E-2</v>
      </c>
      <c r="F19" s="210">
        <f>(G7-F7)/F7</f>
        <v>0.26353800469502053</v>
      </c>
      <c r="G19" s="210">
        <f>IF(H7=0,NA(),(H7-G7)/G7)</f>
        <v>1.5376495250898361</v>
      </c>
      <c r="H19" s="210" t="e">
        <f>IF(I7=0,NA(),(I7-H7)/H7)</f>
        <v>#N/A</v>
      </c>
    </row>
    <row r="20" spans="1:8" x14ac:dyDescent="0.2">
      <c r="A20" t="s">
        <v>3133</v>
      </c>
      <c r="B20" s="210">
        <f>C6/C8</f>
        <v>2.7678399929542116E-2</v>
      </c>
      <c r="C20" s="210">
        <f>D6/D8</f>
        <v>1.8713895227427398E-2</v>
      </c>
      <c r="D20" s="210">
        <f>E6/E8</f>
        <v>3.9411672590342069E-2</v>
      </c>
      <c r="E20" s="210">
        <f>F6/F8</f>
        <v>3.5896651285193544E-2</v>
      </c>
      <c r="F20" s="210">
        <f>G6/G8</f>
        <v>2.1974518081632734E-2</v>
      </c>
      <c r="G20" s="210">
        <f>IFERROR(H6/H8,NA())</f>
        <v>5.2037986513357171E-2</v>
      </c>
      <c r="H20" s="210" t="e">
        <f>IFERROR(I6/I8,NA())</f>
        <v>#N/A</v>
      </c>
    </row>
    <row r="21" spans="1:8" x14ac:dyDescent="0.2">
      <c r="A21" t="s">
        <v>3134</v>
      </c>
      <c r="B21" s="210">
        <f>C6/C7</f>
        <v>8.9305007003218417E-2</v>
      </c>
      <c r="C21" s="210">
        <f>D6/D7</f>
        <v>6.4266630693928836E-2</v>
      </c>
      <c r="D21" s="210">
        <f>E6/E7</f>
        <v>9.4054959621132736E-2</v>
      </c>
      <c r="E21" s="210">
        <f>F6/F7</f>
        <v>8.9661673710092996E-2</v>
      </c>
      <c r="F21" s="210">
        <f>G6/G7</f>
        <v>5.8727853400625106E-2</v>
      </c>
      <c r="G21" s="210">
        <f>IFERROR(H6/H7,NA())</f>
        <v>8.7350541646290261E-2</v>
      </c>
      <c r="H21" s="210" t="e">
        <f>IFERROR(I6/I7,NA())</f>
        <v>#N/A</v>
      </c>
    </row>
    <row r="22" spans="1:8" x14ac:dyDescent="0.2">
      <c r="A22" t="s">
        <v>3135</v>
      </c>
      <c r="B22" s="210">
        <f>IFERROR(C6/C9,C6/C10)</f>
        <v>0.14364857628375208</v>
      </c>
      <c r="C22" s="210">
        <f>IFERROR(D6/D9,D6/D10)</f>
        <v>0.13127902363819346</v>
      </c>
      <c r="D22" s="210">
        <f>IFERROR(E6/E9,E6/E10)</f>
        <v>8.3747310508481665E-2</v>
      </c>
      <c r="E22" s="210">
        <f>IFERROR(F6/F9,F6/F10)</f>
        <v>9.5527143253604271E-2</v>
      </c>
      <c r="F22" s="210">
        <f>IFERROR(G6/G9,G6/G10)</f>
        <v>0.10469671299632625</v>
      </c>
      <c r="G22" s="210">
        <f>IFERROR(IFERROR(H6/H9,H6/H10),NA())</f>
        <v>0.38952012240534617</v>
      </c>
      <c r="H22" s="210">
        <f>IFERROR(IFERROR(I6/I9,I6/I10),NA())</f>
        <v>0.43321468262257629</v>
      </c>
    </row>
    <row r="23" spans="1:8" x14ac:dyDescent="0.2">
      <c r="A23" t="s">
        <v>3136</v>
      </c>
      <c r="B23" s="210">
        <f>C7/C8</f>
        <v>0.30993110978138805</v>
      </c>
      <c r="C23" s="210">
        <f>D7/D8</f>
        <v>0.29119147877150603</v>
      </c>
      <c r="D23" s="210">
        <f>E7/E8</f>
        <v>0.41902811663625295</v>
      </c>
      <c r="E23" s="210">
        <f>F7/F8</f>
        <v>0.40035669422433218</v>
      </c>
      <c r="F23" s="210">
        <f>G7/G8</f>
        <v>0.37417540075453931</v>
      </c>
      <c r="G23" s="210">
        <f>IFERROR(H7/H8,NA())</f>
        <v>0.59573742225978743</v>
      </c>
      <c r="H23" s="210" t="e">
        <f>IFERROR(I7/I8,NA())</f>
        <v>#N/A</v>
      </c>
    </row>
    <row r="25" spans="1:8" x14ac:dyDescent="0.2">
      <c r="B25" s="210"/>
      <c r="C25" s="210"/>
      <c r="D25" s="210"/>
      <c r="E25" s="210"/>
      <c r="F25" s="210"/>
      <c r="G25" s="210"/>
      <c r="H25" s="210"/>
    </row>
    <row r="27" spans="1:8" x14ac:dyDescent="0.2">
      <c r="B27" s="210"/>
      <c r="C27" s="210"/>
      <c r="D27" s="210"/>
      <c r="E27" s="210"/>
      <c r="F27" s="210"/>
      <c r="G27" s="210"/>
      <c r="H27" s="210"/>
    </row>
    <row r="29" spans="1:8" x14ac:dyDescent="0.2">
      <c r="B29" s="210"/>
      <c r="C29" s="210"/>
      <c r="D29" s="210"/>
      <c r="E29" s="210"/>
      <c r="F29" s="210"/>
      <c r="G29" s="210"/>
      <c r="H29" s="210"/>
    </row>
    <row r="47" spans="1:1" x14ac:dyDescent="0.2">
      <c r="A47" t="s">
        <v>3127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75251-9D4E-43BB-9EB0-39C7B79D8B56}">
  <sheetPr codeName="Sheet5"/>
  <dimension ref="A1:J135"/>
  <sheetViews>
    <sheetView topLeftCell="A3" workbookViewId="0">
      <selection activeCell="L21" sqref="L21"/>
    </sheetView>
  </sheetViews>
  <sheetFormatPr defaultRowHeight="15" x14ac:dyDescent="0.2"/>
  <cols>
    <col min="1" max="1" width="3.77734375" customWidth="1"/>
    <col min="2" max="2" width="70" customWidth="1"/>
    <col min="3" max="10" width="13.109375" style="23" customWidth="1"/>
  </cols>
  <sheetData>
    <row r="1" spans="1:10" ht="15.75" x14ac:dyDescent="0.25">
      <c r="C1" s="4" t="s">
        <v>16</v>
      </c>
      <c r="D1" s="4" t="s">
        <v>15</v>
      </c>
      <c r="E1" s="4" t="s">
        <v>17</v>
      </c>
      <c r="F1" s="4" t="s">
        <v>18</v>
      </c>
    </row>
    <row r="2" spans="1:10" x14ac:dyDescent="0.2">
      <c r="C2" s="28" t="str">
        <f>CANSLIM!$E$1</f>
        <v>VCK</v>
      </c>
      <c r="D2" s="3" t="s">
        <v>20</v>
      </c>
      <c r="E2" s="3">
        <f>CANSLIM!$E$2</f>
        <v>2025</v>
      </c>
      <c r="F2" s="28" t="str">
        <f>CANSLIM!$D$2</f>
        <v>YEAR</v>
      </c>
    </row>
    <row r="4" spans="1:10" ht="15.75" x14ac:dyDescent="0.25">
      <c r="A4" s="4" t="str" cm="1">
        <f t="array" ref="A4:H135">report_finance_vnd(C2,D2,E2,F2)</f>
        <v/>
      </c>
      <c r="B4" s="4" t="str">
        <v>VCK</v>
      </c>
      <c r="C4" s="4" t="str">
        <v>2018-12-31</v>
      </c>
      <c r="D4" s="4" t="str">
        <v>2021-12-31</v>
      </c>
      <c r="E4" s="4" t="str">
        <v>2022-12-31</v>
      </c>
      <c r="F4" s="4" t="str">
        <v>2023-12-31</v>
      </c>
      <c r="G4" s="4" t="str">
        <v>2024-12-31</v>
      </c>
      <c r="H4" s="4" t="str">
        <v>2025-12-31</v>
      </c>
      <c r="I4" s="4"/>
      <c r="J4" s="4"/>
    </row>
    <row r="5" spans="1:10" ht="15.75" x14ac:dyDescent="0.25">
      <c r="A5">
        <v>0</v>
      </c>
      <c r="B5" s="21" t="str">
        <v>LƯU CHUYỂN TIỀN TỪ HOẠT ĐỘNG KINH DOANH - GIÁN TIẾP</v>
      </c>
      <c r="C5" s="264" t="str">
        <v/>
      </c>
      <c r="D5" s="264" t="str">
        <v/>
      </c>
      <c r="E5" s="264" t="str">
        <v/>
      </c>
      <c r="F5" s="264" t="str">
        <v/>
      </c>
      <c r="G5" s="264" t="str">
        <v/>
      </c>
      <c r="H5" s="264" t="str">
        <v/>
      </c>
      <c r="I5" s="264"/>
      <c r="J5" s="243"/>
    </row>
    <row r="6" spans="1:10" x14ac:dyDescent="0.2">
      <c r="A6">
        <v>1</v>
      </c>
      <c r="B6" t="str">
        <v>Lợi nhuận kế toán trước thuế</v>
      </c>
      <c r="C6" s="264">
        <v>514074233487</v>
      </c>
      <c r="D6" s="264">
        <v>996767236092</v>
      </c>
      <c r="E6" s="264">
        <v>1011686727794</v>
      </c>
      <c r="F6" s="264">
        <v>833810731786</v>
      </c>
      <c r="G6" s="264">
        <v>3153763370735</v>
      </c>
      <c r="H6" s="264">
        <v>4471406414508</v>
      </c>
      <c r="I6" s="264"/>
      <c r="J6" s="243"/>
    </row>
    <row r="7" spans="1:10" x14ac:dyDescent="0.2">
      <c r="A7">
        <v>2</v>
      </c>
      <c r="B7" t="str">
        <v>Điều chỉnh cho các khoản</v>
      </c>
      <c r="C7" s="264">
        <v>-81733906864</v>
      </c>
      <c r="D7" s="264">
        <v>476524112754</v>
      </c>
      <c r="E7" s="264">
        <v>441490278596</v>
      </c>
      <c r="F7" s="264">
        <v>741479159558</v>
      </c>
      <c r="G7" s="264">
        <v>302262830850</v>
      </c>
      <c r="H7" s="264">
        <v>620016739381</v>
      </c>
      <c r="I7" s="264"/>
      <c r="J7" s="243"/>
    </row>
    <row r="8" spans="1:10" x14ac:dyDescent="0.2">
      <c r="A8">
        <v>3</v>
      </c>
      <c r="B8" t="str">
        <v>Chi phí khấu hao tài sản cố định</v>
      </c>
      <c r="C8" s="264">
        <v>6124548016</v>
      </c>
      <c r="D8" s="264">
        <v>85645645503</v>
      </c>
      <c r="E8" s="264">
        <v>105310770137</v>
      </c>
      <c r="F8" s="264">
        <v>136814507631</v>
      </c>
      <c r="G8" s="264">
        <v>156635933383</v>
      </c>
      <c r="H8" s="264">
        <v>168810590533</v>
      </c>
      <c r="I8" s="264"/>
      <c r="J8" s="243"/>
    </row>
    <row r="9" spans="1:10" x14ac:dyDescent="0.2">
      <c r="A9">
        <v>4</v>
      </c>
      <c r="B9" t="str">
        <v>Phân bổ lợi thế thương mại</v>
      </c>
      <c r="C9" s="264">
        <v>0</v>
      </c>
      <c r="D9" s="264">
        <v>0</v>
      </c>
      <c r="E9" s="264">
        <v>0</v>
      </c>
      <c r="F9" s="264">
        <v>0</v>
      </c>
      <c r="G9" s="264">
        <v>0</v>
      </c>
      <c r="H9" s="264">
        <v>0</v>
      </c>
      <c r="I9" s="264"/>
      <c r="J9" s="243"/>
    </row>
    <row r="10" spans="1:10" x14ac:dyDescent="0.2">
      <c r="A10">
        <v>5</v>
      </c>
      <c r="B10" t="str">
        <v>Dự phòng giảm giá các khoản đầu tư ngắn hạn, dài hạn</v>
      </c>
      <c r="C10" s="264">
        <v>-8885084254</v>
      </c>
      <c r="D10" s="264">
        <v>-581839000</v>
      </c>
      <c r="E10" s="264">
        <v>-6702794726</v>
      </c>
      <c r="F10" s="264">
        <v>1768508043</v>
      </c>
      <c r="G10" s="264">
        <v>1152497367</v>
      </c>
      <c r="H10" s="264">
        <v>-16153117772</v>
      </c>
      <c r="I10" s="264"/>
      <c r="J10" s="243"/>
    </row>
    <row r="11" spans="1:10" x14ac:dyDescent="0.2">
      <c r="A11">
        <v>6</v>
      </c>
      <c r="B11" t="str">
        <v>Lãi, lỗ chênh lệch tỷ giá hối đoái chưa thực hiện</v>
      </c>
      <c r="C11" s="264">
        <v>0</v>
      </c>
      <c r="D11" s="264">
        <v>0</v>
      </c>
      <c r="E11" s="264">
        <v>0</v>
      </c>
      <c r="F11" s="264">
        <v>0</v>
      </c>
      <c r="G11" s="264">
        <v>0</v>
      </c>
      <c r="H11" s="264">
        <v>0</v>
      </c>
      <c r="I11" s="264"/>
      <c r="J11" s="243"/>
    </row>
    <row r="12" spans="1:10" x14ac:dyDescent="0.2">
      <c r="A12">
        <v>7</v>
      </c>
      <c r="B12" t="str">
        <v>Chi phí phải trả, chi phí trả trước</v>
      </c>
      <c r="C12" s="264">
        <v>0</v>
      </c>
      <c r="D12" s="264">
        <v>0</v>
      </c>
      <c r="E12" s="264">
        <v>0</v>
      </c>
      <c r="F12" s="264">
        <v>0</v>
      </c>
      <c r="G12" s="264">
        <v>0</v>
      </c>
      <c r="H12" s="264">
        <v>0</v>
      </c>
      <c r="I12" s="264"/>
      <c r="J12" s="243"/>
    </row>
    <row r="13" spans="1:10" x14ac:dyDescent="0.2">
      <c r="A13">
        <v>8</v>
      </c>
      <c r="B13" t="str">
        <v>Lãi, lỗ từ hoạt động đầu tư</v>
      </c>
      <c r="C13" s="264">
        <v>-4383666694</v>
      </c>
      <c r="D13" s="264">
        <v>-22044374569</v>
      </c>
      <c r="E13" s="264">
        <v>-32450182147</v>
      </c>
      <c r="F13" s="264">
        <v>-44372269259</v>
      </c>
      <c r="G13" s="264">
        <v>-59282340279</v>
      </c>
      <c r="H13" s="264">
        <v>-88153245132</v>
      </c>
      <c r="I13" s="264"/>
      <c r="J13" s="243"/>
    </row>
    <row r="14" spans="1:10" x14ac:dyDescent="0.2">
      <c r="A14">
        <v>9</v>
      </c>
      <c r="B14" t="str">
        <v>Chi phí lãi vay</v>
      </c>
      <c r="C14" s="264">
        <v>236903150640</v>
      </c>
      <c r="D14" s="264">
        <v>698198181225</v>
      </c>
      <c r="E14" s="264">
        <v>560980720850</v>
      </c>
      <c r="F14" s="264">
        <v>831677344771</v>
      </c>
      <c r="G14" s="264">
        <v>576247663730</v>
      </c>
      <c r="H14" s="264">
        <v>985023012500</v>
      </c>
      <c r="I14" s="264"/>
      <c r="J14" s="243"/>
    </row>
    <row r="15" spans="1:10" x14ac:dyDescent="0.2">
      <c r="A15">
        <v>10</v>
      </c>
      <c r="B15" t="str">
        <v>Dự thu tiền lãi</v>
      </c>
      <c r="C15" s="264">
        <v>-385858438486</v>
      </c>
      <c r="D15" s="264">
        <v>-284693500405</v>
      </c>
      <c r="E15" s="264">
        <v>-185648235518</v>
      </c>
      <c r="F15" s="264">
        <v>-186817029670</v>
      </c>
      <c r="G15" s="264">
        <v>-375509728732</v>
      </c>
      <c r="H15" s="264">
        <v>-429510500748</v>
      </c>
      <c r="I15" s="264"/>
      <c r="J15" s="243"/>
    </row>
    <row r="16" spans="1:10" x14ac:dyDescent="0.2">
      <c r="A16">
        <v>11</v>
      </c>
      <c r="B16" t="str">
        <v>Các khoản điều chỉnh khác</v>
      </c>
      <c r="C16" s="264">
        <v>74365583914</v>
      </c>
      <c r="D16" s="264">
        <v>0</v>
      </c>
      <c r="E16" s="264">
        <v>0</v>
      </c>
      <c r="F16" s="264">
        <v>2408098042</v>
      </c>
      <c r="G16" s="264">
        <v>3018805381</v>
      </c>
      <c r="H16" s="264">
        <v>0</v>
      </c>
      <c r="I16" s="264"/>
      <c r="J16" s="243"/>
    </row>
    <row r="17" spans="1:10" x14ac:dyDescent="0.2">
      <c r="A17">
        <v>12</v>
      </c>
      <c r="B17" t="str">
        <v xml:space="preserve">Tăng các chi phí phi tiền tệ </v>
      </c>
      <c r="C17" s="264">
        <v>11429022211</v>
      </c>
      <c r="D17" s="264">
        <v>17292568880</v>
      </c>
      <c r="E17" s="264">
        <v>20635722155</v>
      </c>
      <c r="F17" s="264">
        <v>8727260857</v>
      </c>
      <c r="G17" s="264">
        <v>45155360698</v>
      </c>
      <c r="H17" s="264">
        <v>82863440012</v>
      </c>
      <c r="I17" s="264"/>
      <c r="J17" s="243"/>
    </row>
    <row r="18" spans="1:10" x14ac:dyDescent="0.2">
      <c r="A18">
        <v>13</v>
      </c>
      <c r="B18" t="str">
        <v>Lỗ đánh giá giá trị các tài sản tài chính ghi nhận thông qua KQKD</v>
      </c>
      <c r="C18" s="264">
        <v>11429022211</v>
      </c>
      <c r="D18" s="264">
        <v>17292568880</v>
      </c>
      <c r="E18" s="264">
        <v>20635722155</v>
      </c>
      <c r="F18" s="264">
        <v>8727260857</v>
      </c>
      <c r="G18" s="264">
        <v>45155360698</v>
      </c>
      <c r="H18" s="264">
        <v>82863440012</v>
      </c>
      <c r="I18" s="264"/>
      <c r="J18" s="243"/>
    </row>
    <row r="19" spans="1:10" x14ac:dyDescent="0.2">
      <c r="A19">
        <v>14</v>
      </c>
      <c r="B19" t="str">
        <v>Lỗ đánh giá giá trị các công nợ tài chính ghi nhận thông qua KQKD</v>
      </c>
      <c r="C19" s="264">
        <v>0</v>
      </c>
      <c r="D19" s="264">
        <v>0</v>
      </c>
      <c r="E19" s="264">
        <v>0</v>
      </c>
      <c r="F19" s="264">
        <v>0</v>
      </c>
      <c r="G19" s="264">
        <v>0</v>
      </c>
      <c r="H19" s="264">
        <v>0</v>
      </c>
      <c r="I19" s="264"/>
      <c r="J19" s="243"/>
    </row>
    <row r="20" spans="1:10" x14ac:dyDescent="0.2">
      <c r="A20">
        <v>15</v>
      </c>
      <c r="B20" t="str">
        <v>Lỗ đánh giá giá trị các công cụ tài chính phái sinh</v>
      </c>
      <c r="C20" s="264">
        <v>0</v>
      </c>
      <c r="D20" s="264">
        <v>0</v>
      </c>
      <c r="E20" s="264">
        <v>0</v>
      </c>
      <c r="F20" s="264">
        <v>0</v>
      </c>
      <c r="G20" s="264">
        <v>0</v>
      </c>
      <c r="H20" s="264">
        <v>0</v>
      </c>
      <c r="I20" s="264"/>
      <c r="J20" s="243"/>
    </row>
    <row r="21" spans="1:10" x14ac:dyDescent="0.2">
      <c r="A21">
        <v>16</v>
      </c>
      <c r="B21" t="str">
        <v>Lỗ từ thanh lý các tài sản tài chính sẵn sàng để bán</v>
      </c>
      <c r="C21" s="264">
        <v>0</v>
      </c>
      <c r="D21" s="264">
        <v>0</v>
      </c>
      <c r="E21" s="264">
        <v>0</v>
      </c>
      <c r="F21" s="264">
        <v>0</v>
      </c>
      <c r="G21" s="264">
        <v>0</v>
      </c>
      <c r="H21" s="264">
        <v>0</v>
      </c>
      <c r="I21" s="264"/>
      <c r="J21" s="243"/>
    </row>
    <row r="22" spans="1:10" x14ac:dyDescent="0.2">
      <c r="A22">
        <v>17</v>
      </c>
      <c r="B22" t="str">
        <v>Suy giảm giá trị của các tài sản tài chính sẵn sàng để bán</v>
      </c>
      <c r="C22" s="264">
        <v>0</v>
      </c>
      <c r="D22" s="264">
        <v>0</v>
      </c>
      <c r="E22" s="264">
        <v>0</v>
      </c>
      <c r="F22" s="264">
        <v>0</v>
      </c>
      <c r="G22" s="264">
        <v>0</v>
      </c>
      <c r="H22" s="264">
        <v>0</v>
      </c>
      <c r="I22" s="264"/>
      <c r="J22" s="243"/>
    </row>
    <row r="23" spans="1:10" x14ac:dyDescent="0.2">
      <c r="A23">
        <v>18</v>
      </c>
      <c r="B23" t="str">
        <v>Lỗ suy giảm giá trị các khoản đầu tư nắm giữ đến ngày đáo hạn</v>
      </c>
      <c r="C23" s="264">
        <v>0</v>
      </c>
      <c r="D23" s="264">
        <v>0</v>
      </c>
      <c r="E23" s="264">
        <v>0</v>
      </c>
      <c r="F23" s="264">
        <v>0</v>
      </c>
      <c r="G23" s="264">
        <v>0</v>
      </c>
      <c r="H23" s="264">
        <v>0</v>
      </c>
      <c r="I23" s="264"/>
      <c r="J23" s="243"/>
    </row>
    <row r="24" spans="1:10" x14ac:dyDescent="0.2">
      <c r="A24">
        <v>19</v>
      </c>
      <c r="B24" t="str">
        <v>Lỗ suy giảm giá trị các khoản cho vay</v>
      </c>
      <c r="C24" s="264">
        <v>0</v>
      </c>
      <c r="D24" s="264">
        <v>0</v>
      </c>
      <c r="E24" s="264">
        <v>0</v>
      </c>
      <c r="F24" s="264">
        <v>0</v>
      </c>
      <c r="G24" s="264">
        <v>0</v>
      </c>
      <c r="H24" s="264">
        <v>0</v>
      </c>
      <c r="I24" s="264"/>
      <c r="J24" s="243"/>
    </row>
    <row r="25" spans="1:10" x14ac:dyDescent="0.2">
      <c r="A25">
        <v>20</v>
      </c>
      <c r="B25" t="str">
        <v>Lỗ về chênh lệch đánh giá theo giá trị hợp lý TSTC sẵn sàng để bán AFS khi phân loại lại</v>
      </c>
      <c r="C25" s="264">
        <v>0</v>
      </c>
      <c r="D25" s="264">
        <v>0</v>
      </c>
      <c r="E25" s="264">
        <v>0</v>
      </c>
      <c r="F25" s="264">
        <v>0</v>
      </c>
      <c r="G25" s="264">
        <v>0</v>
      </c>
      <c r="H25" s="264">
        <v>0</v>
      </c>
      <c r="I25" s="264"/>
      <c r="J25" s="243"/>
    </row>
    <row r="26" spans="1:10" x14ac:dyDescent="0.2">
      <c r="A26">
        <v>21</v>
      </c>
      <c r="B26" t="str">
        <v>Lỗ đánh giá giá các công cụ tài chính phát sinh cho mục đích phòng ngừa rủi ro</v>
      </c>
      <c r="C26" s="264">
        <v>0</v>
      </c>
      <c r="D26" s="264">
        <v>0</v>
      </c>
      <c r="E26" s="264">
        <v>0</v>
      </c>
      <c r="F26" s="264">
        <v>0</v>
      </c>
      <c r="G26" s="264">
        <v>0</v>
      </c>
      <c r="H26" s="264">
        <v>0</v>
      </c>
      <c r="I26" s="264"/>
      <c r="J26" s="243"/>
    </row>
    <row r="27" spans="1:10" ht="15.75" x14ac:dyDescent="0.25">
      <c r="A27">
        <v>22</v>
      </c>
      <c r="B27" s="21" t="str">
        <v>Lỗ từ thanh lý TSCĐ</v>
      </c>
      <c r="C27" s="264">
        <v>0</v>
      </c>
      <c r="D27" s="264">
        <v>0</v>
      </c>
      <c r="E27" s="264">
        <v>0</v>
      </c>
      <c r="F27" s="264">
        <v>0</v>
      </c>
      <c r="G27" s="264">
        <v>0</v>
      </c>
      <c r="H27" s="264">
        <v>0</v>
      </c>
      <c r="I27" s="264"/>
      <c r="J27" s="243"/>
    </row>
    <row r="28" spans="1:10" x14ac:dyDescent="0.2">
      <c r="A28">
        <v>23</v>
      </c>
      <c r="B28" t="str">
        <v>Suy giảm giá trị của các tài sản cố định</v>
      </c>
      <c r="C28" s="264">
        <v>0</v>
      </c>
      <c r="D28" s="264">
        <v>0</v>
      </c>
      <c r="E28" s="264">
        <v>0</v>
      </c>
      <c r="F28" s="264">
        <v>0</v>
      </c>
      <c r="G28" s="264">
        <v>0</v>
      </c>
      <c r="H28" s="264">
        <v>0</v>
      </c>
      <c r="I28" s="264"/>
      <c r="J28" s="243"/>
    </row>
    <row r="29" spans="1:10" x14ac:dyDescent="0.2">
      <c r="A29">
        <v>24</v>
      </c>
      <c r="B29" t="str">
        <v>Chi phí dự phòng suy giảm giá trị các khoản đầu tư tài chính dài hạn</v>
      </c>
      <c r="C29" s="264">
        <v>0</v>
      </c>
      <c r="D29" s="264">
        <v>0</v>
      </c>
      <c r="E29" s="264">
        <v>0</v>
      </c>
      <c r="F29" s="264">
        <v>0</v>
      </c>
      <c r="G29" s="264">
        <v>0</v>
      </c>
      <c r="H29" s="264">
        <v>0</v>
      </c>
      <c r="I29" s="264"/>
      <c r="J29" s="243"/>
    </row>
    <row r="30" spans="1:10" x14ac:dyDescent="0.2">
      <c r="A30">
        <v>25</v>
      </c>
      <c r="B30" t="str">
        <v>Lỗ từ thanh lý các khoản đầu tư vào công ty con và công ty liên doanh, liên kết</v>
      </c>
      <c r="C30" s="264">
        <v>0</v>
      </c>
      <c r="D30" s="264">
        <v>0</v>
      </c>
      <c r="E30" s="264">
        <v>0</v>
      </c>
      <c r="F30" s="264">
        <v>0</v>
      </c>
      <c r="G30" s="264">
        <v>0</v>
      </c>
      <c r="H30" s="264">
        <v>0</v>
      </c>
      <c r="I30" s="264"/>
      <c r="J30" s="243"/>
    </row>
    <row r="31" spans="1:10" x14ac:dyDescent="0.2">
      <c r="A31">
        <v>26</v>
      </c>
      <c r="B31" t="str">
        <v>Lỗ khác</v>
      </c>
      <c r="C31" s="264">
        <v>0</v>
      </c>
      <c r="D31" s="264">
        <v>0</v>
      </c>
      <c r="E31" s="264">
        <v>0</v>
      </c>
      <c r="F31" s="264">
        <v>0</v>
      </c>
      <c r="G31" s="264">
        <v>0</v>
      </c>
      <c r="H31" s="264">
        <v>0</v>
      </c>
      <c r="I31" s="264"/>
      <c r="J31" s="243"/>
    </row>
    <row r="32" spans="1:10" x14ac:dyDescent="0.2">
      <c r="A32">
        <v>27</v>
      </c>
      <c r="B32" t="str">
        <v>Giảm các doanh thu phi tiền tệ</v>
      </c>
      <c r="C32" s="264">
        <v>-15272440435</v>
      </c>
      <c r="D32" s="264">
        <v>-24855718742</v>
      </c>
      <c r="E32" s="264">
        <v>-9776919514</v>
      </c>
      <c r="F32" s="264">
        <v>-15899605459</v>
      </c>
      <c r="G32" s="264">
        <v>-30832421391</v>
      </c>
      <c r="H32" s="264">
        <v>-98495592479</v>
      </c>
      <c r="I32" s="264"/>
      <c r="J32" s="243"/>
    </row>
    <row r="33" spans="1:10" x14ac:dyDescent="0.2">
      <c r="A33">
        <v>28</v>
      </c>
      <c r="B33" t="str">
        <v>Lãi đánh giá giá trị các tài sản chính ghi nhận thông qua KQKD</v>
      </c>
      <c r="C33" s="264">
        <v>-15272440435</v>
      </c>
      <c r="D33" s="264">
        <v>-24855718742</v>
      </c>
      <c r="E33" s="264">
        <v>-9776919514</v>
      </c>
      <c r="F33" s="264">
        <v>-15899605459</v>
      </c>
      <c r="G33" s="264">
        <v>-30832421391</v>
      </c>
      <c r="H33" s="264">
        <v>-98495592479</v>
      </c>
      <c r="I33" s="264"/>
      <c r="J33" s="243"/>
    </row>
    <row r="34" spans="1:10" x14ac:dyDescent="0.2">
      <c r="A34">
        <v>29</v>
      </c>
      <c r="B34" t="str">
        <v>Lãi đánh giá giá trị các công nợ tài chính thông qua kết quả kinh doanh</v>
      </c>
      <c r="C34" s="264">
        <v>0</v>
      </c>
      <c r="D34" s="264">
        <v>0</v>
      </c>
      <c r="E34" s="264">
        <v>0</v>
      </c>
      <c r="F34" s="264">
        <v>0</v>
      </c>
      <c r="G34" s="264">
        <v>0</v>
      </c>
      <c r="H34" s="264">
        <v>0</v>
      </c>
      <c r="I34" s="264"/>
      <c r="J34" s="243"/>
    </row>
    <row r="35" spans="1:10" x14ac:dyDescent="0.2">
      <c r="A35">
        <v>30</v>
      </c>
      <c r="B35" t="str">
        <v>Lãi từ thanh lý các tài sản tài chính sẵn sàng để bán</v>
      </c>
      <c r="C35" s="264">
        <v>0</v>
      </c>
      <c r="D35" s="264">
        <v>0</v>
      </c>
      <c r="E35" s="264">
        <v>0</v>
      </c>
      <c r="F35" s="264">
        <v>0</v>
      </c>
      <c r="G35" s="264">
        <v>0</v>
      </c>
      <c r="H35" s="264">
        <v>0</v>
      </c>
      <c r="I35" s="264"/>
      <c r="J35" s="243"/>
    </row>
    <row r="36" spans="1:10" ht="15.75" x14ac:dyDescent="0.25">
      <c r="A36">
        <v>31</v>
      </c>
      <c r="B36" s="21" t="str">
        <v>Hoàn nhập suy giảm giá trị của các tài sản tài chính sẵn sàng để bán</v>
      </c>
      <c r="C36" s="264">
        <v>0</v>
      </c>
      <c r="D36" s="264">
        <v>0</v>
      </c>
      <c r="E36" s="264">
        <v>0</v>
      </c>
      <c r="F36" s="264">
        <v>0</v>
      </c>
      <c r="G36" s="264">
        <v>0</v>
      </c>
      <c r="H36" s="264">
        <v>0</v>
      </c>
      <c r="I36" s="264"/>
      <c r="J36" s="243"/>
    </row>
    <row r="37" spans="1:10" x14ac:dyDescent="0.2">
      <c r="A37">
        <v>32</v>
      </c>
      <c r="B37" t="str">
        <v>Lãi về chênh lệch đánh giá theo giá trị hợp lý TSTC sẵn sàng để bán AFS khi phân loại lại</v>
      </c>
      <c r="C37" s="264">
        <v>0</v>
      </c>
      <c r="D37" s="264">
        <v>0</v>
      </c>
      <c r="E37" s="264">
        <v>0</v>
      </c>
      <c r="F37" s="264">
        <v>0</v>
      </c>
      <c r="G37" s="264">
        <v>0</v>
      </c>
      <c r="H37" s="264">
        <v>0</v>
      </c>
      <c r="I37" s="264"/>
      <c r="J37" s="243"/>
    </row>
    <row r="38" spans="1:10" x14ac:dyDescent="0.2">
      <c r="A38">
        <v>33</v>
      </c>
      <c r="B38" t="str">
        <v>Lãi đánh giá giá trị các công cụ tài chính phái sinh cho mục đích phòng ngừa</v>
      </c>
      <c r="C38" s="264">
        <v>0</v>
      </c>
      <c r="D38" s="264">
        <v>0</v>
      </c>
      <c r="E38" s="264">
        <v>0</v>
      </c>
      <c r="F38" s="264">
        <v>0</v>
      </c>
      <c r="G38" s="264">
        <v>0</v>
      </c>
      <c r="H38" s="264">
        <v>0</v>
      </c>
      <c r="I38" s="264"/>
      <c r="J38" s="243"/>
    </row>
    <row r="39" spans="1:10" x14ac:dyDescent="0.2">
      <c r="A39">
        <v>34</v>
      </c>
      <c r="B39" t="str">
        <v>Lãi từ thanh lý các khoản cho vay và phải thu</v>
      </c>
      <c r="C39" s="264">
        <v>0</v>
      </c>
      <c r="D39" s="264">
        <v>0</v>
      </c>
      <c r="E39" s="264">
        <v>0</v>
      </c>
      <c r="F39" s="264">
        <v>0</v>
      </c>
      <c r="G39" s="264">
        <v>0</v>
      </c>
      <c r="H39" s="264">
        <v>0</v>
      </c>
      <c r="I39" s="264"/>
      <c r="J39" s="243"/>
    </row>
    <row r="40" spans="1:10" x14ac:dyDescent="0.2">
      <c r="A40">
        <v>35</v>
      </c>
      <c r="B40" t="str">
        <v>Hoàn nhập chi phí dự phòng</v>
      </c>
      <c r="C40" s="264">
        <v>0</v>
      </c>
      <c r="D40" s="264">
        <v>0</v>
      </c>
      <c r="E40" s="264">
        <v>0</v>
      </c>
      <c r="F40" s="264">
        <v>0</v>
      </c>
      <c r="G40" s="264">
        <v>0</v>
      </c>
      <c r="H40" s="264">
        <v>0</v>
      </c>
      <c r="I40" s="264"/>
      <c r="J40" s="243"/>
    </row>
    <row r="41" spans="1:10" x14ac:dyDescent="0.2">
      <c r="A41">
        <v>36</v>
      </c>
      <c r="B41" t="str">
        <v>Lãi từ thanh lý tài sản cố định, BĐSĐT</v>
      </c>
      <c r="C41" s="264">
        <v>0</v>
      </c>
      <c r="D41" s="264">
        <v>0</v>
      </c>
      <c r="E41" s="264">
        <v>0</v>
      </c>
      <c r="F41" s="264">
        <v>0</v>
      </c>
      <c r="G41" s="264">
        <v>0</v>
      </c>
      <c r="H41" s="264">
        <v>0</v>
      </c>
      <c r="I41" s="264"/>
      <c r="J41" s="243"/>
    </row>
    <row r="42" spans="1:10" x14ac:dyDescent="0.2">
      <c r="A42">
        <v>37</v>
      </c>
      <c r="B42" t="str">
        <v>Lãi từ thanh lý các khoản đầu tư vào công ty con và công ty liên doanh, liên kết</v>
      </c>
      <c r="C42" s="264">
        <v>0</v>
      </c>
      <c r="D42" s="264">
        <v>0</v>
      </c>
      <c r="E42" s="264">
        <v>0</v>
      </c>
      <c r="F42" s="264">
        <v>0</v>
      </c>
      <c r="G42" s="264">
        <v>0</v>
      </c>
      <c r="H42" s="264">
        <v>0</v>
      </c>
      <c r="I42" s="264"/>
      <c r="J42" s="243"/>
    </row>
    <row r="43" spans="1:10" x14ac:dyDescent="0.2">
      <c r="A43">
        <v>38</v>
      </c>
      <c r="B43" t="str">
        <v>Lãi khác</v>
      </c>
      <c r="C43" s="264">
        <v>0</v>
      </c>
      <c r="D43" s="264">
        <v>0</v>
      </c>
      <c r="E43" s="264">
        <v>0</v>
      </c>
      <c r="F43" s="264">
        <v>0</v>
      </c>
      <c r="G43" s="264">
        <v>0</v>
      </c>
      <c r="H43" s="264">
        <v>0</v>
      </c>
      <c r="I43" s="264"/>
      <c r="J43" s="243"/>
    </row>
    <row r="44" spans="1:10" x14ac:dyDescent="0.2">
      <c r="A44">
        <v>39</v>
      </c>
      <c r="B44" t="str">
        <v>Thay đổi tài sản và nợ phải trả hoạt động</v>
      </c>
      <c r="C44" s="264">
        <v>-3074677079502</v>
      </c>
      <c r="D44" s="264">
        <v>-6879833987756</v>
      </c>
      <c r="E44" s="264">
        <v>8459406328569</v>
      </c>
      <c r="F44" s="264">
        <v>-8978184679571</v>
      </c>
      <c r="G44" s="264">
        <v>-8743057522979</v>
      </c>
      <c r="H44" s="264">
        <v>-10898626651232</v>
      </c>
      <c r="I44" s="264"/>
      <c r="J44" s="243"/>
    </row>
    <row r="45" spans="1:10" ht="15.75" x14ac:dyDescent="0.25">
      <c r="A45">
        <v>40</v>
      </c>
      <c r="B45" s="21" t="str">
        <v>Tăng (giảm) tài sản tài chính ghi nhận thông qua lãi lỗ</v>
      </c>
      <c r="C45" s="264">
        <v>-2993270062096</v>
      </c>
      <c r="D45" s="264">
        <v>1462169439661</v>
      </c>
      <c r="E45" s="264">
        <v>329572155644</v>
      </c>
      <c r="F45" s="264">
        <v>-1837012936212</v>
      </c>
      <c r="G45" s="264">
        <v>-2493299892308</v>
      </c>
      <c r="H45" s="264">
        <v>800038272487</v>
      </c>
      <c r="I45" s="264"/>
      <c r="J45" s="243"/>
    </row>
    <row r="46" spans="1:10" x14ac:dyDescent="0.2">
      <c r="A46">
        <v>41</v>
      </c>
      <c r="B46" t="str">
        <v>Tăng (giảm) các khoản đầu tư giữ đến ngày đáo hạn</v>
      </c>
      <c r="C46" s="264">
        <v>126446049754</v>
      </c>
      <c r="D46" s="264">
        <v>-2160500000000</v>
      </c>
      <c r="E46" s="264">
        <v>2310500000000</v>
      </c>
      <c r="F46" s="264">
        <v>-1671000000000</v>
      </c>
      <c r="G46" s="264">
        <v>-5404000000000</v>
      </c>
      <c r="H46" s="264">
        <v>3409000000000</v>
      </c>
      <c r="I46" s="264"/>
      <c r="J46" s="243"/>
    </row>
    <row r="47" spans="1:10" x14ac:dyDescent="0.2">
      <c r="A47">
        <v>42</v>
      </c>
      <c r="B47" t="str">
        <v xml:space="preserve">Tăng (giảm) các khoản cho vay </v>
      </c>
      <c r="C47" s="264">
        <v>-213556436595</v>
      </c>
      <c r="D47" s="264">
        <v>-4744344084406</v>
      </c>
      <c r="E47" s="264">
        <v>4387261900344</v>
      </c>
      <c r="F47" s="264">
        <v>-5455616176265</v>
      </c>
      <c r="G47" s="264">
        <v>-867251293269</v>
      </c>
      <c r="H47" s="264">
        <v>-10102892603919</v>
      </c>
      <c r="I47" s="264"/>
      <c r="J47" s="243"/>
    </row>
    <row r="48" spans="1:10" x14ac:dyDescent="0.2">
      <c r="A48">
        <v>43</v>
      </c>
      <c r="B48" t="str">
        <v xml:space="preserve">Tăng (giảm) tài sản tài chính sẵn sàng để bán </v>
      </c>
      <c r="C48" s="264">
        <v>0</v>
      </c>
      <c r="D48" s="264">
        <v>0</v>
      </c>
      <c r="E48" s="264">
        <v>0</v>
      </c>
      <c r="F48" s="264">
        <v>0</v>
      </c>
      <c r="G48" s="264">
        <v>0</v>
      </c>
      <c r="H48" s="264">
        <v>-5004431932048</v>
      </c>
      <c r="I48" s="264"/>
      <c r="J48" s="243"/>
    </row>
    <row r="49" spans="1:10" x14ac:dyDescent="0.2">
      <c r="A49">
        <v>44</v>
      </c>
      <c r="B49" t="str">
        <v>Tăng (giảm) các tài sản khác</v>
      </c>
      <c r="C49" s="264">
        <v>5703369435</v>
      </c>
      <c r="D49" s="264">
        <v>-8202826775</v>
      </c>
      <c r="E49" s="264">
        <v>3330198264</v>
      </c>
      <c r="F49" s="264">
        <v>914520512</v>
      </c>
      <c r="G49" s="264">
        <v>536345338</v>
      </c>
      <c r="H49" s="264">
        <v>1515886671</v>
      </c>
      <c r="I49" s="264"/>
      <c r="J49" s="243"/>
    </row>
    <row r="50" spans="1:10" x14ac:dyDescent="0.2">
      <c r="A50">
        <v>45</v>
      </c>
      <c r="B50" t="str">
        <v>Tăng (giảm) các khoản phải thu</v>
      </c>
      <c r="C50" s="264">
        <v>0</v>
      </c>
      <c r="D50" s="264">
        <v>-1428956516236</v>
      </c>
      <c r="E50" s="264">
        <v>1428742074317</v>
      </c>
      <c r="F50" s="264">
        <v>-15470087606</v>
      </c>
      <c r="G50" s="264">
        <v>20957317260</v>
      </c>
      <c r="H50" s="264">
        <v>-1856274423</v>
      </c>
      <c r="I50" s="264"/>
      <c r="J50" s="243"/>
    </row>
    <row r="51" spans="1:10" x14ac:dyDescent="0.2">
      <c r="A51">
        <v>46</v>
      </c>
      <c r="B51" t="str">
        <v>Tăng (giảm) vay và nợ thuê tài sản tài chính</v>
      </c>
      <c r="C51" s="264">
        <v>0</v>
      </c>
      <c r="D51" s="264">
        <v>0</v>
      </c>
      <c r="E51" s="264">
        <v>0</v>
      </c>
      <c r="F51" s="264">
        <v>0</v>
      </c>
      <c r="G51" s="264">
        <v>0</v>
      </c>
      <c r="H51" s="264">
        <v>0</v>
      </c>
      <c r="I51" s="264"/>
      <c r="J51" s="243"/>
    </row>
    <row r="52" spans="1:10" x14ac:dyDescent="0.2">
      <c r="A52">
        <v>47</v>
      </c>
      <c r="B52" t="str">
        <v>Tăng (giảm) vay tài sản tài chính</v>
      </c>
      <c r="C52" s="264">
        <v>0</v>
      </c>
      <c r="D52" s="264">
        <v>0</v>
      </c>
      <c r="E52" s="264">
        <v>0</v>
      </c>
      <c r="F52" s="264">
        <v>0</v>
      </c>
      <c r="G52" s="264">
        <v>0</v>
      </c>
      <c r="H52" s="264">
        <v>0</v>
      </c>
      <c r="I52" s="264"/>
      <c r="J52" s="243"/>
    </row>
    <row r="53" spans="1:10" x14ac:dyDescent="0.2">
      <c r="A53">
        <v>48</v>
      </c>
      <c r="B53" t="str">
        <v>Tăng (giảm) Trái phiếu chuyển đổi - Cấu phần nợ</v>
      </c>
      <c r="C53" s="264">
        <v>0</v>
      </c>
      <c r="D53" s="264">
        <v>0</v>
      </c>
      <c r="E53" s="264">
        <v>0</v>
      </c>
      <c r="F53" s="264">
        <v>0</v>
      </c>
      <c r="G53" s="264">
        <v>0</v>
      </c>
      <c r="H53" s="264">
        <v>0</v>
      </c>
      <c r="I53" s="264"/>
      <c r="J53" s="243"/>
    </row>
    <row r="54" spans="1:10" x14ac:dyDescent="0.2">
      <c r="A54">
        <v>49</v>
      </c>
      <c r="B54" t="str">
        <v>Tăng (giảm) Trái phiếu phát hành</v>
      </c>
      <c r="C54" s="264">
        <v>0</v>
      </c>
      <c r="D54" s="264">
        <v>0</v>
      </c>
      <c r="E54" s="264">
        <v>0</v>
      </c>
      <c r="F54" s="264">
        <v>0</v>
      </c>
      <c r="G54" s="264">
        <v>0</v>
      </c>
      <c r="H54" s="264">
        <v>0</v>
      </c>
      <c r="I54" s="264"/>
      <c r="J54" s="243"/>
    </row>
    <row r="55" spans="1:10" x14ac:dyDescent="0.2">
      <c r="A55">
        <v>50</v>
      </c>
      <c r="B55" t="str">
        <v>Tăng (giảm) vay Quỹ Hỗ trợ thanh toán</v>
      </c>
      <c r="C55" s="264">
        <v>0</v>
      </c>
      <c r="D55" s="264">
        <v>0</v>
      </c>
      <c r="E55" s="264">
        <v>0</v>
      </c>
      <c r="F55" s="264">
        <v>0</v>
      </c>
      <c r="G55" s="264">
        <v>0</v>
      </c>
      <c r="H55" s="264">
        <v>0</v>
      </c>
      <c r="I55" s="264"/>
      <c r="J55" s="243"/>
    </row>
    <row r="56" spans="1:10" x14ac:dyDescent="0.2">
      <c r="A56">
        <v>51</v>
      </c>
      <c r="B56" t="str">
        <v>Lợi nhuận từ hoạt động kinh doanh trước thay đổi vốn  lưu động</v>
      </c>
      <c r="C56" s="264">
        <v>-4313348508104</v>
      </c>
      <c r="D56" s="264">
        <v>-7923092780057</v>
      </c>
      <c r="E56" s="264">
        <v>5716144908025</v>
      </c>
      <c r="F56" s="264">
        <v>-9633053114617</v>
      </c>
      <c r="G56" s="264">
        <v>-9689748998882</v>
      </c>
      <c r="H56" s="264">
        <v>-11462605846635</v>
      </c>
      <c r="I56" s="264"/>
      <c r="J56" s="243"/>
    </row>
    <row r="57" spans="1:10" x14ac:dyDescent="0.2">
      <c r="A57">
        <v>52</v>
      </c>
      <c r="B57" t="str">
        <v>(-) Tăng, (+) giảm phải thu bán các tài sản tài chính</v>
      </c>
      <c r="C57" s="264">
        <v>0</v>
      </c>
      <c r="D57" s="264">
        <v>0</v>
      </c>
      <c r="E57" s="264">
        <v>0</v>
      </c>
      <c r="F57" s="264">
        <v>0</v>
      </c>
      <c r="G57" s="264">
        <v>0</v>
      </c>
      <c r="H57" s="264">
        <v>0</v>
      </c>
      <c r="I57" s="264"/>
      <c r="J57" s="243"/>
    </row>
    <row r="58" spans="1:10" x14ac:dyDescent="0.2">
      <c r="A58">
        <v>53</v>
      </c>
      <c r="B58" t="str">
        <v>(-) Tăng, (+) giảm phải thu tiền lãi các tài sản tài chính</v>
      </c>
      <c r="C58" s="243">
        <v>111112192258</v>
      </c>
      <c r="D58" s="243">
        <v>50269389321</v>
      </c>
      <c r="E58" s="243">
        <v>636889087746</v>
      </c>
      <c r="F58" s="243">
        <v>290590044582</v>
      </c>
      <c r="G58" s="243">
        <v>245690279040</v>
      </c>
      <c r="H58" s="243">
        <v>459478203198</v>
      </c>
      <c r="I58" s="243"/>
      <c r="J58" s="243"/>
    </row>
    <row r="59" spans="1:10" x14ac:dyDescent="0.2">
      <c r="A59">
        <v>54</v>
      </c>
      <c r="B59" t="str">
        <v>(-) Tăng, (+) giảm các khoản phải thu các dịch vụ CTCK cung cấp</v>
      </c>
      <c r="C59" s="243">
        <v>-17957929799</v>
      </c>
      <c r="D59" s="243">
        <v>4086288321</v>
      </c>
      <c r="E59" s="243">
        <v>28712581439</v>
      </c>
      <c r="F59" s="243">
        <v>-4331767181</v>
      </c>
      <c r="G59" s="243">
        <v>-8528183785</v>
      </c>
      <c r="H59" s="243">
        <v>-77412343372</v>
      </c>
      <c r="I59" s="243"/>
      <c r="J59" s="243"/>
    </row>
    <row r="60" spans="1:10" x14ac:dyDescent="0.2">
      <c r="A60">
        <v>55</v>
      </c>
      <c r="B60" t="str">
        <v>(-) Tăng, (+) giảm các khoản phải thu về lỗi giao dịch CK</v>
      </c>
      <c r="C60" s="243">
        <v>0</v>
      </c>
      <c r="D60" s="243">
        <v>0</v>
      </c>
      <c r="E60" s="243">
        <v>0</v>
      </c>
      <c r="F60" s="243">
        <v>0</v>
      </c>
      <c r="G60" s="243">
        <v>0</v>
      </c>
      <c r="H60" s="243">
        <v>0</v>
      </c>
      <c r="I60" s="243"/>
      <c r="J60" s="243"/>
    </row>
    <row r="61" spans="1:10" x14ac:dyDescent="0.2">
      <c r="A61">
        <v>56</v>
      </c>
      <c r="B61" t="str">
        <v>Tăng, giảm các khoản phải thu</v>
      </c>
      <c r="C61" s="243">
        <v>-312306774840</v>
      </c>
      <c r="D61" s="243">
        <v>131319095353</v>
      </c>
      <c r="E61" s="243">
        <v>245810314510</v>
      </c>
      <c r="F61" s="243">
        <v>343029808534</v>
      </c>
      <c r="G61" s="243">
        <v>10071898791</v>
      </c>
      <c r="H61" s="243">
        <v>12137757174</v>
      </c>
      <c r="I61" s="243"/>
      <c r="J61" s="243"/>
    </row>
    <row r="62" spans="1:10" x14ac:dyDescent="0.2">
      <c r="A62">
        <v>57</v>
      </c>
      <c r="B62" t="str">
        <v>(-) Tăng, (+) giảm chi phí phải trả (không bao gồm chi phí lãi vay)</v>
      </c>
      <c r="C62" s="243">
        <v>-2099942286</v>
      </c>
      <c r="D62" s="243">
        <v>155034569750</v>
      </c>
      <c r="E62" s="243">
        <v>-54058047889</v>
      </c>
      <c r="F62" s="243">
        <v>-62797031285</v>
      </c>
      <c r="G62" s="243">
        <v>-25460599366</v>
      </c>
      <c r="H62" s="243">
        <v>16556549699</v>
      </c>
      <c r="I62" s="243"/>
      <c r="J62" s="243"/>
    </row>
    <row r="63" spans="1:10" x14ac:dyDescent="0.2">
      <c r="A63">
        <v>58</v>
      </c>
      <c r="B63" t="str">
        <v>(+) Tăng, (-) giảm phải trả cho người bán</v>
      </c>
      <c r="C63" s="243">
        <v>155500301875</v>
      </c>
      <c r="D63" s="243">
        <v>-502636991936</v>
      </c>
      <c r="E63" s="243">
        <v>-3368310178</v>
      </c>
      <c r="F63" s="243">
        <v>76632732782</v>
      </c>
      <c r="G63" s="243">
        <v>-14050066236</v>
      </c>
      <c r="H63" s="243">
        <v>56672969555</v>
      </c>
      <c r="I63" s="243"/>
      <c r="J63" s="243"/>
    </row>
    <row r="64" spans="1:10" x14ac:dyDescent="0.2">
      <c r="A64">
        <v>59</v>
      </c>
      <c r="B64" t="str">
        <v>(+) Tăng, (-) giảm phải trả Tổ chức phát hành chứng khoán</v>
      </c>
      <c r="C64" s="243">
        <v>0</v>
      </c>
      <c r="D64" s="243">
        <v>0</v>
      </c>
      <c r="E64" s="243">
        <v>0</v>
      </c>
      <c r="F64" s="243">
        <v>0</v>
      </c>
      <c r="G64" s="243">
        <v>0</v>
      </c>
      <c r="H64" s="243">
        <v>0</v>
      </c>
      <c r="I64" s="243"/>
      <c r="J64" s="243"/>
    </row>
    <row r="65" spans="1:10" x14ac:dyDescent="0.2">
      <c r="A65">
        <v>60</v>
      </c>
      <c r="B65" t="str">
        <v>(+) Tăng, (-) giảm các khoản trích nộp phúc lợi nhân viên</v>
      </c>
      <c r="C65" s="243">
        <v>493807105</v>
      </c>
      <c r="D65" s="243">
        <v>2217245720</v>
      </c>
      <c r="E65" s="243">
        <v>-1455989724</v>
      </c>
      <c r="F65" s="243">
        <v>-251885430</v>
      </c>
      <c r="G65" s="243">
        <v>-314495073</v>
      </c>
      <c r="H65" s="243">
        <v>-526635601</v>
      </c>
      <c r="I65" s="243"/>
      <c r="J65" s="243"/>
    </row>
    <row r="66" spans="1:10" x14ac:dyDescent="0.2">
      <c r="A66">
        <v>61</v>
      </c>
      <c r="B66" t="str">
        <v>(+) Tăng, (-) giảm thuế và các khoản phải nộp Nhà nước</v>
      </c>
      <c r="C66" s="243">
        <v>11252308309</v>
      </c>
      <c r="D66" s="243">
        <v>149428155998</v>
      </c>
      <c r="E66" s="243">
        <v>-58238578197</v>
      </c>
      <c r="F66" s="243">
        <v>-23154477906</v>
      </c>
      <c r="G66" s="243">
        <v>-28173771334</v>
      </c>
      <c r="H66" s="243">
        <v>82121370239</v>
      </c>
      <c r="I66" s="243"/>
      <c r="J66" s="243"/>
    </row>
    <row r="67" spans="1:10" x14ac:dyDescent="0.2">
      <c r="A67">
        <v>62</v>
      </c>
      <c r="B67" t="str">
        <v>Tăng/ (Giảm) chứng khoán kinh doanh</v>
      </c>
      <c r="C67" s="243">
        <v>0</v>
      </c>
      <c r="D67" s="243">
        <v>0</v>
      </c>
      <c r="E67" s="243">
        <v>0</v>
      </c>
      <c r="F67" s="243">
        <v>0</v>
      </c>
      <c r="G67" s="243">
        <v>0</v>
      </c>
      <c r="H67" s="243">
        <v>0</v>
      </c>
      <c r="I67" s="243"/>
      <c r="J67" s="243"/>
    </row>
    <row r="68" spans="1:10" x14ac:dyDescent="0.2">
      <c r="A68">
        <v>63</v>
      </c>
      <c r="B68" t="str">
        <v>(+) Tăng, (-) giảm phải trả người lao động</v>
      </c>
      <c r="C68" s="243">
        <v>0</v>
      </c>
      <c r="D68" s="243">
        <v>-40346671</v>
      </c>
      <c r="E68" s="243">
        <v>0</v>
      </c>
      <c r="F68" s="243">
        <v>0</v>
      </c>
      <c r="G68" s="243">
        <v>0</v>
      </c>
      <c r="H68" s="243">
        <v>0</v>
      </c>
      <c r="I68" s="243"/>
      <c r="J68" s="243"/>
    </row>
    <row r="69" spans="1:10" x14ac:dyDescent="0.2">
      <c r="A69">
        <v>64</v>
      </c>
      <c r="B69" t="str">
        <v>(+) Tăng, (-) giảm phải trả về lỗi giao dịch các tài sản tài chính</v>
      </c>
      <c r="C69" s="243">
        <v>0</v>
      </c>
      <c r="D69" s="243">
        <v>0</v>
      </c>
      <c r="E69" s="243">
        <v>0</v>
      </c>
      <c r="F69" s="243">
        <v>0</v>
      </c>
      <c r="G69" s="243">
        <v>0</v>
      </c>
      <c r="H69" s="243">
        <v>0</v>
      </c>
      <c r="I69" s="243"/>
      <c r="J69" s="243"/>
    </row>
    <row r="70" spans="1:10" x14ac:dyDescent="0.2">
      <c r="A70">
        <v>65</v>
      </c>
      <c r="B70" t="str">
        <v>Tăng, giảm hàng tồn kho</v>
      </c>
      <c r="C70" s="243">
        <v>0</v>
      </c>
      <c r="D70" s="243">
        <v>0</v>
      </c>
      <c r="E70" s="243">
        <v>0</v>
      </c>
      <c r="F70" s="243">
        <v>0</v>
      </c>
      <c r="G70" s="243">
        <v>0</v>
      </c>
      <c r="H70" s="243">
        <v>0</v>
      </c>
      <c r="I70" s="243"/>
      <c r="J70" s="243"/>
    </row>
    <row r="71" spans="1:10" x14ac:dyDescent="0.2">
      <c r="A71">
        <v>66</v>
      </c>
      <c r="B71" t="str">
        <v>Tăng, giảm các khoản phải trả (Không kể lãi vay phải trả, thuế TNDN phải nộp)</v>
      </c>
      <c r="C71" s="243">
        <v>-869067212237</v>
      </c>
      <c r="D71" s="243">
        <v>-122940785491</v>
      </c>
      <c r="E71" s="243">
        <v>-2755073765512</v>
      </c>
      <c r="F71" s="243">
        <v>-393826264923</v>
      </c>
      <c r="G71" s="243">
        <v>-37185824569</v>
      </c>
      <c r="H71" s="243">
        <v>407768284021</v>
      </c>
      <c r="I71" s="243"/>
      <c r="J71" s="243"/>
    </row>
    <row r="72" spans="1:10" x14ac:dyDescent="0.2">
      <c r="A72">
        <v>67</v>
      </c>
      <c r="B72" t="str">
        <v>Tăng, giảm chi phí trả trước</v>
      </c>
      <c r="C72" s="243">
        <v>87622788</v>
      </c>
      <c r="D72" s="243">
        <v>-9557224884</v>
      </c>
      <c r="E72" s="243">
        <v>-10094119771</v>
      </c>
      <c r="F72" s="243">
        <v>-22525973979</v>
      </c>
      <c r="G72" s="243">
        <v>-15382082941</v>
      </c>
      <c r="H72" s="243">
        <v>-53041373748</v>
      </c>
      <c r="I72" s="243"/>
      <c r="J72" s="243"/>
    </row>
    <row r="73" spans="1:10" x14ac:dyDescent="0.2">
      <c r="A73">
        <v>68</v>
      </c>
      <c r="B73" t="str">
        <v>Tiền lãi vay đã trả</v>
      </c>
      <c r="C73" s="243">
        <v>-218538424010</v>
      </c>
      <c r="D73" s="243">
        <v>-717759342816</v>
      </c>
      <c r="E73" s="243">
        <v>-539977844210</v>
      </c>
      <c r="F73" s="243">
        <v>-783498324243</v>
      </c>
      <c r="G73" s="243">
        <v>-601759469992</v>
      </c>
      <c r="H73" s="243">
        <v>-820199062442</v>
      </c>
      <c r="I73" s="243"/>
      <c r="J73" s="243"/>
    </row>
    <row r="74" spans="1:10" x14ac:dyDescent="0.2">
      <c r="A74">
        <v>69</v>
      </c>
      <c r="B74" t="str">
        <v>Thuế thu nhập doanh nghiệp đã nộp</v>
      </c>
      <c r="C74" s="243">
        <v>-95022584209</v>
      </c>
      <c r="D74" s="243">
        <v>-182678844966</v>
      </c>
      <c r="E74" s="243">
        <v>-232406748758</v>
      </c>
      <c r="F74" s="243">
        <v>-74735295997</v>
      </c>
      <c r="G74" s="243">
        <v>-471599160438</v>
      </c>
      <c r="H74" s="243">
        <v>-647534914126</v>
      </c>
      <c r="I74" s="243"/>
      <c r="J74" s="243"/>
    </row>
    <row r="75" spans="1:10" x14ac:dyDescent="0.2">
      <c r="A75">
        <v>70</v>
      </c>
      <c r="B75" t="str">
        <v>Tiền thu khác từ hoạt động kinh doanh</v>
      </c>
      <c r="C75" s="243">
        <v>6103244444</v>
      </c>
      <c r="D75" s="243">
        <v>0</v>
      </c>
      <c r="E75" s="243">
        <v>0</v>
      </c>
      <c r="F75" s="243">
        <v>0</v>
      </c>
      <c r="G75" s="243">
        <v>0</v>
      </c>
      <c r="H75" s="243">
        <v>0</v>
      </c>
      <c r="I75" s="243"/>
      <c r="J75" s="243"/>
    </row>
    <row r="76" spans="1:10" x14ac:dyDescent="0.2">
      <c r="A76">
        <v>71</v>
      </c>
      <c r="B76" t="str">
        <v>Tiền lãi đã thu</v>
      </c>
      <c r="C76" s="23">
        <v>0</v>
      </c>
      <c r="D76" s="23">
        <v>0</v>
      </c>
      <c r="E76" s="23">
        <v>0</v>
      </c>
      <c r="F76" s="23">
        <v>0</v>
      </c>
      <c r="G76" s="23">
        <v>0</v>
      </c>
      <c r="H76" s="23">
        <v>0</v>
      </c>
    </row>
    <row r="77" spans="1:10" x14ac:dyDescent="0.2">
      <c r="A77">
        <v>72</v>
      </c>
      <c r="B77" t="str">
        <v>Tiền thu khác</v>
      </c>
      <c r="C77" s="23">
        <v>6103244444</v>
      </c>
      <c r="D77" s="23">
        <v>0</v>
      </c>
      <c r="E77" s="23">
        <v>0</v>
      </c>
      <c r="F77" s="23">
        <v>0</v>
      </c>
      <c r="G77" s="23">
        <v>0</v>
      </c>
      <c r="H77" s="23">
        <v>0</v>
      </c>
    </row>
    <row r="78" spans="1:10" x14ac:dyDescent="0.2">
      <c r="A78">
        <v>73</v>
      </c>
      <c r="B78" t="str">
        <v>Tiền chi khác cho hoạt động kinh doanh</v>
      </c>
      <c r="C78" s="23">
        <v>-8228038000</v>
      </c>
      <c r="D78" s="23">
        <v>0</v>
      </c>
      <c r="E78" s="23">
        <v>0</v>
      </c>
      <c r="F78" s="23">
        <v>0</v>
      </c>
      <c r="G78" s="23">
        <v>0</v>
      </c>
      <c r="H78" s="23">
        <v>0</v>
      </c>
    </row>
    <row r="79" spans="1:10" x14ac:dyDescent="0.2">
      <c r="A79">
        <v>74</v>
      </c>
      <c r="B79" t="str">
        <v>Lãi vay đã trả cho hoạt động kinh doanh</v>
      </c>
      <c r="C79" s="23">
        <v>0</v>
      </c>
      <c r="D79" s="23">
        <v>0</v>
      </c>
      <c r="E79" s="23">
        <v>0</v>
      </c>
      <c r="F79" s="23">
        <v>0</v>
      </c>
      <c r="G79" s="23">
        <v>0</v>
      </c>
      <c r="H79" s="23">
        <v>0</v>
      </c>
    </row>
    <row r="80" spans="1:10" x14ac:dyDescent="0.2">
      <c r="A80">
        <v>75</v>
      </c>
      <c r="B80" t="str">
        <v>Thuế TNDN đã nộp (*)</v>
      </c>
      <c r="C80" s="23">
        <v>0</v>
      </c>
      <c r="D80" s="23">
        <v>0</v>
      </c>
      <c r="E80" s="23">
        <v>0</v>
      </c>
      <c r="F80" s="23">
        <v>0</v>
      </c>
      <c r="G80" s="23">
        <v>0</v>
      </c>
      <c r="H80" s="23">
        <v>0</v>
      </c>
    </row>
    <row r="81" spans="1:8" x14ac:dyDescent="0.2">
      <c r="A81">
        <v>76</v>
      </c>
      <c r="B81" t="str">
        <v>Các khoản chi khác</v>
      </c>
      <c r="C81" s="23">
        <v>-8228038000</v>
      </c>
      <c r="D81" s="23">
        <v>0</v>
      </c>
      <c r="E81" s="23">
        <v>0</v>
      </c>
      <c r="F81" s="23">
        <v>0</v>
      </c>
      <c r="G81" s="23">
        <v>0</v>
      </c>
      <c r="H81" s="23">
        <v>0</v>
      </c>
    </row>
    <row r="82" spans="1:8" x14ac:dyDescent="0.2">
      <c r="A82">
        <v>77</v>
      </c>
      <c r="B82" t="str">
        <v>Tiền chi nộp thuế liên quan đến hoạt động CTCK</v>
      </c>
      <c r="C82" s="23" t="str">
        <v/>
      </c>
      <c r="D82" s="23" t="str">
        <v/>
      </c>
      <c r="E82" s="23" t="str">
        <v/>
      </c>
      <c r="F82" s="23" t="str">
        <v/>
      </c>
      <c r="G82" s="23" t="str">
        <v/>
      </c>
      <c r="H82" s="23" t="str">
        <v/>
      </c>
    </row>
    <row r="83" spans="1:8" x14ac:dyDescent="0.2">
      <c r="A83">
        <v>78</v>
      </c>
      <c r="B83" t="str">
        <v>LƯU CHUYỂN TIỀN TỪ HOẠT ĐỘNG KINH DOANH - TRỰC TIẾP</v>
      </c>
      <c r="C83" s="23" t="str">
        <v/>
      </c>
      <c r="D83" s="23" t="str">
        <v/>
      </c>
      <c r="E83" s="23" t="str">
        <v/>
      </c>
      <c r="F83" s="23" t="str">
        <v/>
      </c>
      <c r="G83" s="23" t="str">
        <v/>
      </c>
      <c r="H83" s="23" t="str">
        <v/>
      </c>
    </row>
    <row r="84" spans="1:8" x14ac:dyDescent="0.2">
      <c r="A84">
        <v>79</v>
      </c>
      <c r="B84" t="str">
        <v>Tiền thu từ hoạt động kinh doanh</v>
      </c>
      <c r="C84" s="23" t="str">
        <v/>
      </c>
      <c r="D84" s="23" t="str">
        <v/>
      </c>
      <c r="E84" s="23" t="str">
        <v/>
      </c>
      <c r="F84" s="23" t="str">
        <v/>
      </c>
      <c r="G84" s="23" t="str">
        <v/>
      </c>
      <c r="H84" s="23" t="str">
        <v/>
      </c>
    </row>
    <row r="85" spans="1:8" x14ac:dyDescent="0.2">
      <c r="A85">
        <v>80</v>
      </c>
      <c r="B85" t="str">
        <v>Tiền chi hoạt động kinh doanh</v>
      </c>
      <c r="C85" s="23" t="str">
        <v/>
      </c>
      <c r="D85" s="23" t="str">
        <v/>
      </c>
      <c r="E85" s="23" t="str">
        <v/>
      </c>
      <c r="F85" s="23" t="str">
        <v/>
      </c>
      <c r="G85" s="23" t="str">
        <v/>
      </c>
      <c r="H85" s="23" t="str">
        <v/>
      </c>
    </row>
    <row r="86" spans="1:8" x14ac:dyDescent="0.2">
      <c r="A86">
        <v>81</v>
      </c>
      <c r="B86" t="str">
        <v>Tiền đã chi mua các tài sản tài chính</v>
      </c>
      <c r="C86" s="23" t="str">
        <v/>
      </c>
      <c r="D86" s="23" t="str">
        <v/>
      </c>
      <c r="E86" s="23" t="str">
        <v/>
      </c>
      <c r="F86" s="23" t="str">
        <v/>
      </c>
      <c r="G86" s="23" t="str">
        <v/>
      </c>
      <c r="H86" s="23" t="str">
        <v/>
      </c>
    </row>
    <row r="87" spans="1:8" x14ac:dyDescent="0.2">
      <c r="A87">
        <v>82</v>
      </c>
      <c r="B87" t="str">
        <v>Tiền đã thu từ bán các tài sản tài chính</v>
      </c>
      <c r="C87" s="23" t="str">
        <v/>
      </c>
      <c r="D87" s="23" t="str">
        <v/>
      </c>
      <c r="E87" s="23" t="str">
        <v/>
      </c>
      <c r="F87" s="23" t="str">
        <v/>
      </c>
      <c r="G87" s="23" t="str">
        <v/>
      </c>
      <c r="H87" s="23" t="str">
        <v/>
      </c>
    </row>
    <row r="88" spans="1:8" x14ac:dyDescent="0.2">
      <c r="A88">
        <v>83</v>
      </c>
      <c r="B88" t="str">
        <v>Tiền chi nộp Quỹ hỗ trợ thanh toán</v>
      </c>
      <c r="C88" s="23" t="str">
        <v/>
      </c>
      <c r="D88" s="23" t="str">
        <v/>
      </c>
      <c r="E88" s="23" t="str">
        <v/>
      </c>
      <c r="F88" s="23" t="str">
        <v/>
      </c>
      <c r="G88" s="23" t="str">
        <v/>
      </c>
      <c r="H88" s="23" t="str">
        <v/>
      </c>
    </row>
    <row r="89" spans="1:8" x14ac:dyDescent="0.2">
      <c r="A89">
        <v>84</v>
      </c>
      <c r="B89" t="str">
        <v>Tiền lãi đã nhận</v>
      </c>
      <c r="C89" s="23" t="str">
        <v/>
      </c>
      <c r="D89" s="23" t="str">
        <v/>
      </c>
      <c r="E89" s="23" t="str">
        <v/>
      </c>
      <c r="F89" s="23" t="str">
        <v/>
      </c>
      <c r="G89" s="23" t="str">
        <v/>
      </c>
      <c r="H89" s="23" t="str">
        <v/>
      </c>
    </row>
    <row r="90" spans="1:8" x14ac:dyDescent="0.2">
      <c r="A90">
        <v>85</v>
      </c>
      <c r="B90" t="str">
        <v>Tiền thu giao dịch chứng khoán khách hàng</v>
      </c>
      <c r="C90" s="23" t="str">
        <v/>
      </c>
      <c r="D90" s="23" t="str">
        <v/>
      </c>
      <c r="E90" s="23" t="str">
        <v/>
      </c>
      <c r="F90" s="23" t="str">
        <v/>
      </c>
      <c r="G90" s="23" t="str">
        <v/>
      </c>
      <c r="H90" s="23" t="str">
        <v/>
      </c>
    </row>
    <row r="91" spans="1:8" x14ac:dyDescent="0.2">
      <c r="A91">
        <v>86</v>
      </c>
      <c r="B91" t="str">
        <v>Tiền chi trả giao dịch chứng khoán khách hàng</v>
      </c>
      <c r="C91" s="23" t="str">
        <v/>
      </c>
      <c r="D91" s="23" t="str">
        <v/>
      </c>
      <c r="E91" s="23" t="str">
        <v/>
      </c>
      <c r="F91" s="23" t="str">
        <v/>
      </c>
      <c r="G91" s="23" t="str">
        <v/>
      </c>
      <c r="H91" s="23" t="str">
        <v/>
      </c>
    </row>
    <row r="92" spans="1:8" x14ac:dyDescent="0.2">
      <c r="A92">
        <v>87</v>
      </c>
      <c r="B92" t="str">
        <v>Tiền thu bán chứng khoán phát hành</v>
      </c>
      <c r="C92" s="23" t="str">
        <v/>
      </c>
      <c r="D92" s="23" t="str">
        <v/>
      </c>
      <c r="E92" s="23" t="str">
        <v/>
      </c>
      <c r="F92" s="23" t="str">
        <v/>
      </c>
      <c r="G92" s="23" t="str">
        <v/>
      </c>
      <c r="H92" s="23" t="str">
        <v/>
      </c>
    </row>
    <row r="93" spans="1:8" x14ac:dyDescent="0.2">
      <c r="A93">
        <v>88</v>
      </c>
      <c r="B93" t="str">
        <v>Tiền chi trả tổ chức phát hành chứng khoán</v>
      </c>
      <c r="C93" s="23" t="str">
        <v/>
      </c>
      <c r="D93" s="23" t="str">
        <v/>
      </c>
      <c r="E93" s="23" t="str">
        <v/>
      </c>
      <c r="F93" s="23" t="str">
        <v/>
      </c>
      <c r="G93" s="23" t="str">
        <v/>
      </c>
      <c r="H93" s="23" t="str">
        <v/>
      </c>
    </row>
    <row r="94" spans="1:8" x14ac:dyDescent="0.2">
      <c r="A94">
        <v>89</v>
      </c>
      <c r="B94" t="str">
        <v>Tiền chi trả cho người cung cấp hàng hóa và dịch vụ</v>
      </c>
      <c r="C94" s="23" t="str">
        <v/>
      </c>
      <c r="D94" s="23" t="str">
        <v/>
      </c>
      <c r="E94" s="23" t="str">
        <v/>
      </c>
      <c r="F94" s="23" t="str">
        <v/>
      </c>
      <c r="G94" s="23" t="str">
        <v/>
      </c>
      <c r="H94" s="23" t="str">
        <v/>
      </c>
    </row>
    <row r="95" spans="1:8" x14ac:dyDescent="0.2">
      <c r="A95">
        <v>90</v>
      </c>
      <c r="B95" t="str">
        <v>Tiền chi trả cho người lao động</v>
      </c>
      <c r="C95" s="23" t="str">
        <v/>
      </c>
      <c r="D95" s="23" t="str">
        <v/>
      </c>
      <c r="E95" s="23" t="str">
        <v/>
      </c>
      <c r="F95" s="23" t="str">
        <v/>
      </c>
      <c r="G95" s="23" t="str">
        <v/>
      </c>
      <c r="H95" s="23" t="str">
        <v/>
      </c>
    </row>
    <row r="96" spans="1:8" x14ac:dyDescent="0.2">
      <c r="A96">
        <v>91</v>
      </c>
      <c r="B96" t="str">
        <v>Tiền chi trả lãi vay</v>
      </c>
      <c r="C96" s="23" t="str">
        <v/>
      </c>
      <c r="D96" s="23" t="str">
        <v/>
      </c>
      <c r="E96" s="23" t="str">
        <v/>
      </c>
      <c r="F96" s="23" t="str">
        <v/>
      </c>
      <c r="G96" s="23" t="str">
        <v/>
      </c>
      <c r="H96" s="23" t="str">
        <v/>
      </c>
    </row>
    <row r="97" spans="1:8" x14ac:dyDescent="0.2">
      <c r="A97">
        <v>92</v>
      </c>
      <c r="B97" t="str">
        <v xml:space="preserve">Tiền chi trả Tổ chức cung cấp dịch vụ cho CTCK </v>
      </c>
      <c r="C97" s="23" t="str">
        <v/>
      </c>
      <c r="D97" s="23" t="str">
        <v/>
      </c>
      <c r="E97" s="23" t="str">
        <v/>
      </c>
      <c r="F97" s="23" t="str">
        <v/>
      </c>
      <c r="G97" s="23" t="str">
        <v/>
      </c>
      <c r="H97" s="23" t="str">
        <v/>
      </c>
    </row>
    <row r="98" spans="1:8" x14ac:dyDescent="0.2">
      <c r="A98">
        <v>93</v>
      </c>
      <c r="B98" t="str">
        <v>Tiền chi nộp thuế thu nhập doanh nghiệp</v>
      </c>
      <c r="C98" s="23" t="str">
        <v/>
      </c>
      <c r="D98" s="23" t="str">
        <v/>
      </c>
      <c r="E98" s="23" t="str">
        <v/>
      </c>
      <c r="F98" s="23" t="str">
        <v/>
      </c>
      <c r="G98" s="23" t="str">
        <v/>
      </c>
      <c r="H98" s="23" t="str">
        <v/>
      </c>
    </row>
    <row r="99" spans="1:8" x14ac:dyDescent="0.2">
      <c r="A99">
        <v>94</v>
      </c>
      <c r="B99" t="str">
        <v>Tiền chi thanh toán các chi phí cho hoạt động mua, bán các TSTC (chi phí giao dịch, phí chuyển tiền)</v>
      </c>
      <c r="C99" s="23" t="str">
        <v/>
      </c>
      <c r="D99" s="23" t="str">
        <v/>
      </c>
      <c r="E99" s="23" t="str">
        <v/>
      </c>
      <c r="F99" s="23" t="str">
        <v/>
      </c>
      <c r="G99" s="23" t="str">
        <v/>
      </c>
      <c r="H99" s="23" t="str">
        <v/>
      </c>
    </row>
    <row r="100" spans="1:8" x14ac:dyDescent="0.2">
      <c r="A100">
        <v>95</v>
      </c>
      <c r="B100" t="str">
        <v>Tiền thu khác từ hoạt động kinh doanh</v>
      </c>
      <c r="C100" s="23" t="str">
        <v/>
      </c>
      <c r="D100" s="23" t="str">
        <v/>
      </c>
      <c r="E100" s="23" t="str">
        <v/>
      </c>
      <c r="F100" s="23" t="str">
        <v/>
      </c>
      <c r="G100" s="23" t="str">
        <v/>
      </c>
      <c r="H100" s="23" t="str">
        <v/>
      </c>
    </row>
    <row r="101" spans="1:8" x14ac:dyDescent="0.2">
      <c r="A101">
        <v>96</v>
      </c>
      <c r="B101" t="str">
        <v>Tiền chi khác cho hoạt động kinh doanh</v>
      </c>
      <c r="C101" s="23" t="str">
        <v/>
      </c>
      <c r="D101" s="23" t="str">
        <v/>
      </c>
      <c r="E101" s="23" t="str">
        <v/>
      </c>
      <c r="F101" s="23" t="str">
        <v/>
      </c>
      <c r="G101" s="23" t="str">
        <v/>
      </c>
      <c r="H101" s="23" t="str">
        <v/>
      </c>
    </row>
    <row r="102" spans="1:8" x14ac:dyDescent="0.2">
      <c r="A102">
        <v>97</v>
      </c>
      <c r="B102" t="str">
        <v>Lưu chuyển tiền thuần từ hoạt động kinh doanh</v>
      </c>
      <c r="C102" s="23">
        <v>-3884851599705</v>
      </c>
      <c r="D102" s="23">
        <v>-6457364581073</v>
      </c>
      <c r="E102" s="23">
        <v>7180180717056</v>
      </c>
      <c r="F102" s="23">
        <v>-8064935567875</v>
      </c>
      <c r="G102" s="23">
        <v>-6219399857990</v>
      </c>
      <c r="H102" s="23">
        <v>-6386814845213</v>
      </c>
    </row>
    <row r="103" spans="1:8" x14ac:dyDescent="0.2">
      <c r="A103">
        <v>98</v>
      </c>
      <c r="B103" t="str">
        <v>LƯU CHUYỂN TIỀN TỪ HOẠT ĐỘNG ĐẦU TƯ</v>
      </c>
      <c r="C103" s="23" t="str">
        <v/>
      </c>
      <c r="D103" s="23" t="str">
        <v/>
      </c>
      <c r="E103" s="23" t="str">
        <v/>
      </c>
      <c r="F103" s="23" t="str">
        <v/>
      </c>
      <c r="G103" s="23" t="str">
        <v/>
      </c>
      <c r="H103" s="23" t="str">
        <v/>
      </c>
    </row>
    <row r="104" spans="1:8" x14ac:dyDescent="0.2">
      <c r="A104">
        <v>99</v>
      </c>
      <c r="B104" t="str">
        <v>Tiền chi để mua sắm, xây dựng TSCĐ và các tài sản dài hạn khác</v>
      </c>
      <c r="C104" s="23">
        <v>-7384370098</v>
      </c>
      <c r="D104" s="23">
        <v>-163855899057</v>
      </c>
      <c r="E104" s="23">
        <v>-200055514850</v>
      </c>
      <c r="F104" s="23">
        <v>-181183730297</v>
      </c>
      <c r="G104" s="23">
        <v>-175613009614</v>
      </c>
      <c r="H104" s="23">
        <v>-177675686702</v>
      </c>
    </row>
    <row r="105" spans="1:8" x14ac:dyDescent="0.2">
      <c r="A105">
        <v>100</v>
      </c>
      <c r="B105" t="str">
        <v>Tiền thu từ thanh lý, nhượng bán TSCĐ và các tài sản dài hạn khác</v>
      </c>
      <c r="C105" s="23">
        <v>0</v>
      </c>
      <c r="D105" s="23">
        <v>454545455</v>
      </c>
      <c r="E105" s="23">
        <v>363636364</v>
      </c>
      <c r="F105" s="23">
        <v>73613637</v>
      </c>
      <c r="G105" s="23">
        <v>409090909</v>
      </c>
      <c r="H105" s="23">
        <v>1819281102</v>
      </c>
    </row>
    <row r="106" spans="1:8" x14ac:dyDescent="0.2">
      <c r="A106">
        <v>101</v>
      </c>
      <c r="B106" t="str">
        <v>Tiền chi cho vay, mua các công cụ nợ của đơn vị khác</v>
      </c>
      <c r="C106" s="23">
        <v>0</v>
      </c>
      <c r="D106" s="23">
        <v>0</v>
      </c>
      <c r="E106" s="23">
        <v>0</v>
      </c>
      <c r="F106" s="23">
        <v>0</v>
      </c>
      <c r="G106" s="23">
        <v>0</v>
      </c>
      <c r="H106" s="23">
        <v>0</v>
      </c>
    </row>
    <row r="107" spans="1:8" x14ac:dyDescent="0.2">
      <c r="A107">
        <v>102</v>
      </c>
      <c r="B107" t="str">
        <v>Tiền thu hồi cho vay, bán lại các công cụ nợ của đơn vị khác</v>
      </c>
      <c r="C107" s="23">
        <v>0</v>
      </c>
      <c r="D107" s="23">
        <v>0</v>
      </c>
      <c r="E107" s="23">
        <v>0</v>
      </c>
      <c r="F107" s="23">
        <v>0</v>
      </c>
      <c r="G107" s="23">
        <v>0</v>
      </c>
      <c r="H107" s="23">
        <v>0</v>
      </c>
    </row>
    <row r="108" spans="1:8" x14ac:dyDescent="0.2">
      <c r="A108">
        <v>103</v>
      </c>
      <c r="B108" t="str">
        <v>Tiền chi đầu tư góp vốn vào đơn vị khác</v>
      </c>
      <c r="C108" s="23">
        <v>0</v>
      </c>
      <c r="D108" s="23">
        <v>0</v>
      </c>
      <c r="E108" s="23">
        <v>0</v>
      </c>
      <c r="F108" s="23">
        <v>0</v>
      </c>
      <c r="G108" s="23">
        <v>-5500000000</v>
      </c>
      <c r="H108" s="23">
        <v>-22182550000</v>
      </c>
    </row>
    <row r="109" spans="1:8" x14ac:dyDescent="0.2">
      <c r="A109">
        <v>104</v>
      </c>
      <c r="B109" t="str">
        <v>Tiền thu hồi đầu tư góp vốn vào đơn vị khác</v>
      </c>
      <c r="C109" s="23">
        <v>5100000000</v>
      </c>
      <c r="D109" s="23">
        <v>-35140280000</v>
      </c>
      <c r="E109" s="23">
        <v>68076619178</v>
      </c>
      <c r="F109" s="23">
        <v>0</v>
      </c>
      <c r="G109" s="23">
        <v>3506760000</v>
      </c>
      <c r="H109" s="23">
        <v>8510881668</v>
      </c>
    </row>
    <row r="110" spans="1:8" x14ac:dyDescent="0.2">
      <c r="A110">
        <v>105</v>
      </c>
      <c r="B110" t="str">
        <v>Tiền thu lãi cho vay, cổ tức và lợi nhuận được chia</v>
      </c>
      <c r="C110" s="23">
        <v>0</v>
      </c>
      <c r="D110" s="23">
        <v>0</v>
      </c>
      <c r="E110" s="23">
        <v>0</v>
      </c>
      <c r="F110" s="23">
        <v>0</v>
      </c>
      <c r="G110" s="23">
        <v>0</v>
      </c>
      <c r="H110" s="23">
        <v>605000000</v>
      </c>
    </row>
    <row r="111" spans="1:8" x14ac:dyDescent="0.2">
      <c r="A111">
        <v>106</v>
      </c>
      <c r="B111" t="str">
        <v>Lưu chuyển tiền thuần từ hoạt động đầu tư</v>
      </c>
      <c r="C111" s="23">
        <v>-2284370098</v>
      </c>
      <c r="D111" s="23">
        <v>-198541633602</v>
      </c>
      <c r="E111" s="23">
        <v>-131615259308</v>
      </c>
      <c r="F111" s="23">
        <v>-181110116660</v>
      </c>
      <c r="G111" s="23">
        <v>-177197158705</v>
      </c>
      <c r="H111" s="23">
        <v>-188923073932</v>
      </c>
    </row>
    <row r="112" spans="1:8" x14ac:dyDescent="0.2">
      <c r="A112">
        <v>107</v>
      </c>
      <c r="B112" t="str">
        <v>LƯU CHUYỂN TIỀN TỪ HOẠT ĐỘNG TÀI CHÍNH</v>
      </c>
      <c r="C112" s="23" t="str">
        <v/>
      </c>
      <c r="D112" s="23" t="str">
        <v/>
      </c>
      <c r="E112" s="23" t="str">
        <v/>
      </c>
      <c r="F112" s="23" t="str">
        <v/>
      </c>
      <c r="G112" s="23" t="str">
        <v/>
      </c>
      <c r="H112" s="23" t="str">
        <v/>
      </c>
    </row>
    <row r="113" spans="1:8" x14ac:dyDescent="0.2">
      <c r="A113">
        <v>108</v>
      </c>
      <c r="B113" t="str">
        <v>Tiền thu từ phát hành cổ phiếu, nhận vốn góp của chủ sở hữu</v>
      </c>
      <c r="C113" s="23">
        <v>2030000000000</v>
      </c>
      <c r="D113" s="23">
        <v>2200057000000</v>
      </c>
      <c r="E113" s="23">
        <v>0</v>
      </c>
      <c r="F113" s="23">
        <v>0</v>
      </c>
      <c r="G113" s="23">
        <v>0</v>
      </c>
      <c r="H113" s="23">
        <v>13928966939152</v>
      </c>
    </row>
    <row r="114" spans="1:8" x14ac:dyDescent="0.2">
      <c r="A114">
        <v>109</v>
      </c>
      <c r="B114" t="str">
        <v>Tiền chi trả vốn góp cho các chủ sở hữu, mua lại cổ phiếu của doanh nghiệp đã phát hành</v>
      </c>
      <c r="C114" s="23">
        <v>0</v>
      </c>
      <c r="D114" s="23">
        <v>0</v>
      </c>
      <c r="E114" s="23">
        <v>0</v>
      </c>
      <c r="F114" s="23">
        <v>0</v>
      </c>
      <c r="G114" s="23">
        <v>0</v>
      </c>
      <c r="H114" s="23">
        <v>0</v>
      </c>
    </row>
    <row r="115" spans="1:8" x14ac:dyDescent="0.2">
      <c r="A115">
        <v>110</v>
      </c>
      <c r="B115" t="str">
        <v>Tiền vay ngắn hạn, dài hạn nhận được</v>
      </c>
      <c r="C115" s="23">
        <v>21521164145108</v>
      </c>
      <c r="D115" s="23">
        <v>529300397699236</v>
      </c>
      <c r="E115" s="23">
        <v>364453686854484</v>
      </c>
      <c r="F115" s="23">
        <v>307353536646001</v>
      </c>
      <c r="G115" s="23">
        <v>420868443752103</v>
      </c>
      <c r="H115" s="23">
        <v>327255343037067</v>
      </c>
    </row>
    <row r="116" spans="1:8" x14ac:dyDescent="0.2">
      <c r="A116">
        <v>111</v>
      </c>
      <c r="B116" t="str">
        <v>Tiền vay Quỹ Hỗ trợ thanh toán</v>
      </c>
      <c r="C116" s="23">
        <v>0</v>
      </c>
      <c r="D116" s="23">
        <v>0</v>
      </c>
      <c r="E116" s="23">
        <v>0</v>
      </c>
      <c r="F116" s="23">
        <v>0</v>
      </c>
      <c r="G116" s="23">
        <v>0</v>
      </c>
      <c r="H116" s="23">
        <v>0</v>
      </c>
    </row>
    <row r="117" spans="1:8" x14ac:dyDescent="0.2">
      <c r="A117">
        <v>112</v>
      </c>
      <c r="B117" t="str">
        <v>Tiền vay khác</v>
      </c>
      <c r="C117" s="23">
        <v>21521164145108</v>
      </c>
      <c r="D117" s="23">
        <v>529300397699236</v>
      </c>
      <c r="E117" s="23">
        <v>364453686854484</v>
      </c>
      <c r="F117" s="23">
        <v>307353536646001</v>
      </c>
      <c r="G117" s="23">
        <v>420868443752103</v>
      </c>
      <c r="H117" s="23">
        <v>327255343037067</v>
      </c>
    </row>
    <row r="118" spans="1:8" x14ac:dyDescent="0.2">
      <c r="A118">
        <v>113</v>
      </c>
      <c r="B118" t="str">
        <v>Tiền chi trả nợ gốc vay</v>
      </c>
      <c r="C118" s="23">
        <v>-19644180428726</v>
      </c>
      <c r="D118" s="23">
        <v>-521056548004151</v>
      </c>
      <c r="E118" s="23">
        <v>-368835197656291</v>
      </c>
      <c r="F118" s="23">
        <v>-305363228734710</v>
      </c>
      <c r="G118" s="23">
        <v>-415370709925905</v>
      </c>
      <c r="H118" s="23">
        <v>0</v>
      </c>
    </row>
    <row r="119" spans="1:8" x14ac:dyDescent="0.2">
      <c r="A119">
        <v>114</v>
      </c>
      <c r="B119" t="str">
        <v>Tiền chi trả gốc vay Quỹ Hỗ trợ thanh toán</v>
      </c>
      <c r="C119" s="23">
        <v>0</v>
      </c>
      <c r="D119" s="23">
        <v>0</v>
      </c>
      <c r="E119" s="23">
        <v>0</v>
      </c>
      <c r="F119" s="23">
        <v>0</v>
      </c>
      <c r="G119" s="23">
        <v>0</v>
      </c>
      <c r="H119" s="23">
        <v>0</v>
      </c>
    </row>
    <row r="120" spans="1:8" x14ac:dyDescent="0.2">
      <c r="A120">
        <v>115</v>
      </c>
      <c r="B120" t="str">
        <v>Tiền chi trả nợ gốc vay tài sản tài chính</v>
      </c>
      <c r="C120" s="23">
        <v>0</v>
      </c>
      <c r="D120" s="23">
        <v>0</v>
      </c>
      <c r="E120" s="23">
        <v>0</v>
      </c>
      <c r="F120" s="23">
        <v>0</v>
      </c>
      <c r="G120" s="23">
        <v>0</v>
      </c>
      <c r="H120" s="23">
        <v>0</v>
      </c>
    </row>
    <row r="121" spans="1:8" x14ac:dyDescent="0.2">
      <c r="A121">
        <v>116</v>
      </c>
      <c r="B121" t="str">
        <v>Tiền chi trả gốc nợ vay khác</v>
      </c>
      <c r="C121" s="23">
        <v>-19644180428726</v>
      </c>
      <c r="D121" s="23">
        <v>-521056548004151</v>
      </c>
      <c r="E121" s="23">
        <v>-368835197656291</v>
      </c>
      <c r="F121" s="23">
        <v>-305363228734710</v>
      </c>
      <c r="G121" s="23">
        <v>-415370709925905</v>
      </c>
      <c r="H121" s="23">
        <v>0</v>
      </c>
    </row>
    <row r="122" spans="1:8" x14ac:dyDescent="0.2">
      <c r="A122">
        <v>117</v>
      </c>
      <c r="B122" t="str">
        <v>Tiền chi trả nợ thuê tài chính</v>
      </c>
      <c r="C122" s="23">
        <v>0</v>
      </c>
      <c r="D122" s="23">
        <v>0</v>
      </c>
      <c r="E122" s="23">
        <v>0</v>
      </c>
      <c r="F122" s="23">
        <v>0</v>
      </c>
      <c r="G122" s="23">
        <v>0</v>
      </c>
      <c r="H122" s="23">
        <v>0</v>
      </c>
    </row>
    <row r="123" spans="1:8" x14ac:dyDescent="0.2">
      <c r="A123">
        <v>118</v>
      </c>
      <c r="B123" t="str">
        <v>Cổ tức, lợi nhuận đã trả cho chủ sở hữu</v>
      </c>
      <c r="C123" s="23">
        <v>-30000000000</v>
      </c>
      <c r="D123" s="23">
        <v>-151800000000</v>
      </c>
      <c r="E123" s="23">
        <v>-151800000000</v>
      </c>
      <c r="F123" s="23">
        <v>-151800000000</v>
      </c>
      <c r="G123" s="23">
        <v>-151800000000</v>
      </c>
      <c r="H123" s="23">
        <v>0</v>
      </c>
    </row>
    <row r="124" spans="1:8" x14ac:dyDescent="0.2">
      <c r="A124">
        <v>119</v>
      </c>
      <c r="B124" t="str">
        <v>Lưu chuyển tiền thuần từ hoạt động tài chính</v>
      </c>
      <c r="C124" s="23">
        <v>3876983716382</v>
      </c>
      <c r="D124" s="23">
        <v>10292106695085</v>
      </c>
      <c r="E124" s="23">
        <v>-4533310801807</v>
      </c>
      <c r="F124" s="23">
        <v>1838507911291</v>
      </c>
      <c r="G124" s="23">
        <v>5345933826198</v>
      </c>
      <c r="H124" s="23">
        <v>341184309976219</v>
      </c>
    </row>
    <row r="125" spans="1:8" x14ac:dyDescent="0.2">
      <c r="A125">
        <v>120</v>
      </c>
      <c r="B125" t="str">
        <v>Lưu chuyển tiền thuần trong kỳ</v>
      </c>
      <c r="C125" s="23">
        <v>-10152253421</v>
      </c>
      <c r="D125" s="23">
        <v>3636200480410</v>
      </c>
      <c r="E125" s="23">
        <v>2515254655941</v>
      </c>
      <c r="F125" s="23">
        <v>-6407537773244</v>
      </c>
      <c r="G125" s="23">
        <v>-1050663190497</v>
      </c>
      <c r="H125" s="23">
        <v>334608572057074</v>
      </c>
    </row>
    <row r="126" spans="1:8" x14ac:dyDescent="0.2">
      <c r="A126">
        <v>121</v>
      </c>
      <c r="B126" t="str">
        <v>Tiền và tương đương tiền đầu kỳ</v>
      </c>
      <c r="C126" s="23">
        <v>1058446227439</v>
      </c>
      <c r="D126" s="23">
        <v>3039423535407</v>
      </c>
      <c r="E126" s="23">
        <v>6675624015817</v>
      </c>
      <c r="F126" s="23">
        <v>9190878671758</v>
      </c>
      <c r="G126" s="23">
        <v>2783340898514</v>
      </c>
      <c r="H126" s="23">
        <v>1732141826349</v>
      </c>
    </row>
    <row r="127" spans="1:8" x14ac:dyDescent="0.2">
      <c r="A127">
        <v>122</v>
      </c>
      <c r="B127" t="str">
        <v>Tiền mặt, tiền gửi ngân hàng đầu kỳ</v>
      </c>
      <c r="C127" s="23">
        <v>1040780566196</v>
      </c>
      <c r="D127" s="23">
        <v>2779423535407</v>
      </c>
      <c r="E127" s="23">
        <v>5114192782946</v>
      </c>
      <c r="F127" s="23">
        <v>5385105192310</v>
      </c>
      <c r="G127" s="23">
        <v>727625299538</v>
      </c>
      <c r="H127" s="23">
        <v>631751415389</v>
      </c>
    </row>
    <row r="128" spans="1:8" x14ac:dyDescent="0.2">
      <c r="A128">
        <v>123</v>
      </c>
      <c r="B128" t="str">
        <v>Tiền gửi ngân hàng cho hoạt động CTCK_Đầu kỳ</v>
      </c>
      <c r="C128" s="23">
        <v>0</v>
      </c>
      <c r="D128" s="23">
        <v>0</v>
      </c>
      <c r="E128" s="23">
        <v>0</v>
      </c>
      <c r="F128" s="23">
        <v>0</v>
      </c>
      <c r="G128" s="23">
        <v>0</v>
      </c>
      <c r="H128" s="23">
        <v>0</v>
      </c>
    </row>
    <row r="129" spans="1:8" x14ac:dyDescent="0.2">
      <c r="A129">
        <v>124</v>
      </c>
      <c r="B129" t="str">
        <v>Các khoản tiền tương đương đầu kỳ</v>
      </c>
      <c r="C129" s="23">
        <v>17665661243</v>
      </c>
      <c r="D129" s="23">
        <v>260000000000</v>
      </c>
      <c r="E129" s="23">
        <v>1561431232871</v>
      </c>
      <c r="F129" s="23">
        <v>3805773479448</v>
      </c>
      <c r="G129" s="23">
        <v>2055715598976</v>
      </c>
      <c r="H129" s="23">
        <v>1100390410960</v>
      </c>
    </row>
    <row r="130" spans="1:8" x14ac:dyDescent="0.2">
      <c r="A130">
        <v>125</v>
      </c>
      <c r="B130" t="str">
        <v>Ảnh hưởng của thay đổi tỷ giá hối đoái quy đổi ngoại tệ</v>
      </c>
      <c r="C130" s="23">
        <v>0</v>
      </c>
      <c r="D130" s="23">
        <v>0</v>
      </c>
      <c r="E130" s="23">
        <v>0</v>
      </c>
      <c r="F130" s="23">
        <v>0</v>
      </c>
      <c r="G130" s="23">
        <v>0</v>
      </c>
      <c r="H130" s="23">
        <v>0</v>
      </c>
    </row>
    <row r="131" spans="1:8" x14ac:dyDescent="0.2">
      <c r="A131">
        <v>126</v>
      </c>
      <c r="B131" t="str">
        <v>Tiền và tương đương tiền cuối kỳ</v>
      </c>
      <c r="C131" s="23">
        <v>1048293974018</v>
      </c>
      <c r="D131" s="23">
        <v>6675624015817</v>
      </c>
      <c r="E131" s="23">
        <v>9190878671758</v>
      </c>
      <c r="F131" s="23">
        <v>2783340898514</v>
      </c>
      <c r="G131" s="23">
        <v>1732677708017</v>
      </c>
      <c r="H131" s="23">
        <v>336340713883423</v>
      </c>
    </row>
    <row r="132" spans="1:8" x14ac:dyDescent="0.2">
      <c r="A132">
        <v>127</v>
      </c>
      <c r="B132" t="str">
        <v>Tiền mặt, tiền gửi ngân hàng kỳ</v>
      </c>
      <c r="C132" s="23">
        <v>898283129182</v>
      </c>
      <c r="D132" s="23">
        <v>5114192782946</v>
      </c>
      <c r="E132" s="23">
        <v>5385105192310</v>
      </c>
      <c r="F132" s="23">
        <v>727625299538</v>
      </c>
      <c r="G132" s="23">
        <v>632287297057</v>
      </c>
      <c r="H132" s="23">
        <v>4514986137346</v>
      </c>
    </row>
    <row r="133" spans="1:8" x14ac:dyDescent="0.2">
      <c r="A133">
        <v>128</v>
      </c>
      <c r="B133" t="str">
        <v>Tiền gửi ngân hàng cho hoạt động CTCK_Cuối kỳ</v>
      </c>
      <c r="C133" s="23">
        <v>0</v>
      </c>
      <c r="D133" s="23">
        <v>0</v>
      </c>
      <c r="E133" s="23">
        <v>0</v>
      </c>
      <c r="F133" s="23">
        <v>0</v>
      </c>
      <c r="G133" s="23">
        <v>0</v>
      </c>
      <c r="H133" s="23">
        <v>0</v>
      </c>
    </row>
    <row r="134" spans="1:8" x14ac:dyDescent="0.2">
      <c r="A134">
        <v>129</v>
      </c>
      <c r="B134" t="str">
        <v>Các khoản tương đương tiền</v>
      </c>
      <c r="C134" s="23">
        <v>150010844836</v>
      </c>
      <c r="D134" s="23">
        <v>1561431232871</v>
      </c>
      <c r="E134" s="23">
        <v>3805773479448</v>
      </c>
      <c r="F134" s="23">
        <v>2055715598976</v>
      </c>
      <c r="G134" s="23">
        <v>1100390410960</v>
      </c>
      <c r="H134" s="23">
        <v>4166004175670</v>
      </c>
    </row>
    <row r="135" spans="1:8" x14ac:dyDescent="0.2">
      <c r="A135">
        <v>130</v>
      </c>
      <c r="B135" t="str">
        <v>Ảnh hưởng của thay đổi tỷ giá hối đoái quy đổi ngoại tệ tổng hợp</v>
      </c>
      <c r="C135" s="23">
        <v>0</v>
      </c>
      <c r="D135" s="23">
        <v>0</v>
      </c>
      <c r="E135" s="23">
        <v>0</v>
      </c>
      <c r="F135" s="23">
        <v>0</v>
      </c>
      <c r="G135" s="23">
        <v>0</v>
      </c>
      <c r="H135" s="23">
        <v>327659723570407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1C81B-EC60-417A-8200-D46CC4DF1B05}">
  <sheetPr codeName="Sheet4"/>
  <dimension ref="A1:J88"/>
  <sheetViews>
    <sheetView workbookViewId="0">
      <selection activeCell="A27" sqref="A27:XFD27"/>
    </sheetView>
  </sheetViews>
  <sheetFormatPr defaultRowHeight="15" x14ac:dyDescent="0.2"/>
  <cols>
    <col min="1" max="1" width="5.21875" customWidth="1"/>
    <col min="2" max="2" width="65.6640625" style="23" customWidth="1"/>
    <col min="3" max="10" width="17.109375" style="23" bestFit="1" customWidth="1"/>
  </cols>
  <sheetData>
    <row r="1" spans="1:10" ht="15.75" x14ac:dyDescent="0.25">
      <c r="C1" s="4" t="s">
        <v>16</v>
      </c>
      <c r="D1" s="4" t="s">
        <v>15</v>
      </c>
      <c r="E1" s="4" t="s">
        <v>17</v>
      </c>
      <c r="F1" s="4" t="s">
        <v>18</v>
      </c>
    </row>
    <row r="2" spans="1:10" x14ac:dyDescent="0.2">
      <c r="C2" s="28" t="str">
        <f>CANSLIM!E1</f>
        <v>VCK</v>
      </c>
      <c r="D2" s="3" t="s">
        <v>19</v>
      </c>
      <c r="E2" s="3">
        <f>CANSLIM!E2</f>
        <v>2025</v>
      </c>
      <c r="F2" s="28" t="str">
        <f>CANSLIM!D2</f>
        <v>YEAR</v>
      </c>
    </row>
    <row r="4" spans="1:10" ht="15.75" x14ac:dyDescent="0.25">
      <c r="A4" s="4" t="str" cm="1">
        <f t="array" ref="A4:J88">report_finance_vnd(C2,D2,E2,F2)</f>
        <v/>
      </c>
      <c r="B4" s="4" t="str">
        <v>VCK</v>
      </c>
      <c r="C4" s="4" t="str">
        <v>2018-12-31</v>
      </c>
      <c r="D4" s="4" t="str">
        <v>2019-12-31</v>
      </c>
      <c r="E4" s="4" t="str">
        <v>2020-12-31</v>
      </c>
      <c r="F4" s="4" t="str">
        <v>2021-12-31</v>
      </c>
      <c r="G4" s="4" t="str">
        <v>2022-12-31</v>
      </c>
      <c r="H4" s="4" t="str">
        <v>2023-12-31</v>
      </c>
      <c r="I4" s="4" t="str">
        <v>2024-12-31</v>
      </c>
      <c r="J4" s="4" t="str">
        <v>2025-12-31</v>
      </c>
    </row>
    <row r="5" spans="1:10" x14ac:dyDescent="0.2">
      <c r="A5">
        <v>0</v>
      </c>
      <c r="B5" s="23" t="str">
        <v>Tổng doanh thu hoạt động kinh doanh</v>
      </c>
      <c r="C5" s="264">
        <v>1496490369809</v>
      </c>
      <c r="D5" s="264">
        <v>3092983686830</v>
      </c>
      <c r="E5" s="264">
        <v>3828459945194</v>
      </c>
      <c r="F5" s="264">
        <v>9518118459079</v>
      </c>
      <c r="G5" s="264">
        <v>8440762913975</v>
      </c>
      <c r="H5" s="264">
        <v>6373838274239</v>
      </c>
      <c r="I5" s="264">
        <v>6466321678945</v>
      </c>
      <c r="J5" s="243">
        <v>8260714445897</v>
      </c>
    </row>
    <row r="6" spans="1:10" x14ac:dyDescent="0.2">
      <c r="A6">
        <v>1</v>
      </c>
      <c r="B6" s="23" t="str">
        <v>Lãi từ các tài sản tài chính ghi nhận thông qua lãi/lỗ ( FVTPL)</v>
      </c>
      <c r="C6" s="264">
        <v>668592061802</v>
      </c>
      <c r="D6" s="264">
        <v>1877778813012</v>
      </c>
      <c r="E6" s="264">
        <v>2484794047888</v>
      </c>
      <c r="F6" s="264">
        <v>4608047600819</v>
      </c>
      <c r="G6" s="264">
        <v>3689435494582</v>
      </c>
      <c r="H6" s="264">
        <v>1988071000956</v>
      </c>
      <c r="I6" s="264">
        <v>957296743832</v>
      </c>
      <c r="J6" s="243">
        <v>1200873655660</v>
      </c>
    </row>
    <row r="7" spans="1:10" x14ac:dyDescent="0.2">
      <c r="A7">
        <v>2</v>
      </c>
      <c r="B7" s="23" t="str">
        <v>Lãi bán các tài sản tài chính PVTPL</v>
      </c>
      <c r="C7" s="264">
        <v>566775610037</v>
      </c>
      <c r="D7" s="264">
        <v>1465194460077</v>
      </c>
      <c r="E7" s="264">
        <v>1448219781188</v>
      </c>
      <c r="F7" s="264">
        <v>3567960887562</v>
      </c>
      <c r="G7" s="264">
        <v>2222412044648</v>
      </c>
      <c r="H7" s="264">
        <v>682337417078</v>
      </c>
      <c r="I7" s="264">
        <v>405854685424</v>
      </c>
      <c r="J7" s="243">
        <v>613262447950</v>
      </c>
    </row>
    <row r="8" spans="1:10" x14ac:dyDescent="0.2">
      <c r="A8">
        <v>3</v>
      </c>
      <c r="B8" s="23" t="str">
        <v>Chênh lệch tăng đánh giá lại các TSTC thông qua lãi/lỗ</v>
      </c>
      <c r="C8" s="264">
        <v>15272440435</v>
      </c>
      <c r="D8" s="264">
        <v>6137901280</v>
      </c>
      <c r="E8" s="264">
        <v>17769897757</v>
      </c>
      <c r="F8" s="264">
        <v>24855718742</v>
      </c>
      <c r="G8" s="264">
        <v>9776919514</v>
      </c>
      <c r="H8" s="264">
        <v>15899605459</v>
      </c>
      <c r="I8" s="264">
        <v>30832421391</v>
      </c>
      <c r="J8" s="243">
        <v>98495592479</v>
      </c>
    </row>
    <row r="9" spans="1:10" x14ac:dyDescent="0.2">
      <c r="A9">
        <v>4</v>
      </c>
      <c r="B9" s="23" t="str">
        <v>Cổ tức, tiền lãi phát sinh từ tài sản tài chính PVTPL</v>
      </c>
      <c r="C9" s="264">
        <v>86544011330</v>
      </c>
      <c r="D9" s="264">
        <v>406446451655</v>
      </c>
      <c r="E9" s="264">
        <v>1018804368943</v>
      </c>
      <c r="F9" s="264">
        <v>1015230994515</v>
      </c>
      <c r="G9" s="264">
        <v>1457246530420</v>
      </c>
      <c r="H9" s="264">
        <v>1289833978419</v>
      </c>
      <c r="I9" s="264">
        <v>520609637017</v>
      </c>
      <c r="J9" s="243">
        <v>489115615231</v>
      </c>
    </row>
    <row r="10" spans="1:10" x14ac:dyDescent="0.2">
      <c r="A10">
        <v>5</v>
      </c>
      <c r="B10" s="23" t="str">
        <v>Lãi từ các khoản đầu tư nắm giữ đến ngày đáo hạn</v>
      </c>
      <c r="C10" s="264">
        <v>125916160437</v>
      </c>
      <c r="D10" s="264">
        <v>44364023862</v>
      </c>
      <c r="E10" s="264">
        <v>32929850590</v>
      </c>
      <c r="F10" s="264">
        <v>91756372546</v>
      </c>
      <c r="G10" s="264">
        <v>80397189074</v>
      </c>
      <c r="H10" s="264">
        <v>127004778083</v>
      </c>
      <c r="I10" s="264">
        <v>331584450078</v>
      </c>
      <c r="J10" s="243">
        <v>480379592591</v>
      </c>
    </row>
    <row r="11" spans="1:10" x14ac:dyDescent="0.2">
      <c r="A11">
        <v>6</v>
      </c>
      <c r="B11" s="23" t="str">
        <v xml:space="preserve">Lãi từ các khoản cho vay và phải thu </v>
      </c>
      <c r="C11" s="264">
        <v>173398266719</v>
      </c>
      <c r="D11" s="264">
        <v>241348714324</v>
      </c>
      <c r="E11" s="264">
        <v>308480009016</v>
      </c>
      <c r="F11" s="264">
        <v>964386939756</v>
      </c>
      <c r="G11" s="264">
        <v>1235380028548</v>
      </c>
      <c r="H11" s="264">
        <v>1226272595172</v>
      </c>
      <c r="I11" s="264">
        <v>1762808498034</v>
      </c>
      <c r="J11" s="243">
        <v>2504445130126</v>
      </c>
    </row>
    <row r="12" spans="1:10" x14ac:dyDescent="0.2">
      <c r="A12">
        <v>7</v>
      </c>
      <c r="B12" s="23" t="str">
        <v>Lãi từ chứng khoán Nợ đầu tư sẵn sàng để bán</v>
      </c>
      <c r="C12" s="264">
        <v>0</v>
      </c>
      <c r="D12" s="264">
        <v>0</v>
      </c>
      <c r="E12" s="264">
        <v>0</v>
      </c>
      <c r="F12" s="264">
        <v>0</v>
      </c>
      <c r="G12" s="264">
        <v>0</v>
      </c>
      <c r="H12" s="264">
        <v>0</v>
      </c>
      <c r="I12" s="264">
        <v>0</v>
      </c>
      <c r="J12" s="243">
        <v>12830002868</v>
      </c>
    </row>
    <row r="13" spans="1:10" x14ac:dyDescent="0.2">
      <c r="A13">
        <v>8</v>
      </c>
      <c r="B13" s="23" t="str">
        <v xml:space="preserve">Lãi từ các công cụ phát sinh phòng ngừa rủi ro </v>
      </c>
      <c r="C13" s="264">
        <v>0</v>
      </c>
      <c r="D13" s="264">
        <v>0</v>
      </c>
      <c r="E13" s="264">
        <v>0</v>
      </c>
      <c r="F13" s="264">
        <v>0</v>
      </c>
      <c r="G13" s="264">
        <v>0</v>
      </c>
      <c r="H13" s="264">
        <v>0</v>
      </c>
      <c r="I13" s="264">
        <v>0</v>
      </c>
      <c r="J13" s="243">
        <v>0</v>
      </c>
    </row>
    <row r="14" spans="1:10" x14ac:dyDescent="0.2">
      <c r="A14">
        <v>9</v>
      </c>
      <c r="B14" s="23" t="str">
        <v>Doanh thu môi giới chứng khoán cho người đầu tư</v>
      </c>
      <c r="C14" s="264">
        <v>160862672059</v>
      </c>
      <c r="D14" s="264">
        <v>252159264462</v>
      </c>
      <c r="E14" s="264">
        <v>638324001713</v>
      </c>
      <c r="F14" s="264">
        <v>3135103674106</v>
      </c>
      <c r="G14" s="264">
        <v>2851584219983</v>
      </c>
      <c r="H14" s="264">
        <v>2785259428369</v>
      </c>
      <c r="I14" s="264">
        <v>3186624012446</v>
      </c>
      <c r="J14" s="243">
        <v>3770445475016</v>
      </c>
    </row>
    <row r="15" spans="1:10" x14ac:dyDescent="0.2">
      <c r="A15">
        <v>10</v>
      </c>
      <c r="B15" s="23" t="str">
        <v>Doanh thu hoạt động đầu tư chứng khoán, góp vốn</v>
      </c>
      <c r="C15" s="264">
        <v>0</v>
      </c>
      <c r="D15" s="264">
        <v>0</v>
      </c>
      <c r="E15" s="264">
        <v>0</v>
      </c>
      <c r="F15" s="264">
        <v>0</v>
      </c>
      <c r="G15" s="264">
        <v>0</v>
      </c>
      <c r="H15" s="264">
        <v>0</v>
      </c>
      <c r="I15" s="264">
        <v>0</v>
      </c>
      <c r="J15" s="243">
        <v>0</v>
      </c>
    </row>
    <row r="16" spans="1:10" x14ac:dyDescent="0.2">
      <c r="A16">
        <v>11</v>
      </c>
      <c r="B16" s="23" t="str">
        <v>Doanh thu bảo lãnh phát hành chứng khoán</v>
      </c>
      <c r="C16" s="264">
        <v>0</v>
      </c>
      <c r="D16" s="264">
        <v>0</v>
      </c>
      <c r="E16" s="264">
        <v>0</v>
      </c>
      <c r="F16" s="264">
        <v>0</v>
      </c>
      <c r="G16" s="264">
        <v>0</v>
      </c>
      <c r="H16" s="264">
        <v>0</v>
      </c>
      <c r="I16" s="264">
        <v>0</v>
      </c>
      <c r="J16" s="243">
        <v>0</v>
      </c>
    </row>
    <row r="17" spans="1:10" x14ac:dyDescent="0.2">
      <c r="A17">
        <v>12</v>
      </c>
      <c r="B17" s="23" t="str">
        <v>Doanh thu đại lý phát hành chứng khoán</v>
      </c>
      <c r="C17" s="264">
        <v>0</v>
      </c>
      <c r="D17" s="264">
        <v>0</v>
      </c>
      <c r="E17" s="264">
        <v>0</v>
      </c>
      <c r="F17" s="264">
        <v>0</v>
      </c>
      <c r="G17" s="264">
        <v>0</v>
      </c>
      <c r="H17" s="264">
        <v>0</v>
      </c>
      <c r="I17" s="264">
        <v>0</v>
      </c>
      <c r="J17" s="243">
        <v>0</v>
      </c>
    </row>
    <row r="18" spans="1:10" x14ac:dyDescent="0.2">
      <c r="A18">
        <v>13</v>
      </c>
      <c r="B18" s="23" t="str">
        <v>Doanh thu tư vấn đầu tư chứng khoán cho người đầu tư</v>
      </c>
      <c r="C18" s="264">
        <v>11599300000</v>
      </c>
      <c r="D18" s="264">
        <v>0</v>
      </c>
      <c r="E18" s="264">
        <v>0</v>
      </c>
      <c r="F18" s="264">
        <v>0</v>
      </c>
      <c r="G18" s="264">
        <v>0</v>
      </c>
      <c r="H18" s="264">
        <v>0</v>
      </c>
      <c r="I18" s="264">
        <v>0</v>
      </c>
      <c r="J18" s="243">
        <v>0</v>
      </c>
    </row>
    <row r="19" spans="1:10" x14ac:dyDescent="0.2">
      <c r="A19">
        <v>14</v>
      </c>
      <c r="B19" s="23" t="str">
        <v>Doanh thu lưu ký chứng khoán cho người đầu tư</v>
      </c>
      <c r="C19" s="264">
        <v>6555212295</v>
      </c>
      <c r="D19" s="264">
        <v>33517485698</v>
      </c>
      <c r="E19" s="264">
        <v>39642041717</v>
      </c>
      <c r="F19" s="264">
        <v>54310915507</v>
      </c>
      <c r="G19" s="264">
        <v>56869487213</v>
      </c>
      <c r="H19" s="264">
        <v>144299094370</v>
      </c>
      <c r="I19" s="264">
        <v>69947413456</v>
      </c>
      <c r="J19" s="243">
        <v>46170393538</v>
      </c>
    </row>
    <row r="20" spans="1:10" x14ac:dyDescent="0.2">
      <c r="A20">
        <v>15</v>
      </c>
      <c r="B20" s="23" t="str">
        <v>Doanh thu hoạt động ủy thác đấu giá</v>
      </c>
      <c r="C20" s="264">
        <v>0</v>
      </c>
      <c r="D20" s="264">
        <v>0</v>
      </c>
      <c r="E20" s="264">
        <v>0</v>
      </c>
      <c r="F20" s="264">
        <v>0</v>
      </c>
      <c r="G20" s="264">
        <v>0</v>
      </c>
      <c r="H20" s="264">
        <v>0</v>
      </c>
      <c r="I20" s="264">
        <v>0</v>
      </c>
      <c r="J20" s="243">
        <v>0</v>
      </c>
    </row>
    <row r="21" spans="1:10" x14ac:dyDescent="0.2">
      <c r="A21">
        <v>16</v>
      </c>
      <c r="B21" s="23" t="str">
        <v>Doanh thu cho thuê tài sản, sử dụng thiết bị, sử dụng thông tin</v>
      </c>
      <c r="C21" s="264">
        <v>0</v>
      </c>
      <c r="D21" s="264">
        <v>0</v>
      </c>
      <c r="E21" s="264">
        <v>0</v>
      </c>
      <c r="F21" s="264">
        <v>0</v>
      </c>
      <c r="G21" s="264">
        <v>0</v>
      </c>
      <c r="H21" s="264">
        <v>0</v>
      </c>
      <c r="I21" s="264">
        <v>0</v>
      </c>
      <c r="J21" s="243">
        <v>0</v>
      </c>
    </row>
    <row r="22" spans="1:10" x14ac:dyDescent="0.2">
      <c r="A22">
        <v>17</v>
      </c>
      <c r="B22" s="23" t="str">
        <v>Thu từ dịch vụ tư vấn</v>
      </c>
      <c r="C22" s="264">
        <v>282427935378</v>
      </c>
      <c r="D22" s="264">
        <v>500160672622</v>
      </c>
      <c r="E22" s="264">
        <v>191262071011</v>
      </c>
      <c r="F22" s="264">
        <v>393129877342</v>
      </c>
      <c r="G22" s="264">
        <v>20143065000</v>
      </c>
      <c r="H22" s="264">
        <v>15237918803</v>
      </c>
      <c r="I22" s="264">
        <v>61171606474</v>
      </c>
      <c r="J22" s="243">
        <v>138691945001</v>
      </c>
    </row>
    <row r="23" spans="1:10" x14ac:dyDescent="0.2">
      <c r="A23">
        <v>18</v>
      </c>
      <c r="B23" s="23" t="str">
        <v>Doanh thu khác</v>
      </c>
      <c r="C23" s="264">
        <v>67138761119</v>
      </c>
      <c r="D23" s="264">
        <v>143654712850</v>
      </c>
      <c r="E23" s="264">
        <v>133027923259</v>
      </c>
      <c r="F23" s="264">
        <v>271383079003</v>
      </c>
      <c r="G23" s="264">
        <v>506953429575</v>
      </c>
      <c r="H23" s="264">
        <v>87693458486</v>
      </c>
      <c r="I23" s="264">
        <v>96888954625</v>
      </c>
      <c r="J23" s="243">
        <v>106878251097</v>
      </c>
    </row>
    <row r="24" spans="1:10" x14ac:dyDescent="0.2">
      <c r="A24">
        <v>19</v>
      </c>
      <c r="B24" s="23" t="str">
        <v>Các khoản giảm trừ doanh thu</v>
      </c>
      <c r="C24" s="264">
        <v>0</v>
      </c>
      <c r="D24" s="264">
        <v>0</v>
      </c>
      <c r="E24" s="264">
        <v>0</v>
      </c>
      <c r="F24" s="264">
        <v>0</v>
      </c>
      <c r="G24" s="264">
        <v>0</v>
      </c>
      <c r="H24" s="264">
        <v>0</v>
      </c>
      <c r="I24" s="264">
        <v>0</v>
      </c>
      <c r="J24" s="243">
        <v>0</v>
      </c>
    </row>
    <row r="25" spans="1:10" x14ac:dyDescent="0.2">
      <c r="A25">
        <v>20</v>
      </c>
      <c r="B25" s="23" t="str">
        <v>Doanh thu thuần</v>
      </c>
      <c r="C25" s="264">
        <v>1496490369809</v>
      </c>
      <c r="D25" s="264">
        <v>3092983686830</v>
      </c>
      <c r="E25" s="264">
        <v>3828459945194</v>
      </c>
      <c r="F25" s="264">
        <v>9518118459079</v>
      </c>
      <c r="G25" s="264">
        <v>8440762913975</v>
      </c>
      <c r="H25" s="264">
        <v>6373838274239</v>
      </c>
      <c r="I25" s="264">
        <v>6466321678945</v>
      </c>
      <c r="J25" s="243">
        <v>8260714445897</v>
      </c>
    </row>
    <row r="26" spans="1:10" x14ac:dyDescent="0.2">
      <c r="A26">
        <v>21</v>
      </c>
      <c r="B26" s="23" t="str">
        <v xml:space="preserve">Chi phí hoạt động kinh doanh chứng khoán  </v>
      </c>
      <c r="C26" s="264">
        <v>742277090953</v>
      </c>
      <c r="D26" s="264">
        <v>2218916256652</v>
      </c>
      <c r="E26" s="264">
        <v>2825668760527</v>
      </c>
      <c r="F26" s="264">
        <v>7829574423732</v>
      </c>
      <c r="G26" s="264">
        <v>6744030178688</v>
      </c>
      <c r="H26" s="264">
        <v>4560072542271</v>
      </c>
      <c r="I26" s="264">
        <v>2901842633681</v>
      </c>
      <c r="J26" s="243">
        <v>3321805611338</v>
      </c>
    </row>
    <row r="27" spans="1:10" x14ac:dyDescent="0.2">
      <c r="A27">
        <v>22</v>
      </c>
      <c r="B27" s="23" t="str">
        <v>Lỗ các tài sản tài chính ghi nhận thông qua lãi lỗ (FVTPL)</v>
      </c>
      <c r="C27" s="264">
        <v>493827270959</v>
      </c>
      <c r="D27" s="264">
        <v>1725511878375</v>
      </c>
      <c r="E27" s="264">
        <v>1983576470084</v>
      </c>
      <c r="F27" s="264">
        <v>4859010909684</v>
      </c>
      <c r="G27" s="264">
        <v>3838462179599</v>
      </c>
      <c r="H27" s="264">
        <v>1996623224267</v>
      </c>
      <c r="I27" s="264">
        <v>97041385620</v>
      </c>
      <c r="J27" s="243">
        <v>110984839310</v>
      </c>
    </row>
    <row r="28" spans="1:10" x14ac:dyDescent="0.2">
      <c r="A28">
        <v>23</v>
      </c>
      <c r="B28" s="23" t="str">
        <v>Lỗ bán các tài sản tài chính</v>
      </c>
      <c r="C28" s="264">
        <v>482398248748</v>
      </c>
      <c r="D28" s="264">
        <v>1708430379015</v>
      </c>
      <c r="E28" s="264">
        <v>1976648658164</v>
      </c>
      <c r="F28" s="264">
        <v>4841718340804</v>
      </c>
      <c r="G28" s="264">
        <v>3817826457444</v>
      </c>
      <c r="H28" s="264">
        <v>1987882235151</v>
      </c>
      <c r="I28" s="264">
        <v>51886024922</v>
      </c>
      <c r="J28" s="243">
        <v>26180175262</v>
      </c>
    </row>
    <row r="29" spans="1:10" x14ac:dyDescent="0.2">
      <c r="A29">
        <v>24</v>
      </c>
      <c r="B29" s="23" t="str">
        <v>Chênh lệch giảm đánh giá lại các TSTC thông qua lãi/lỗ</v>
      </c>
      <c r="C29" s="264">
        <v>11429022211</v>
      </c>
      <c r="D29" s="264">
        <v>17081499360</v>
      </c>
      <c r="E29" s="264">
        <v>6927811920</v>
      </c>
      <c r="F29" s="264">
        <v>17292568880</v>
      </c>
      <c r="G29" s="264">
        <v>20635722155</v>
      </c>
      <c r="H29" s="264">
        <v>8727260857</v>
      </c>
      <c r="I29" s="264">
        <v>45155360698</v>
      </c>
      <c r="J29" s="243">
        <v>82863440012</v>
      </c>
    </row>
    <row r="30" spans="1:10" x14ac:dyDescent="0.2">
      <c r="A30">
        <v>25</v>
      </c>
      <c r="B30" s="23" t="str">
        <v>Chi phí giao dịch mua các tài sản tài chính FVTPL</v>
      </c>
      <c r="C30" s="23">
        <v>0</v>
      </c>
      <c r="D30" s="23">
        <v>0</v>
      </c>
      <c r="E30" s="23">
        <v>0</v>
      </c>
      <c r="F30" s="23">
        <v>0</v>
      </c>
      <c r="G30" s="23">
        <v>0</v>
      </c>
      <c r="H30" s="23">
        <v>13728259</v>
      </c>
      <c r="I30" s="23">
        <v>0</v>
      </c>
      <c r="J30" s="23">
        <v>1941224036</v>
      </c>
    </row>
    <row r="31" spans="1:10" x14ac:dyDescent="0.2">
      <c r="A31">
        <v>26</v>
      </c>
      <c r="B31" s="23" t="str">
        <v>Lỗ các khoản đầu tư nắm giữ đến ngày đáo hạn (HTM)</v>
      </c>
      <c r="C31" s="23">
        <v>0</v>
      </c>
      <c r="D31" s="23">
        <v>0</v>
      </c>
      <c r="E31" s="23">
        <v>0</v>
      </c>
      <c r="F31" s="23">
        <v>0</v>
      </c>
      <c r="G31" s="23">
        <v>0</v>
      </c>
      <c r="H31" s="23">
        <v>0</v>
      </c>
      <c r="I31" s="23">
        <v>0</v>
      </c>
      <c r="J31" s="23">
        <v>0</v>
      </c>
    </row>
    <row r="32" spans="1:10" x14ac:dyDescent="0.2">
      <c r="A32">
        <v>27</v>
      </c>
      <c r="B32" s="23" t="str">
        <v>Chi phí lãi vay, lỗ từ các khoản cho vay và phải thu</v>
      </c>
      <c r="C32" s="115">
        <v>0</v>
      </c>
      <c r="D32" s="115">
        <v>0</v>
      </c>
      <c r="E32" s="115">
        <v>0</v>
      </c>
      <c r="F32" s="115">
        <v>0</v>
      </c>
      <c r="G32" s="115">
        <v>0</v>
      </c>
      <c r="H32" s="115">
        <v>0</v>
      </c>
      <c r="I32" s="23">
        <v>0</v>
      </c>
      <c r="J32" s="23">
        <v>0</v>
      </c>
    </row>
    <row r="33" spans="1:10" x14ac:dyDescent="0.2">
      <c r="A33">
        <v>28</v>
      </c>
      <c r="B33" s="23" t="str">
        <v>Lỗ bán các tài sản tài chính sẵn sàng để bán (AFS)</v>
      </c>
      <c r="C33" s="23">
        <v>0</v>
      </c>
      <c r="D33" s="23">
        <v>0</v>
      </c>
      <c r="E33" s="23">
        <v>0</v>
      </c>
      <c r="F33" s="23">
        <v>0</v>
      </c>
      <c r="G33" s="23">
        <v>0</v>
      </c>
      <c r="H33" s="23">
        <v>0</v>
      </c>
      <c r="I33" s="23">
        <v>0</v>
      </c>
      <c r="J33" s="23">
        <v>0</v>
      </c>
    </row>
    <row r="34" spans="1:10" x14ac:dyDescent="0.2">
      <c r="A34">
        <v>29</v>
      </c>
      <c r="B34" s="23" t="str">
        <v>Cphí dự phòng TSTC, xử lý tổn thất các khoản phải thu khó đòi là lỗ suy giảm TSTC và CP đi vay</v>
      </c>
      <c r="C34" s="23">
        <v>-8885084254</v>
      </c>
      <c r="D34" s="23">
        <v>0</v>
      </c>
      <c r="E34" s="23">
        <v>0</v>
      </c>
      <c r="F34" s="23">
        <v>0</v>
      </c>
      <c r="G34" s="23">
        <v>0</v>
      </c>
      <c r="H34" s="23">
        <v>0</v>
      </c>
      <c r="I34" s="23">
        <v>0</v>
      </c>
      <c r="J34" s="23">
        <v>0</v>
      </c>
    </row>
    <row r="35" spans="1:10" x14ac:dyDescent="0.2">
      <c r="A35">
        <v>30</v>
      </c>
      <c r="B35" s="23" t="str">
        <v>Lỗ từ các tài sản tài chính phái sinh phòng ngừa rủi ro</v>
      </c>
      <c r="C35" s="23">
        <v>0</v>
      </c>
      <c r="D35" s="23">
        <v>0</v>
      </c>
      <c r="E35" s="23">
        <v>0</v>
      </c>
      <c r="F35" s="23">
        <v>0</v>
      </c>
      <c r="G35" s="23">
        <v>0</v>
      </c>
      <c r="H35" s="23">
        <v>0</v>
      </c>
      <c r="I35" s="23">
        <v>0</v>
      </c>
      <c r="J35" s="23">
        <v>0</v>
      </c>
    </row>
    <row r="36" spans="1:10" x14ac:dyDescent="0.2">
      <c r="A36">
        <v>31</v>
      </c>
      <c r="B36" s="23" t="str">
        <v>Chi phí hoạt động tự doanh</v>
      </c>
      <c r="C36" s="23">
        <v>106154247586</v>
      </c>
      <c r="D36" s="23">
        <v>119915864028</v>
      </c>
      <c r="E36" s="23">
        <v>195086075940</v>
      </c>
      <c r="F36" s="23">
        <v>347317625752</v>
      </c>
      <c r="G36" s="23">
        <v>404955553211</v>
      </c>
      <c r="H36" s="23">
        <v>219410065626</v>
      </c>
      <c r="I36" s="23">
        <v>94581759064</v>
      </c>
      <c r="J36" s="23">
        <v>71347252265</v>
      </c>
    </row>
    <row r="37" spans="1:10" x14ac:dyDescent="0.2">
      <c r="A37">
        <v>32</v>
      </c>
      <c r="B37" s="23" t="str">
        <v>Chi phí môi giới chứng khoán</v>
      </c>
      <c r="C37" s="23">
        <v>130403420480</v>
      </c>
      <c r="D37" s="23">
        <v>262194001902</v>
      </c>
      <c r="E37" s="23">
        <v>572018086484</v>
      </c>
      <c r="F37" s="23">
        <v>2483823686113</v>
      </c>
      <c r="G37" s="23">
        <v>2425102808333</v>
      </c>
      <c r="H37" s="23">
        <v>2254114227486</v>
      </c>
      <c r="I37" s="23">
        <v>2618121015339</v>
      </c>
      <c r="J37" s="23">
        <v>3080063498425</v>
      </c>
    </row>
    <row r="38" spans="1:10" x14ac:dyDescent="0.2">
      <c r="A38">
        <v>33</v>
      </c>
      <c r="B38" s="23" t="str">
        <v>Chi phí hoạt động bảo lãnh, đại lý phát hành chứng khoán</v>
      </c>
      <c r="C38" s="23">
        <v>100027500</v>
      </c>
      <c r="D38" s="23">
        <v>0</v>
      </c>
      <c r="E38" s="23">
        <v>0</v>
      </c>
      <c r="F38" s="23">
        <v>0</v>
      </c>
      <c r="G38" s="23">
        <v>0</v>
      </c>
      <c r="H38" s="23">
        <v>0</v>
      </c>
      <c r="I38" s="23">
        <v>0</v>
      </c>
      <c r="J38" s="23">
        <v>0</v>
      </c>
    </row>
    <row r="39" spans="1:10" x14ac:dyDescent="0.2">
      <c r="A39">
        <v>34</v>
      </c>
      <c r="B39" s="23" t="str">
        <v>Chi phí tư vấn đầu tư chứng khoán</v>
      </c>
      <c r="C39" s="23">
        <v>4024655653</v>
      </c>
      <c r="D39" s="23">
        <v>47711465595</v>
      </c>
      <c r="E39" s="23">
        <v>19092488347</v>
      </c>
      <c r="F39" s="23">
        <v>0</v>
      </c>
      <c r="G39" s="23">
        <v>0</v>
      </c>
      <c r="H39" s="23">
        <v>0</v>
      </c>
      <c r="I39" s="23">
        <v>0</v>
      </c>
      <c r="J39" s="23">
        <v>0</v>
      </c>
    </row>
    <row r="40" spans="1:10" x14ac:dyDescent="0.2">
      <c r="A40">
        <v>35</v>
      </c>
      <c r="B40" s="23" t="str">
        <v>Chí phí hoạt động đấu giá, ủy thác</v>
      </c>
      <c r="C40" s="23">
        <v>0</v>
      </c>
      <c r="D40" s="23">
        <v>0</v>
      </c>
      <c r="E40" s="23">
        <v>0</v>
      </c>
      <c r="F40" s="23">
        <v>0</v>
      </c>
      <c r="G40" s="23">
        <v>0</v>
      </c>
      <c r="H40" s="23">
        <v>0</v>
      </c>
      <c r="I40" s="23">
        <v>0</v>
      </c>
      <c r="J40" s="23">
        <v>0</v>
      </c>
    </row>
    <row r="41" spans="1:10" x14ac:dyDescent="0.2">
      <c r="A41">
        <v>36</v>
      </c>
      <c r="B41" s="23" t="str">
        <v>Chi phí lưu ký chứng khoán</v>
      </c>
      <c r="C41" s="23">
        <v>7310331181</v>
      </c>
      <c r="D41" s="23">
        <v>34737852856</v>
      </c>
      <c r="E41" s="23">
        <v>42101943945</v>
      </c>
      <c r="F41" s="23">
        <v>62086599488</v>
      </c>
      <c r="G41" s="23">
        <v>64136108099</v>
      </c>
      <c r="H41" s="23">
        <v>77762416620</v>
      </c>
      <c r="I41" s="23">
        <v>76772528100</v>
      </c>
      <c r="J41" s="23">
        <v>45827351840</v>
      </c>
    </row>
    <row r="42" spans="1:10" x14ac:dyDescent="0.2">
      <c r="A42">
        <v>37</v>
      </c>
      <c r="B42" s="23" t="str">
        <v>Chi phí hoạt động tư vấn tài chính</v>
      </c>
      <c r="C42" s="23">
        <v>7443361958</v>
      </c>
      <c r="D42" s="23">
        <v>8745257600</v>
      </c>
      <c r="E42" s="23">
        <v>6874657682</v>
      </c>
      <c r="F42" s="23">
        <v>77325342710</v>
      </c>
      <c r="G42" s="23">
        <v>11373529446</v>
      </c>
      <c r="H42" s="23">
        <v>12162608272</v>
      </c>
      <c r="I42" s="23">
        <v>15325945558</v>
      </c>
      <c r="J42" s="23">
        <v>13582669498</v>
      </c>
    </row>
    <row r="43" spans="1:10" x14ac:dyDescent="0.2">
      <c r="A43">
        <v>38</v>
      </c>
      <c r="B43" s="23" t="str">
        <v>Chi phí khác của HĐKD</v>
      </c>
      <c r="C43" s="23">
        <v>1898859890</v>
      </c>
      <c r="D43" s="23">
        <v>20099936296</v>
      </c>
      <c r="E43" s="23">
        <v>6919038045</v>
      </c>
      <c r="F43" s="23">
        <v>10259985</v>
      </c>
      <c r="G43" s="23">
        <v>0</v>
      </c>
      <c r="H43" s="23">
        <v>0</v>
      </c>
      <c r="I43" s="23">
        <v>0</v>
      </c>
      <c r="J43" s="23">
        <v>0</v>
      </c>
    </row>
    <row r="44" spans="1:10" x14ac:dyDescent="0.2">
      <c r="A44">
        <v>39</v>
      </c>
      <c r="B44" s="23" t="str">
        <v>Trong đó: Chi phí sửa lỗi giao dịch chứng khoán, lỗi khác</v>
      </c>
      <c r="C44" s="23">
        <v>0</v>
      </c>
      <c r="D44" s="23">
        <v>0</v>
      </c>
      <c r="E44" s="23">
        <v>0</v>
      </c>
      <c r="F44" s="23">
        <v>0</v>
      </c>
      <c r="G44" s="23">
        <v>0</v>
      </c>
      <c r="H44" s="23">
        <v>0</v>
      </c>
      <c r="I44" s="23">
        <v>0</v>
      </c>
      <c r="J44" s="23">
        <v>0</v>
      </c>
    </row>
    <row r="45" spans="1:10" x14ac:dyDescent="0.2">
      <c r="A45">
        <v>40</v>
      </c>
      <c r="B45" s="23" t="str">
        <v>Lợi nhuận gộp</v>
      </c>
      <c r="C45" s="23">
        <v>754213278856</v>
      </c>
      <c r="D45" s="23">
        <v>874067430178</v>
      </c>
      <c r="E45" s="23">
        <v>1002791184667</v>
      </c>
      <c r="F45" s="23">
        <v>1688544035347</v>
      </c>
      <c r="G45" s="23">
        <v>1696732735287</v>
      </c>
      <c r="H45" s="23">
        <v>1813765731968</v>
      </c>
      <c r="I45" s="23">
        <v>3564479045264</v>
      </c>
      <c r="J45" s="23">
        <v>4938908834559</v>
      </c>
    </row>
    <row r="46" spans="1:10" x14ac:dyDescent="0.2">
      <c r="A46">
        <v>41</v>
      </c>
      <c r="B46" s="23" t="str">
        <v>Doanh thu hoạt động tài chính</v>
      </c>
      <c r="C46" s="23">
        <v>30187903616</v>
      </c>
      <c r="D46" s="23">
        <v>81032700427</v>
      </c>
      <c r="E46" s="23">
        <v>70775368277</v>
      </c>
      <c r="F46" s="23">
        <v>246806227242</v>
      </c>
      <c r="G46" s="23">
        <v>227811727229</v>
      </c>
      <c r="H46" s="23">
        <v>272514279562</v>
      </c>
      <c r="I46" s="23">
        <v>619752868871</v>
      </c>
      <c r="J46" s="23">
        <v>1058283383754</v>
      </c>
    </row>
    <row r="47" spans="1:10" x14ac:dyDescent="0.2">
      <c r="A47">
        <v>42</v>
      </c>
      <c r="B47" s="23" t="str">
        <v>Chênh lệch lãi tỷ giá hối đoái đã và chưa thực hiện</v>
      </c>
      <c r="C47" s="23">
        <v>342770234</v>
      </c>
      <c r="D47" s="23">
        <v>62320313</v>
      </c>
      <c r="E47" s="23">
        <v>148846</v>
      </c>
      <c r="F47" s="23">
        <v>0</v>
      </c>
      <c r="G47" s="23">
        <v>531857</v>
      </c>
      <c r="H47" s="23">
        <v>1014899</v>
      </c>
      <c r="I47" s="23">
        <v>697743</v>
      </c>
      <c r="J47" s="23">
        <v>1020060</v>
      </c>
    </row>
    <row r="48" spans="1:10" x14ac:dyDescent="0.2">
      <c r="A48">
        <v>43</v>
      </c>
      <c r="B48" s="23" t="str">
        <v>Doanh thu, dự thu cổ tức, lãi tiền gửi không cố định phát sinh trong kỳ</v>
      </c>
      <c r="C48" s="23">
        <v>4383666694</v>
      </c>
      <c r="D48" s="23">
        <v>11812691205</v>
      </c>
      <c r="E48" s="23">
        <v>7567253011</v>
      </c>
      <c r="F48" s="23">
        <v>22038252686</v>
      </c>
      <c r="G48" s="23">
        <v>20129926605</v>
      </c>
      <c r="H48" s="23">
        <v>44298655622</v>
      </c>
      <c r="I48" s="23">
        <v>58873249370</v>
      </c>
      <c r="J48" s="23">
        <v>84573474466</v>
      </c>
    </row>
    <row r="49" spans="1:10" x14ac:dyDescent="0.2">
      <c r="A49">
        <v>44</v>
      </c>
      <c r="B49" s="23" t="str">
        <v>Lãi bán, thanh lý các khoản đầu tư vào công ty con, liên kết, liên doanh</v>
      </c>
      <c r="C49" s="23">
        <v>0</v>
      </c>
      <c r="D49" s="23">
        <v>0</v>
      </c>
      <c r="E49" s="23">
        <v>0</v>
      </c>
      <c r="F49" s="23">
        <v>0</v>
      </c>
      <c r="G49" s="23">
        <v>11956619178</v>
      </c>
      <c r="H49" s="23">
        <v>0</v>
      </c>
      <c r="I49" s="23">
        <v>0</v>
      </c>
      <c r="J49" s="23">
        <v>2475000000</v>
      </c>
    </row>
    <row r="50" spans="1:10" x14ac:dyDescent="0.2">
      <c r="A50">
        <v>45</v>
      </c>
      <c r="B50" s="23" t="str">
        <v>Doanh thu khác về đầu tư</v>
      </c>
      <c r="C50" s="23">
        <v>25461466688</v>
      </c>
      <c r="D50" s="23">
        <v>69157688909</v>
      </c>
      <c r="E50" s="23">
        <v>63207966420</v>
      </c>
      <c r="F50" s="23">
        <v>224767974556</v>
      </c>
      <c r="G50" s="23">
        <v>195724649589</v>
      </c>
      <c r="H50" s="23">
        <v>228214609041</v>
      </c>
      <c r="I50" s="23">
        <v>560878921758</v>
      </c>
      <c r="J50" s="23">
        <v>971233889228</v>
      </c>
    </row>
    <row r="51" spans="1:10" x14ac:dyDescent="0.2">
      <c r="A51">
        <v>46</v>
      </c>
      <c r="B51" s="23" t="str">
        <v>Chi phí tài chính</v>
      </c>
      <c r="C51" s="23">
        <v>337467475844</v>
      </c>
      <c r="D51" s="23">
        <v>474402171370</v>
      </c>
      <c r="E51" s="23">
        <v>384401141686</v>
      </c>
      <c r="F51" s="23">
        <v>697616549911</v>
      </c>
      <c r="G51" s="23">
        <v>592655306460</v>
      </c>
      <c r="H51" s="23">
        <v>910150649139</v>
      </c>
      <c r="I51" s="23">
        <v>591766392520</v>
      </c>
      <c r="J51" s="23">
        <v>992243262773</v>
      </c>
    </row>
    <row r="52" spans="1:10" x14ac:dyDescent="0.2">
      <c r="A52">
        <v>47</v>
      </c>
      <c r="B52" s="23" t="str">
        <v>Chênh lệch lỗ tỷ giá hối đoái đã và chưa thực hiện</v>
      </c>
      <c r="C52" s="23">
        <v>527926443</v>
      </c>
      <c r="D52" s="23">
        <v>130548338</v>
      </c>
      <c r="E52" s="23">
        <v>219305</v>
      </c>
      <c r="F52" s="23">
        <v>207686</v>
      </c>
      <c r="G52" s="23">
        <v>0</v>
      </c>
      <c r="H52" s="23">
        <v>0</v>
      </c>
      <c r="I52" s="23">
        <v>0</v>
      </c>
      <c r="J52" s="23">
        <v>0</v>
      </c>
    </row>
    <row r="53" spans="1:10" x14ac:dyDescent="0.2">
      <c r="A53">
        <v>48</v>
      </c>
      <c r="B53" s="23" t="str">
        <v>Chi phí lãi vay</v>
      </c>
      <c r="C53" s="23">
        <v>236903150640</v>
      </c>
      <c r="D53" s="23">
        <v>407099333519</v>
      </c>
      <c r="E53" s="23">
        <v>343999613860</v>
      </c>
      <c r="F53" s="23">
        <v>698198181225</v>
      </c>
      <c r="G53" s="23">
        <v>560980720850</v>
      </c>
      <c r="H53" s="23">
        <v>831677344771</v>
      </c>
      <c r="I53" s="23">
        <v>576247663730</v>
      </c>
      <c r="J53" s="23">
        <v>985023012500</v>
      </c>
    </row>
    <row r="54" spans="1:10" x14ac:dyDescent="0.2">
      <c r="A54">
        <v>49</v>
      </c>
      <c r="B54" s="23" t="str">
        <v>Lỗ bán, thanh lý các khoản đầu tư vào công ty con, liên kết, liên doanh</v>
      </c>
      <c r="C54" s="23">
        <v>0</v>
      </c>
      <c r="D54" s="23">
        <v>0</v>
      </c>
      <c r="E54" s="23">
        <v>0</v>
      </c>
      <c r="F54" s="23">
        <v>0</v>
      </c>
      <c r="G54" s="23">
        <v>0</v>
      </c>
      <c r="H54" s="23">
        <v>0</v>
      </c>
      <c r="I54" s="23">
        <v>0</v>
      </c>
      <c r="J54" s="23">
        <v>0</v>
      </c>
    </row>
    <row r="55" spans="1:10" x14ac:dyDescent="0.2">
      <c r="A55">
        <v>50</v>
      </c>
      <c r="B55" s="23" t="str">
        <v>Chi phí dự phòng suy giảm giá trị các khoản đầu tư tài chính dài hạn</v>
      </c>
      <c r="C55" s="23">
        <v>0</v>
      </c>
      <c r="D55" s="23">
        <v>0</v>
      </c>
      <c r="E55" s="23">
        <v>9261000000</v>
      </c>
      <c r="F55" s="23">
        <v>-581839000</v>
      </c>
      <c r="G55" s="23">
        <v>-6702794726</v>
      </c>
      <c r="H55" s="23">
        <v>1768508043</v>
      </c>
      <c r="I55" s="23">
        <v>1152497367</v>
      </c>
      <c r="J55" s="23">
        <v>0</v>
      </c>
    </row>
    <row r="56" spans="1:10" x14ac:dyDescent="0.2">
      <c r="A56">
        <v>51</v>
      </c>
      <c r="B56" s="23" t="str">
        <v>Chi phí đầu tư khác</v>
      </c>
      <c r="C56" s="23">
        <v>100036398761</v>
      </c>
      <c r="D56" s="23">
        <v>67172289513</v>
      </c>
      <c r="E56" s="23">
        <v>31140308521</v>
      </c>
      <c r="F56" s="23">
        <v>0</v>
      </c>
      <c r="G56" s="23">
        <v>38377380336</v>
      </c>
      <c r="H56" s="23">
        <v>76704796325</v>
      </c>
      <c r="I56" s="23">
        <v>14366231423</v>
      </c>
      <c r="J56" s="23">
        <v>7220250273</v>
      </c>
    </row>
    <row r="57" spans="1:10" x14ac:dyDescent="0.2">
      <c r="A57">
        <v>52</v>
      </c>
      <c r="B57" s="23" t="str">
        <v>Lợi nhuận hoặc lỗ trong công ty liên kết</v>
      </c>
      <c r="C57" s="23">
        <v>0</v>
      </c>
      <c r="D57" s="23">
        <v>0</v>
      </c>
      <c r="E57" s="23">
        <v>0</v>
      </c>
      <c r="F57" s="23">
        <v>0</v>
      </c>
      <c r="G57" s="23">
        <v>0</v>
      </c>
      <c r="H57" s="23">
        <v>0</v>
      </c>
      <c r="I57" s="23">
        <v>0</v>
      </c>
      <c r="J57" s="23">
        <v>0</v>
      </c>
    </row>
    <row r="58" spans="1:10" x14ac:dyDescent="0.2">
      <c r="A58">
        <v>53</v>
      </c>
      <c r="B58" s="23" t="str">
        <v>Chi phí bán hàng</v>
      </c>
      <c r="C58" s="23">
        <v>0</v>
      </c>
      <c r="D58" s="23">
        <v>0</v>
      </c>
      <c r="E58" s="23">
        <v>0</v>
      </c>
      <c r="F58" s="23">
        <v>0</v>
      </c>
      <c r="G58" s="23">
        <v>0</v>
      </c>
      <c r="H58" s="23">
        <v>0</v>
      </c>
      <c r="I58" s="23">
        <v>0</v>
      </c>
      <c r="J58" s="23">
        <v>0</v>
      </c>
    </row>
    <row r="59" spans="1:10" x14ac:dyDescent="0.2">
      <c r="A59">
        <v>54</v>
      </c>
      <c r="B59" s="23" t="str">
        <v>Chi phí quản lý doanh nghiệp</v>
      </c>
      <c r="C59" s="23">
        <v>87828919927</v>
      </c>
      <c r="D59" s="23">
        <v>116322679960</v>
      </c>
      <c r="E59" s="23">
        <v>164774504669</v>
      </c>
      <c r="F59" s="23">
        <v>277728383026</v>
      </c>
      <c r="G59" s="23">
        <v>322516731893</v>
      </c>
      <c r="H59" s="23">
        <v>339559302551</v>
      </c>
      <c r="I59" s="23">
        <v>438099998341</v>
      </c>
      <c r="J59" s="23">
        <v>539511743624</v>
      </c>
    </row>
    <row r="60" spans="1:10" x14ac:dyDescent="0.2">
      <c r="A60">
        <v>55</v>
      </c>
      <c r="B60" s="23" t="str">
        <v>Lợi nhuận thuần từ hoạt động kinh doanh</v>
      </c>
      <c r="C60" s="23">
        <v>359104786701</v>
      </c>
      <c r="D60" s="23">
        <v>364375279275</v>
      </c>
      <c r="E60" s="23">
        <v>524390906589</v>
      </c>
      <c r="F60" s="23">
        <v>960005329652</v>
      </c>
      <c r="G60" s="23">
        <v>1009372424163</v>
      </c>
      <c r="H60" s="23">
        <v>836570059840</v>
      </c>
      <c r="I60" s="23">
        <v>3154365523274</v>
      </c>
      <c r="J60" s="23">
        <v>4465437211916</v>
      </c>
    </row>
    <row r="61" spans="1:10" x14ac:dyDescent="0.2">
      <c r="A61">
        <v>56</v>
      </c>
      <c r="B61" s="23" t="str">
        <v>Thu nhập khác</v>
      </c>
      <c r="C61" s="23">
        <v>175613313683</v>
      </c>
      <c r="D61" s="23">
        <v>197203393766</v>
      </c>
      <c r="E61" s="23">
        <v>109662538540</v>
      </c>
      <c r="F61" s="23">
        <v>38420041847</v>
      </c>
      <c r="G61" s="23">
        <v>2868474473</v>
      </c>
      <c r="H61" s="23">
        <v>439691956</v>
      </c>
      <c r="I61" s="23">
        <v>724797872</v>
      </c>
      <c r="J61" s="23">
        <v>6766129644</v>
      </c>
    </row>
    <row r="62" spans="1:10" x14ac:dyDescent="0.2">
      <c r="A62">
        <v>57</v>
      </c>
      <c r="B62" s="23" t="str">
        <v>Chi phí khác</v>
      </c>
      <c r="C62" s="23">
        <v>20643866897</v>
      </c>
      <c r="D62" s="23">
        <v>3205817462</v>
      </c>
      <c r="E62" s="23">
        <v>9536641753</v>
      </c>
      <c r="F62" s="23">
        <v>1658135407</v>
      </c>
      <c r="G62" s="23">
        <v>554170842</v>
      </c>
      <c r="H62" s="23">
        <v>3199020010</v>
      </c>
      <c r="I62" s="23">
        <v>1326950411</v>
      </c>
      <c r="J62" s="23">
        <v>796927052</v>
      </c>
    </row>
    <row r="63" spans="1:10" x14ac:dyDescent="0.2">
      <c r="A63">
        <v>58</v>
      </c>
      <c r="B63" s="23" t="str">
        <v>Lợi nhuận khác</v>
      </c>
      <c r="C63" s="23">
        <v>154969446786</v>
      </c>
      <c r="D63" s="23">
        <v>193997576304</v>
      </c>
      <c r="E63" s="23">
        <v>100125896787</v>
      </c>
      <c r="F63" s="23">
        <v>36761906440</v>
      </c>
      <c r="G63" s="23">
        <v>2314303631</v>
      </c>
      <c r="H63" s="23">
        <v>-2759328054</v>
      </c>
      <c r="I63" s="23">
        <v>-602152539</v>
      </c>
      <c r="J63" s="23">
        <v>5969202592</v>
      </c>
    </row>
    <row r="64" spans="1:10" x14ac:dyDescent="0.2">
      <c r="A64">
        <v>59</v>
      </c>
      <c r="B64" s="23" t="str">
        <v>Lợi nhuận hoặc lỗ trong công ty liên kết (trước 2015)</v>
      </c>
      <c r="C64" s="23">
        <v>0</v>
      </c>
      <c r="D64" s="23">
        <v>0</v>
      </c>
      <c r="E64" s="23">
        <v>0</v>
      </c>
      <c r="F64" s="23">
        <v>0</v>
      </c>
      <c r="G64" s="23">
        <v>0</v>
      </c>
      <c r="H64" s="23">
        <v>0</v>
      </c>
      <c r="I64" s="23">
        <v>0</v>
      </c>
      <c r="J64" s="23">
        <v>0</v>
      </c>
    </row>
    <row r="65" spans="1:10" x14ac:dyDescent="0.2">
      <c r="A65">
        <v>60</v>
      </c>
      <c r="B65" s="23" t="str">
        <v>Lợi nhuận kế toán trước thuế</v>
      </c>
      <c r="C65" s="23">
        <v>514074233487</v>
      </c>
      <c r="D65" s="23">
        <v>558372855579</v>
      </c>
      <c r="E65" s="23">
        <v>624516803376</v>
      </c>
      <c r="F65" s="23">
        <v>996767236092</v>
      </c>
      <c r="G65" s="23">
        <v>1011686727794</v>
      </c>
      <c r="H65" s="23">
        <v>833810731786</v>
      </c>
      <c r="I65" s="23">
        <v>3153763370735</v>
      </c>
      <c r="J65" s="23">
        <v>4471406414508</v>
      </c>
    </row>
    <row r="66" spans="1:10" x14ac:dyDescent="0.2">
      <c r="A66">
        <v>61</v>
      </c>
      <c r="B66" s="23" t="str">
        <v>Lợi nhuận trước thuế đã thực hiện</v>
      </c>
      <c r="C66" s="23">
        <v>510230815263</v>
      </c>
      <c r="D66" s="23">
        <v>569316453659</v>
      </c>
      <c r="E66" s="23">
        <v>613674717539</v>
      </c>
      <c r="F66" s="23">
        <v>989204086230</v>
      </c>
      <c r="G66" s="23">
        <v>1022545530435</v>
      </c>
      <c r="H66" s="23">
        <v>7172344602</v>
      </c>
      <c r="I66" s="23">
        <v>3168086310042</v>
      </c>
      <c r="J66" s="23">
        <v>4455774262041</v>
      </c>
    </row>
    <row r="67" spans="1:10" x14ac:dyDescent="0.2">
      <c r="A67">
        <v>62</v>
      </c>
      <c r="B67" s="23" t="str">
        <v>Lợi nhuận trước thuế chưa thực hiện</v>
      </c>
      <c r="C67" s="23">
        <v>3843418224</v>
      </c>
      <c r="D67" s="23">
        <v>-10943598080</v>
      </c>
      <c r="E67" s="23">
        <v>10842085837</v>
      </c>
      <c r="F67" s="23">
        <v>7563149862</v>
      </c>
      <c r="G67" s="23">
        <v>-10858802641</v>
      </c>
      <c r="H67" s="23">
        <v>826638387184</v>
      </c>
      <c r="I67" s="23">
        <v>-14322939307</v>
      </c>
      <c r="J67" s="23">
        <v>15632152467</v>
      </c>
    </row>
    <row r="68" spans="1:10" x14ac:dyDescent="0.2">
      <c r="A68">
        <v>63</v>
      </c>
      <c r="B68" s="23" t="str">
        <v>Chi phí thuế TNDN</v>
      </c>
      <c r="C68" s="23">
        <v>104447615401</v>
      </c>
      <c r="D68" s="23">
        <v>114070152497</v>
      </c>
      <c r="E68" s="23">
        <v>121920319733</v>
      </c>
      <c r="F68" s="23">
        <v>199650414043</v>
      </c>
      <c r="G68" s="23">
        <v>205364759741</v>
      </c>
      <c r="H68" s="23">
        <v>166490815303</v>
      </c>
      <c r="I68" s="23">
        <v>635000958840</v>
      </c>
      <c r="J68" s="23">
        <v>892743627593</v>
      </c>
    </row>
    <row r="69" spans="1:10" x14ac:dyDescent="0.2">
      <c r="A69">
        <v>64</v>
      </c>
      <c r="B69" s="23" t="str">
        <v>Chi phí thuế TNDN hiện hành</v>
      </c>
      <c r="C69" s="23">
        <v>104447615401</v>
      </c>
      <c r="D69" s="23">
        <v>114070152497</v>
      </c>
      <c r="E69" s="23">
        <v>121920319733</v>
      </c>
      <c r="F69" s="23">
        <v>199650414043</v>
      </c>
      <c r="G69" s="23">
        <v>205364759741</v>
      </c>
      <c r="H69" s="23">
        <v>166490815303</v>
      </c>
      <c r="I69" s="23">
        <v>635000958840</v>
      </c>
      <c r="J69" s="23">
        <v>892743627593</v>
      </c>
    </row>
    <row r="70" spans="1:10" x14ac:dyDescent="0.2">
      <c r="A70">
        <v>65</v>
      </c>
      <c r="B70" s="23" t="str">
        <v>Chi phí thuế TNDN hoãn lại</v>
      </c>
      <c r="C70" s="23">
        <v>0</v>
      </c>
      <c r="D70" s="23">
        <v>0</v>
      </c>
      <c r="E70" s="23">
        <v>0</v>
      </c>
      <c r="F70" s="23">
        <v>0</v>
      </c>
      <c r="G70" s="23">
        <v>0</v>
      </c>
      <c r="H70" s="23">
        <v>0</v>
      </c>
      <c r="I70" s="23">
        <v>0</v>
      </c>
      <c r="J70" s="23">
        <v>0</v>
      </c>
    </row>
    <row r="71" spans="1:10" x14ac:dyDescent="0.2">
      <c r="A71">
        <v>66</v>
      </c>
      <c r="B71" s="23" t="str">
        <v>Lợi nhuận sau thuế thu nhập doanh nghiệp</v>
      </c>
      <c r="C71" s="23">
        <v>409626618086</v>
      </c>
      <c r="D71" s="23">
        <v>444302703082</v>
      </c>
      <c r="E71" s="23">
        <v>502596483643</v>
      </c>
      <c r="F71" s="23">
        <v>797116822049</v>
      </c>
      <c r="G71" s="23">
        <v>806321968053</v>
      </c>
      <c r="H71" s="23">
        <v>667319916483</v>
      </c>
      <c r="I71" s="23">
        <v>2518762411895</v>
      </c>
      <c r="J71" s="23">
        <v>3578662786915</v>
      </c>
    </row>
    <row r="72" spans="1:10" x14ac:dyDescent="0.2">
      <c r="A72">
        <v>67</v>
      </c>
      <c r="B72" s="23" t="str">
        <v>Lợi ích của cổ đông thiểu số</v>
      </c>
      <c r="C72" s="23">
        <v>0</v>
      </c>
      <c r="D72" s="23">
        <v>0</v>
      </c>
      <c r="E72" s="23">
        <v>0</v>
      </c>
      <c r="F72" s="23">
        <v>0</v>
      </c>
      <c r="G72" s="23">
        <v>0</v>
      </c>
      <c r="H72" s="23">
        <v>0</v>
      </c>
      <c r="I72" s="23">
        <v>0</v>
      </c>
      <c r="J72" s="23">
        <v>0</v>
      </c>
    </row>
    <row r="73" spans="1:10" x14ac:dyDescent="0.2">
      <c r="A73">
        <v>68</v>
      </c>
      <c r="B73" s="23" t="str">
        <v>LNST trích các Quỹ dự trữ điều lệ, Dự phòng TC và rủi ro nghề nghiệp theo quy định cty</v>
      </c>
      <c r="C73" s="23">
        <v>0</v>
      </c>
      <c r="D73" s="23">
        <v>0</v>
      </c>
      <c r="E73" s="23">
        <v>0</v>
      </c>
      <c r="F73" s="23">
        <v>0</v>
      </c>
      <c r="G73" s="23">
        <v>0</v>
      </c>
      <c r="H73" s="23">
        <v>0</v>
      </c>
      <c r="I73" s="23">
        <v>0</v>
      </c>
      <c r="J73" s="23">
        <v>0</v>
      </c>
    </row>
    <row r="74" spans="1:10" x14ac:dyDescent="0.2">
      <c r="A74">
        <v>69</v>
      </c>
      <c r="B74" s="23" t="str">
        <v>Lợi nhuận sau thuế của Công ty mẹ</v>
      </c>
      <c r="C74" s="23">
        <v>409626618086</v>
      </c>
      <c r="D74" s="23">
        <v>444302703082</v>
      </c>
      <c r="E74" s="23">
        <v>502596483643</v>
      </c>
      <c r="F74" s="23">
        <v>797116822049</v>
      </c>
      <c r="G74" s="23">
        <v>806321968053</v>
      </c>
      <c r="H74" s="23">
        <v>667319916483</v>
      </c>
      <c r="I74" s="23">
        <v>2518762411895</v>
      </c>
      <c r="J74" s="23">
        <v>3578662786915</v>
      </c>
    </row>
    <row r="75" spans="1:10" x14ac:dyDescent="0.2">
      <c r="A75">
        <v>70</v>
      </c>
      <c r="B75" s="23" t="str">
        <v>Lãi/(Lỗ) từ đánh giá lại các các khoản đầu tư giữ đến ngày đáo hạn</v>
      </c>
      <c r="C75" s="23">
        <v>0</v>
      </c>
      <c r="D75" s="23">
        <v>0</v>
      </c>
      <c r="E75" s="23">
        <v>0</v>
      </c>
      <c r="F75" s="23">
        <v>0</v>
      </c>
      <c r="G75" s="23">
        <v>0</v>
      </c>
      <c r="H75" s="23">
        <v>0</v>
      </c>
      <c r="I75" s="23">
        <v>0</v>
      </c>
      <c r="J75" s="23">
        <v>0</v>
      </c>
    </row>
    <row r="76" spans="1:10" x14ac:dyDescent="0.2">
      <c r="A76">
        <v>71</v>
      </c>
      <c r="B76" s="23" t="str">
        <v>Lãi/(Lỗ) từ đánh giá lại các tài sản tài chính sẵn sàng để bán</v>
      </c>
      <c r="C76" s="23">
        <v>0</v>
      </c>
      <c r="D76" s="23">
        <v>0</v>
      </c>
      <c r="E76" s="23">
        <v>0</v>
      </c>
      <c r="F76" s="23">
        <v>0</v>
      </c>
      <c r="G76" s="23">
        <v>0</v>
      </c>
      <c r="H76" s="23">
        <v>0</v>
      </c>
      <c r="I76" s="23">
        <v>0</v>
      </c>
      <c r="J76" s="23">
        <v>-35440751897</v>
      </c>
    </row>
    <row r="77" spans="1:10" x14ac:dyDescent="0.2">
      <c r="A77">
        <v>72</v>
      </c>
      <c r="B77" s="23" t="str">
        <v>Lãi (lỗ) toàn diện khác được chia từ hoạt động đầu tư vào công ty con, liên kết liên doanh</v>
      </c>
      <c r="C77" s="23">
        <v>0</v>
      </c>
      <c r="D77" s="23">
        <v>0</v>
      </c>
      <c r="E77" s="23">
        <v>0</v>
      </c>
      <c r="F77" s="23">
        <v>0</v>
      </c>
      <c r="G77" s="23">
        <v>0</v>
      </c>
      <c r="H77" s="23">
        <v>0</v>
      </c>
      <c r="I77" s="23">
        <v>0</v>
      </c>
      <c r="J77" s="23">
        <v>0</v>
      </c>
    </row>
    <row r="78" spans="1:10" x14ac:dyDescent="0.2">
      <c r="A78">
        <v>73</v>
      </c>
      <c r="B78" s="23" t="str">
        <v>Lãi/(Lỗ) từ đánh giá lại các công cụ tài chính phái sinh</v>
      </c>
      <c r="C78" s="23">
        <v>0</v>
      </c>
      <c r="D78" s="23">
        <v>0</v>
      </c>
      <c r="E78" s="23">
        <v>0</v>
      </c>
      <c r="F78" s="23">
        <v>0</v>
      </c>
      <c r="G78" s="23">
        <v>0</v>
      </c>
      <c r="H78" s="23">
        <v>0</v>
      </c>
      <c r="I78" s="23">
        <v>0</v>
      </c>
      <c r="J78" s="23">
        <v>0</v>
      </c>
    </row>
    <row r="79" spans="1:10" x14ac:dyDescent="0.2">
      <c r="A79">
        <v>74</v>
      </c>
      <c r="B79" s="23" t="str">
        <v xml:space="preserve">Lãi/(lỗ) chênh lệch tỷ giá của hoạt động tại nước ngoài </v>
      </c>
      <c r="C79" s="23">
        <v>0</v>
      </c>
      <c r="D79" s="23">
        <v>0</v>
      </c>
      <c r="E79" s="23">
        <v>0</v>
      </c>
      <c r="F79" s="23">
        <v>0</v>
      </c>
      <c r="G79" s="23">
        <v>0</v>
      </c>
      <c r="H79" s="23">
        <v>0</v>
      </c>
      <c r="I79" s="23">
        <v>0</v>
      </c>
      <c r="J79" s="23">
        <v>0</v>
      </c>
    </row>
    <row r="80" spans="1:10" x14ac:dyDescent="0.2">
      <c r="A80">
        <v>75</v>
      </c>
      <c r="B80" s="23" t="str">
        <v>Lãi, lỗ từ các khoản đầu tư vào công ty con. Công ty liên kết, liên doanh chưa chia</v>
      </c>
      <c r="C80" s="23">
        <v>0</v>
      </c>
      <c r="D80" s="23">
        <v>0</v>
      </c>
      <c r="E80" s="23">
        <v>0</v>
      </c>
      <c r="F80" s="23">
        <v>0</v>
      </c>
      <c r="G80" s="23">
        <v>0</v>
      </c>
      <c r="H80" s="23">
        <v>0</v>
      </c>
      <c r="I80" s="23">
        <v>0</v>
      </c>
      <c r="J80" s="23">
        <v>0</v>
      </c>
    </row>
    <row r="81" spans="1:10" x14ac:dyDescent="0.2">
      <c r="A81">
        <v>76</v>
      </c>
      <c r="B81" s="23" t="str">
        <v>Lãi, lỗ đánh giá công cụ phái sinh</v>
      </c>
      <c r="C81" s="23">
        <v>0</v>
      </c>
      <c r="D81" s="23">
        <v>0</v>
      </c>
      <c r="E81" s="23">
        <v>0</v>
      </c>
      <c r="F81" s="23">
        <v>0</v>
      </c>
      <c r="G81" s="23">
        <v>0</v>
      </c>
      <c r="H81" s="23">
        <v>0</v>
      </c>
      <c r="I81" s="23">
        <v>0</v>
      </c>
      <c r="J81" s="23">
        <v>0</v>
      </c>
    </row>
    <row r="82" spans="1:10" x14ac:dyDescent="0.2">
      <c r="A82">
        <v>77</v>
      </c>
      <c r="B82" s="23" t="str">
        <v>Lãi, lỗ đánh giá lại tài sản cố định theo mô hình giá trị hợp lý</v>
      </c>
      <c r="C82" s="23">
        <v>0</v>
      </c>
      <c r="D82" s="23">
        <v>0</v>
      </c>
      <c r="E82" s="23">
        <v>0</v>
      </c>
      <c r="F82" s="23">
        <v>0</v>
      </c>
      <c r="G82" s="23">
        <v>0</v>
      </c>
      <c r="H82" s="23">
        <v>0</v>
      </c>
      <c r="I82" s="23">
        <v>0</v>
      </c>
      <c r="J82" s="23">
        <v>0</v>
      </c>
    </row>
    <row r="83" spans="1:10" x14ac:dyDescent="0.2">
      <c r="A83">
        <v>78</v>
      </c>
      <c r="B83" s="23" t="str">
        <v>Tổng thu nhập toàn diện</v>
      </c>
      <c r="C83" s="23">
        <v>409626618086</v>
      </c>
      <c r="D83" s="23">
        <v>444302703082</v>
      </c>
      <c r="E83" s="23">
        <v>502596483643</v>
      </c>
      <c r="F83" s="23">
        <v>797116822049</v>
      </c>
      <c r="G83" s="23">
        <v>806321968053</v>
      </c>
      <c r="H83" s="23">
        <v>667319916483</v>
      </c>
      <c r="I83" s="23">
        <v>2518762411895</v>
      </c>
      <c r="J83" s="23">
        <v>3543222035018</v>
      </c>
    </row>
    <row r="84" spans="1:10" x14ac:dyDescent="0.2">
      <c r="A84">
        <v>79</v>
      </c>
      <c r="B84" s="23" t="str">
        <v>Thu nhập toàn diện phân bổ cho chủ sở hữu</v>
      </c>
      <c r="C84" s="23">
        <v>409626618086</v>
      </c>
      <c r="D84" s="23">
        <v>444302703082</v>
      </c>
      <c r="E84" s="23">
        <v>502596483643</v>
      </c>
      <c r="F84" s="23">
        <v>797116822049</v>
      </c>
      <c r="G84" s="23">
        <v>806321968053</v>
      </c>
      <c r="H84" s="23">
        <v>667319916483</v>
      </c>
      <c r="I84" s="23">
        <v>2518762411895</v>
      </c>
      <c r="J84" s="23">
        <v>3543222035018</v>
      </c>
    </row>
    <row r="85" spans="1:10" x14ac:dyDescent="0.2">
      <c r="A85">
        <v>80</v>
      </c>
      <c r="B85" s="23" t="str">
        <v>Thu nhập toàn diện phân bổ cho cổ đông không nắm quyền kiểm soát</v>
      </c>
      <c r="C85" s="23">
        <v>0</v>
      </c>
      <c r="D85" s="23">
        <v>0</v>
      </c>
      <c r="E85" s="23">
        <v>0</v>
      </c>
      <c r="F85" s="23">
        <v>0</v>
      </c>
      <c r="G85" s="23">
        <v>0</v>
      </c>
      <c r="H85" s="23">
        <v>0</v>
      </c>
      <c r="I85" s="23">
        <v>0</v>
      </c>
      <c r="J85" s="23">
        <v>0</v>
      </c>
    </row>
    <row r="86" spans="1:10" x14ac:dyDescent="0.2">
      <c r="A86">
        <v>81</v>
      </c>
      <c r="B86" s="23" t="str">
        <v>THU NHẬP THUẦN TRÊN CỔ PHIẾU PHỔ THÔNG</v>
      </c>
      <c r="C86" s="23">
        <v>0</v>
      </c>
      <c r="D86" s="23">
        <v>0</v>
      </c>
      <c r="E86" s="23">
        <v>0</v>
      </c>
      <c r="F86" s="23">
        <v>0</v>
      </c>
      <c r="G86" s="23">
        <v>0</v>
      </c>
      <c r="H86" s="23">
        <v>0</v>
      </c>
      <c r="I86" s="23">
        <v>0</v>
      </c>
      <c r="J86" s="23">
        <v>0</v>
      </c>
    </row>
    <row r="87" spans="1:10" x14ac:dyDescent="0.2">
      <c r="A87">
        <v>82</v>
      </c>
      <c r="B87" s="23" t="str">
        <v>Lãi cơ bản trên cổ phiếu</v>
      </c>
      <c r="C87" s="23">
        <v>3783</v>
      </c>
      <c r="D87" s="23">
        <v>3776</v>
      </c>
      <c r="E87" s="23">
        <v>4362</v>
      </c>
      <c r="F87" s="23">
        <v>6227</v>
      </c>
      <c r="G87" s="23">
        <v>2065</v>
      </c>
      <c r="H87" s="23">
        <v>1626</v>
      </c>
      <c r="I87" s="23">
        <v>5934</v>
      </c>
      <c r="J87" s="23">
        <v>2742</v>
      </c>
    </row>
    <row r="88" spans="1:10" x14ac:dyDescent="0.2">
      <c r="A88">
        <v>83</v>
      </c>
      <c r="B88" s="23" t="str">
        <v>Lãi suy giảm trên cổ phiếu</v>
      </c>
      <c r="C88" s="23">
        <v>3783</v>
      </c>
      <c r="D88" s="23">
        <v>3776</v>
      </c>
      <c r="E88" s="23">
        <v>4362</v>
      </c>
      <c r="F88" s="23">
        <v>6227</v>
      </c>
      <c r="G88" s="23">
        <v>2065</v>
      </c>
      <c r="H88" s="23">
        <v>1626</v>
      </c>
      <c r="I88" s="23">
        <v>5934</v>
      </c>
      <c r="J88" s="23"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2A77E-EDE1-474B-8086-304916F9A3A5}">
  <sheetPr codeName="Sheet3"/>
  <dimension ref="A1:M117"/>
  <sheetViews>
    <sheetView zoomScaleNormal="100" workbookViewId="0">
      <selection activeCell="C37" sqref="C37"/>
    </sheetView>
  </sheetViews>
  <sheetFormatPr defaultRowHeight="15" x14ac:dyDescent="0.2"/>
  <cols>
    <col min="1" max="1" width="3.44140625" customWidth="1"/>
    <col min="2" max="2" width="44.109375" customWidth="1"/>
    <col min="3" max="9" width="14" style="23" customWidth="1"/>
    <col min="10" max="10" width="13.109375" style="23" customWidth="1"/>
    <col min="11" max="11" width="12.6640625" customWidth="1"/>
    <col min="12" max="12" width="16" bestFit="1" customWidth="1"/>
    <col min="14" max="14" width="9.21875" customWidth="1"/>
    <col min="15" max="15" width="12.109375" customWidth="1"/>
  </cols>
  <sheetData>
    <row r="1" spans="1:13" ht="15.75" x14ac:dyDescent="0.25">
      <c r="C1" s="4" t="s">
        <v>16</v>
      </c>
      <c r="D1" s="4" t="s">
        <v>15</v>
      </c>
      <c r="E1" s="4" t="s">
        <v>17</v>
      </c>
      <c r="F1" s="4" t="s">
        <v>18</v>
      </c>
    </row>
    <row r="2" spans="1:13" x14ac:dyDescent="0.2">
      <c r="C2" s="28" t="str">
        <f>CANSLIM!E1</f>
        <v>VCK</v>
      </c>
      <c r="D2" s="3" t="s">
        <v>98</v>
      </c>
      <c r="E2" s="3">
        <f>CANSLIM!E2</f>
        <v>2025</v>
      </c>
      <c r="F2" s="28" t="str">
        <f>CANSLIM!$D$2</f>
        <v>YEAR</v>
      </c>
    </row>
    <row r="3" spans="1:13" x14ac:dyDescent="0.2">
      <c r="C3" s="17" t="str">
        <f t="shared" ref="C3:I3" si="0">IF(NOT(ISBLANK(C4)), TEXT(C4, "dd-mm-yyyy"), "")</f>
        <v>31-12-2018</v>
      </c>
      <c r="D3" s="17" t="str">
        <f t="shared" si="0"/>
        <v>31-12-2020</v>
      </c>
      <c r="E3" s="17" t="str">
        <f t="shared" si="0"/>
        <v>31-12-2021</v>
      </c>
      <c r="F3" s="17" t="str">
        <f t="shared" si="0"/>
        <v>31-12-2022</v>
      </c>
      <c r="G3" s="17" t="str">
        <f t="shared" si="0"/>
        <v>31-12-2023</v>
      </c>
      <c r="H3" s="17" t="str">
        <f t="shared" si="0"/>
        <v>31-12-2024</v>
      </c>
      <c r="I3" s="17" t="str">
        <f t="shared" si="0"/>
        <v>31-12-2025</v>
      </c>
      <c r="J3" s="17" t="str">
        <f>IF(NOT(ISBLANK(J4)), TEXT(J4, "dd-mm-yyyy"), "")</f>
        <v/>
      </c>
    </row>
    <row r="4" spans="1:13" s="21" customFormat="1" ht="15.75" x14ac:dyDescent="0.25">
      <c r="A4" s="5" t="str" cm="1">
        <f t="array" ref="A4:I111">report_finance_vnd(C2,D2,E2,F2)</f>
        <v/>
      </c>
      <c r="B4" s="5" t="str">
        <v>VCK</v>
      </c>
      <c r="C4" s="22" t="str">
        <v>2018-12-31</v>
      </c>
      <c r="D4" s="22" t="str">
        <v>2020-12-31</v>
      </c>
      <c r="E4" s="22" t="str">
        <v>2021-12-31</v>
      </c>
      <c r="F4" s="22" t="str">
        <v>2022-12-31</v>
      </c>
      <c r="G4" s="22" t="str">
        <v>2023-12-31</v>
      </c>
      <c r="H4" s="22" t="str">
        <v>2024-12-31</v>
      </c>
      <c r="I4" s="22" t="str">
        <v>2025-12-31</v>
      </c>
      <c r="J4" s="22"/>
    </row>
    <row r="5" spans="1:13" x14ac:dyDescent="0.2">
      <c r="A5">
        <v>0</v>
      </c>
      <c r="B5" t="str">
        <v>TỔNG CỘNG TÀI SẢN</v>
      </c>
      <c r="C5" s="263">
        <v>9660538526037</v>
      </c>
      <c r="D5" s="263">
        <v>16052326153716</v>
      </c>
      <c r="E5" s="263">
        <v>26856861040153</v>
      </c>
      <c r="F5" s="263">
        <v>20225399473260</v>
      </c>
      <c r="G5" s="263">
        <v>22462317213015</v>
      </c>
      <c r="H5" s="263">
        <v>30367897671475</v>
      </c>
      <c r="I5" s="263">
        <v>48402380273658</v>
      </c>
      <c r="J5" s="243"/>
      <c r="K5" s="243"/>
    </row>
    <row r="6" spans="1:13" x14ac:dyDescent="0.2">
      <c r="A6">
        <v>1</v>
      </c>
      <c r="B6" t="str">
        <v>Tài sản ngắn hạn</v>
      </c>
      <c r="C6" s="263">
        <v>9585788147566</v>
      </c>
      <c r="D6" s="263">
        <v>15776629628223</v>
      </c>
      <c r="E6" s="263">
        <v>26468952982185</v>
      </c>
      <c r="F6" s="263">
        <v>19774532442637</v>
      </c>
      <c r="G6" s="263">
        <v>21947804619512</v>
      </c>
      <c r="H6" s="263">
        <v>29823649331548</v>
      </c>
      <c r="I6" s="263">
        <v>47710682737676</v>
      </c>
      <c r="J6" s="243"/>
      <c r="K6" s="243"/>
      <c r="L6" s="243"/>
      <c r="M6" s="243"/>
    </row>
    <row r="7" spans="1:13" x14ac:dyDescent="0.2">
      <c r="A7">
        <v>2</v>
      </c>
      <c r="B7" t="str">
        <v>Tài sản tài chính ngắn hạn</v>
      </c>
      <c r="C7" s="263">
        <v>9563708706296</v>
      </c>
      <c r="D7" s="263">
        <v>15763491999329</v>
      </c>
      <c r="E7" s="263">
        <v>26436782885125</v>
      </c>
      <c r="F7" s="263">
        <v>19753229857286</v>
      </c>
      <c r="G7" s="263">
        <v>21925935428951</v>
      </c>
      <c r="H7" s="263">
        <v>29796852330944</v>
      </c>
      <c r="I7" s="263">
        <v>47692438810317</v>
      </c>
      <c r="J7" s="243"/>
      <c r="K7" s="85"/>
      <c r="L7" s="243"/>
      <c r="M7" s="243"/>
    </row>
    <row r="8" spans="1:13" x14ac:dyDescent="0.2">
      <c r="A8">
        <v>3</v>
      </c>
      <c r="B8" t="str">
        <v>Tiền và các khoản tương đương tiền</v>
      </c>
      <c r="C8" s="263">
        <v>1048293974018</v>
      </c>
      <c r="D8" s="263">
        <v>3039423535407</v>
      </c>
      <c r="E8" s="263">
        <v>6675624015817</v>
      </c>
      <c r="F8" s="263">
        <v>9190878671758</v>
      </c>
      <c r="G8" s="263">
        <v>2783340898514</v>
      </c>
      <c r="H8" s="263">
        <v>1732677708017</v>
      </c>
      <c r="I8" s="263">
        <v>8680990313016</v>
      </c>
      <c r="J8" s="243"/>
      <c r="L8" s="243"/>
      <c r="M8" s="243"/>
    </row>
    <row r="9" spans="1:13" x14ac:dyDescent="0.2">
      <c r="A9">
        <v>4</v>
      </c>
      <c r="B9" t="str">
        <v>Các khoản đầu tư tài chính ngắn hạn</v>
      </c>
      <c r="C9" s="263">
        <v>5180701220987</v>
      </c>
      <c r="D9" s="263">
        <v>11509359623762</v>
      </c>
      <c r="E9" s="263">
        <v>16959597418369</v>
      </c>
      <c r="F9" s="263">
        <v>9921404559740</v>
      </c>
      <c r="G9" s="263">
        <v>18892206016819</v>
      </c>
      <c r="H9" s="263">
        <v>27642434263089</v>
      </c>
      <c r="I9" s="263">
        <v>38525789720067</v>
      </c>
      <c r="J9" s="243"/>
      <c r="L9" s="243"/>
      <c r="M9" s="243"/>
    </row>
    <row r="10" spans="1:13" x14ac:dyDescent="0.2">
      <c r="A10">
        <v>5</v>
      </c>
      <c r="B10" t="str">
        <v>Các khoản phải thu ngắn hạn</v>
      </c>
      <c r="C10" s="263">
        <v>3334713511291</v>
      </c>
      <c r="D10" s="263">
        <v>1214708840160</v>
      </c>
      <c r="E10" s="263">
        <v>2801561450939</v>
      </c>
      <c r="F10" s="263">
        <v>640946625788</v>
      </c>
      <c r="G10" s="263">
        <v>250388513618</v>
      </c>
      <c r="H10" s="263">
        <v>421740359838</v>
      </c>
      <c r="I10" s="263">
        <v>485658777234</v>
      </c>
      <c r="J10" s="243"/>
    </row>
    <row r="11" spans="1:13" x14ac:dyDescent="0.2">
      <c r="A11">
        <v>6</v>
      </c>
      <c r="B11" t="str">
        <v>Hàng tồn kho</v>
      </c>
      <c r="C11" s="263">
        <v>0</v>
      </c>
      <c r="D11" s="263">
        <v>0</v>
      </c>
      <c r="E11" s="263">
        <v>0</v>
      </c>
      <c r="F11" s="263">
        <v>0</v>
      </c>
      <c r="G11" s="263">
        <v>0</v>
      </c>
      <c r="H11" s="263">
        <v>0</v>
      </c>
      <c r="I11" s="263">
        <v>0</v>
      </c>
      <c r="J11" s="243"/>
    </row>
    <row r="12" spans="1:13" x14ac:dyDescent="0.2">
      <c r="A12">
        <v>7</v>
      </c>
      <c r="B12" t="str">
        <v>Tài sản ngắn hạn khác</v>
      </c>
      <c r="C12" s="263">
        <v>22079441270</v>
      </c>
      <c r="D12" s="263">
        <v>13137628894</v>
      </c>
      <c r="E12" s="263">
        <v>32170097060</v>
      </c>
      <c r="F12" s="263">
        <v>21302585351</v>
      </c>
      <c r="G12" s="263">
        <v>21869190561</v>
      </c>
      <c r="H12" s="263">
        <v>26797000604</v>
      </c>
      <c r="I12" s="263">
        <v>18243927359</v>
      </c>
      <c r="J12" s="243"/>
      <c r="L12" s="23"/>
    </row>
    <row r="13" spans="1:13" x14ac:dyDescent="0.2">
      <c r="A13">
        <v>8</v>
      </c>
      <c r="B13" t="str">
        <v>Tạm ứng</v>
      </c>
      <c r="C13" s="263">
        <v>10511634028</v>
      </c>
      <c r="D13" s="263">
        <v>544686500</v>
      </c>
      <c r="E13" s="263">
        <v>1561206500</v>
      </c>
      <c r="F13" s="263">
        <v>3143704609</v>
      </c>
      <c r="G13" s="263">
        <v>762313021</v>
      </c>
      <c r="H13" s="263">
        <v>2249378612</v>
      </c>
      <c r="I13" s="263">
        <v>494000000</v>
      </c>
      <c r="J13" s="243"/>
    </row>
    <row r="14" spans="1:13" x14ac:dyDescent="0.2">
      <c r="A14">
        <v>9</v>
      </c>
      <c r="B14" t="str">
        <v>Vật tư văn phòng, công cụ, dụng cụ</v>
      </c>
      <c r="C14" s="263">
        <v>85960909</v>
      </c>
      <c r="D14" s="263">
        <v>1726764576</v>
      </c>
      <c r="E14" s="263">
        <v>7534563076</v>
      </c>
      <c r="F14" s="263">
        <v>2637258909</v>
      </c>
      <c r="G14" s="263">
        <v>1203332000</v>
      </c>
      <c r="H14" s="263">
        <v>766957603</v>
      </c>
      <c r="I14" s="263">
        <v>226081400</v>
      </c>
      <c r="J14" s="243"/>
      <c r="L14" s="23"/>
    </row>
    <row r="15" spans="1:13" x14ac:dyDescent="0.2">
      <c r="A15">
        <v>10</v>
      </c>
      <c r="B15" t="str">
        <v>Chi phí trả trước ngắn hạn</v>
      </c>
      <c r="C15" s="263">
        <v>1374618802</v>
      </c>
      <c r="D15" s="263">
        <v>6493557247</v>
      </c>
      <c r="E15" s="263">
        <v>16178013429</v>
      </c>
      <c r="F15" s="263">
        <v>8660905278</v>
      </c>
      <c r="G15" s="263">
        <v>18349116009</v>
      </c>
      <c r="H15" s="263">
        <v>19045565365</v>
      </c>
      <c r="I15" s="263">
        <v>15318863959</v>
      </c>
      <c r="J15" s="243"/>
    </row>
    <row r="16" spans="1:13" x14ac:dyDescent="0.2">
      <c r="A16">
        <v>11</v>
      </c>
      <c r="B16" t="str">
        <v>Tài sản cầm cố, ký cược, ký quỹ ngắn hạn</v>
      </c>
      <c r="C16" s="263">
        <v>10107227531</v>
      </c>
      <c r="D16" s="263">
        <v>4372620571</v>
      </c>
      <c r="E16" s="263">
        <v>6896314055</v>
      </c>
      <c r="F16" s="263">
        <v>6860716555</v>
      </c>
      <c r="G16" s="263">
        <v>1554429531</v>
      </c>
      <c r="H16" s="263">
        <v>4735099024</v>
      </c>
      <c r="I16" s="263">
        <v>2204982000</v>
      </c>
      <c r="J16" s="243"/>
    </row>
    <row r="17" spans="1:10" x14ac:dyDescent="0.2">
      <c r="A17">
        <v>12</v>
      </c>
      <c r="B17" t="str">
        <v>Thuế VAT được khấu trừ</v>
      </c>
      <c r="C17" s="263">
        <v>0</v>
      </c>
      <c r="D17" s="263">
        <v>0</v>
      </c>
      <c r="E17" s="263">
        <v>0</v>
      </c>
      <c r="F17" s="263">
        <v>0</v>
      </c>
      <c r="G17" s="263">
        <v>0</v>
      </c>
      <c r="H17" s="263">
        <v>0</v>
      </c>
      <c r="I17" s="263">
        <v>0</v>
      </c>
      <c r="J17" s="243"/>
    </row>
    <row r="18" spans="1:10" x14ac:dyDescent="0.2">
      <c r="A18">
        <v>13</v>
      </c>
      <c r="B18" t="str">
        <v>Thuế và các khoản khác phải thu Nhà nước</v>
      </c>
      <c r="C18" s="263">
        <v>0</v>
      </c>
      <c r="D18" s="263">
        <v>0</v>
      </c>
      <c r="E18" s="263">
        <v>0</v>
      </c>
      <c r="F18" s="263">
        <v>0</v>
      </c>
      <c r="G18" s="263">
        <v>0</v>
      </c>
      <c r="H18" s="263">
        <v>0</v>
      </c>
      <c r="I18" s="263">
        <v>0</v>
      </c>
      <c r="J18" s="243"/>
    </row>
    <row r="19" spans="1:10" x14ac:dyDescent="0.2">
      <c r="A19">
        <v>14</v>
      </c>
      <c r="B19" t="str">
        <v>Giao dịch mua bán lại trái phiếu chính phủ</v>
      </c>
      <c r="C19" s="263">
        <v>0</v>
      </c>
      <c r="D19" s="263">
        <v>0</v>
      </c>
      <c r="E19" s="263">
        <v>0</v>
      </c>
      <c r="F19" s="263">
        <v>0</v>
      </c>
      <c r="G19" s="263">
        <v>0</v>
      </c>
      <c r="H19" s="263">
        <v>0</v>
      </c>
      <c r="I19" s="263">
        <v>0</v>
      </c>
      <c r="J19" s="243"/>
    </row>
    <row r="20" spans="1:10" x14ac:dyDescent="0.2">
      <c r="A20">
        <v>15</v>
      </c>
      <c r="B20" t="str">
        <v>Tài sản ngắn hạn khác</v>
      </c>
      <c r="C20" s="263">
        <v>0</v>
      </c>
      <c r="D20" s="263">
        <v>0</v>
      </c>
      <c r="E20" s="263">
        <v>0</v>
      </c>
      <c r="F20" s="263">
        <v>0</v>
      </c>
      <c r="G20" s="263">
        <v>0</v>
      </c>
      <c r="H20" s="263">
        <v>0</v>
      </c>
      <c r="I20" s="263">
        <v>0</v>
      </c>
      <c r="J20" s="243"/>
    </row>
    <row r="21" spans="1:10" x14ac:dyDescent="0.2">
      <c r="A21">
        <v>16</v>
      </c>
      <c r="B21" t="str">
        <v xml:space="preserve"> Dự phòng suy giảm giá trị TSNH khác </v>
      </c>
      <c r="C21" s="263">
        <v>0</v>
      </c>
      <c r="D21" s="263">
        <v>0</v>
      </c>
      <c r="E21" s="263">
        <v>0</v>
      </c>
      <c r="F21" s="263">
        <v>0</v>
      </c>
      <c r="G21" s="263">
        <v>0</v>
      </c>
      <c r="H21" s="263">
        <v>0</v>
      </c>
      <c r="I21" s="263">
        <v>0</v>
      </c>
      <c r="J21" s="243"/>
    </row>
    <row r="22" spans="1:10" ht="15.75" x14ac:dyDescent="0.25">
      <c r="A22">
        <v>17</v>
      </c>
      <c r="B22" s="21" t="str">
        <v>Tài sản dài hạn</v>
      </c>
      <c r="C22" s="263">
        <v>74750378471</v>
      </c>
      <c r="D22" s="263">
        <v>275696525493</v>
      </c>
      <c r="E22" s="263">
        <v>387908057968</v>
      </c>
      <c r="F22" s="263">
        <v>450867030623</v>
      </c>
      <c r="G22" s="263">
        <v>514512593503</v>
      </c>
      <c r="H22" s="263">
        <v>544248339927</v>
      </c>
      <c r="I22" s="263">
        <v>691697535982</v>
      </c>
      <c r="J22" s="243"/>
    </row>
    <row r="23" spans="1:10" x14ac:dyDescent="0.2">
      <c r="A23">
        <v>18</v>
      </c>
      <c r="B23" t="str">
        <v>Tài sản tài chính dài hạn</v>
      </c>
      <c r="C23" s="263">
        <v>27000000000</v>
      </c>
      <c r="D23" s="263">
        <v>32739000000</v>
      </c>
      <c r="E23" s="263">
        <v>68461119000</v>
      </c>
      <c r="F23" s="263">
        <v>19043913726</v>
      </c>
      <c r="G23" s="263">
        <v>17275405683</v>
      </c>
      <c r="H23" s="263">
        <v>18116148316</v>
      </c>
      <c r="I23" s="263">
        <v>97336198316</v>
      </c>
      <c r="J23" s="243"/>
    </row>
    <row r="24" spans="1:10" x14ac:dyDescent="0.2">
      <c r="A24">
        <v>19</v>
      </c>
      <c r="B24" t="str">
        <v>Các khoản phải thu dài hạn</v>
      </c>
      <c r="C24" s="263">
        <v>0</v>
      </c>
      <c r="D24" s="263">
        <v>0</v>
      </c>
      <c r="E24" s="263">
        <v>0</v>
      </c>
      <c r="F24" s="263">
        <v>0</v>
      </c>
      <c r="G24" s="263">
        <v>0</v>
      </c>
      <c r="H24" s="263">
        <v>0</v>
      </c>
      <c r="I24" s="263">
        <v>62537500000</v>
      </c>
      <c r="J24" s="243"/>
    </row>
    <row r="25" spans="1:10" x14ac:dyDescent="0.2">
      <c r="A25">
        <v>20</v>
      </c>
      <c r="B25" t="str">
        <v>Các khoản đầu tư tài chính dài hạn</v>
      </c>
      <c r="C25" s="263">
        <v>27000000000</v>
      </c>
      <c r="D25" s="263">
        <v>32739000000</v>
      </c>
      <c r="E25" s="263">
        <v>68461119000</v>
      </c>
      <c r="F25" s="263">
        <v>19043913726</v>
      </c>
      <c r="G25" s="263">
        <v>17275405683</v>
      </c>
      <c r="H25" s="263">
        <v>18116148316</v>
      </c>
      <c r="I25" s="263">
        <v>34798698316</v>
      </c>
      <c r="J25" s="243"/>
    </row>
    <row r="26" spans="1:10" x14ac:dyDescent="0.2">
      <c r="A26">
        <v>21</v>
      </c>
      <c r="B26" t="str">
        <v>Tài sản cố định</v>
      </c>
      <c r="C26" s="263">
        <v>19384695475</v>
      </c>
      <c r="D26" s="263">
        <v>168831768675</v>
      </c>
      <c r="E26" s="263">
        <v>223243898657</v>
      </c>
      <c r="F26" s="263">
        <v>306380866330</v>
      </c>
      <c r="G26" s="263">
        <v>384178528836</v>
      </c>
      <c r="H26" s="263">
        <v>425515925934</v>
      </c>
      <c r="I26" s="263">
        <v>428449812552</v>
      </c>
      <c r="J26" s="243"/>
    </row>
    <row r="27" spans="1:10" x14ac:dyDescent="0.2">
      <c r="A27">
        <v>22</v>
      </c>
      <c r="B27" t="str">
        <v>Tài sản cố định hữu hình</v>
      </c>
      <c r="C27" s="263">
        <v>18684047760</v>
      </c>
      <c r="D27" s="263">
        <v>71749344460</v>
      </c>
      <c r="E27" s="263">
        <v>114355530947</v>
      </c>
      <c r="F27" s="263">
        <v>137721118355</v>
      </c>
      <c r="G27" s="263">
        <v>233662840646</v>
      </c>
      <c r="H27" s="263">
        <v>206472419914</v>
      </c>
      <c r="I27" s="263">
        <v>219547206633</v>
      </c>
      <c r="J27" s="243"/>
    </row>
    <row r="28" spans="1:10" x14ac:dyDescent="0.2">
      <c r="A28">
        <v>23</v>
      </c>
      <c r="B28" t="str">
        <v>Tài sản cố định thuê tài chính</v>
      </c>
      <c r="C28" s="263">
        <v>0</v>
      </c>
      <c r="D28" s="263">
        <v>0</v>
      </c>
      <c r="E28" s="263">
        <v>0</v>
      </c>
      <c r="F28" s="263">
        <v>0</v>
      </c>
      <c r="G28" s="263">
        <v>0</v>
      </c>
      <c r="H28" s="263">
        <v>0</v>
      </c>
      <c r="I28" s="263">
        <v>0</v>
      </c>
      <c r="J28" s="243"/>
    </row>
    <row r="29" spans="1:10" x14ac:dyDescent="0.2">
      <c r="A29">
        <v>24</v>
      </c>
      <c r="B29" t="str">
        <v>Tài sản cố định vô hình</v>
      </c>
      <c r="C29" s="263">
        <v>700647715</v>
      </c>
      <c r="D29" s="263">
        <v>97082424215</v>
      </c>
      <c r="E29" s="263">
        <v>108888367710</v>
      </c>
      <c r="F29" s="263">
        <v>168659747975</v>
      </c>
      <c r="G29" s="263">
        <v>150515688190</v>
      </c>
      <c r="H29" s="263">
        <v>219043506020</v>
      </c>
      <c r="I29" s="263">
        <v>208902605919</v>
      </c>
      <c r="J29" s="243"/>
    </row>
    <row r="30" spans="1:10" x14ac:dyDescent="0.2">
      <c r="A30">
        <v>25</v>
      </c>
      <c r="B30" t="str">
        <v>Chi phí xây dựng cơ bản dở dang (trước 2015)</v>
      </c>
      <c r="C30" s="263">
        <v>0</v>
      </c>
      <c r="D30" s="263">
        <v>0</v>
      </c>
      <c r="E30" s="263">
        <v>0</v>
      </c>
      <c r="F30" s="263">
        <v>0</v>
      </c>
      <c r="G30" s="263">
        <v>0</v>
      </c>
      <c r="H30" s="263">
        <v>0</v>
      </c>
      <c r="I30" s="263">
        <v>0</v>
      </c>
      <c r="J30" s="243"/>
    </row>
    <row r="31" spans="1:10" x14ac:dyDescent="0.2">
      <c r="A31">
        <v>26</v>
      </c>
      <c r="B31" t="str">
        <v>Bất động sản đầu tư</v>
      </c>
      <c r="C31" s="263">
        <v>0</v>
      </c>
      <c r="D31" s="263">
        <v>0</v>
      </c>
      <c r="E31" s="263">
        <v>0</v>
      </c>
      <c r="F31" s="263">
        <v>0</v>
      </c>
      <c r="G31" s="263">
        <v>0</v>
      </c>
      <c r="H31" s="263">
        <v>0</v>
      </c>
      <c r="I31" s="263">
        <v>0</v>
      </c>
      <c r="J31" s="243"/>
    </row>
    <row r="32" spans="1:10" x14ac:dyDescent="0.2">
      <c r="A32">
        <v>27</v>
      </c>
      <c r="B32" t="str">
        <v>Nguyên giá bất động sản đầu tư</v>
      </c>
      <c r="C32" s="263">
        <v>0</v>
      </c>
      <c r="D32" s="263">
        <v>0</v>
      </c>
      <c r="E32" s="263">
        <v>0</v>
      </c>
      <c r="F32" s="263">
        <v>0</v>
      </c>
      <c r="G32" s="263">
        <v>0</v>
      </c>
      <c r="H32" s="263">
        <v>0</v>
      </c>
      <c r="I32" s="263">
        <v>0</v>
      </c>
      <c r="J32" s="243"/>
    </row>
    <row r="33" spans="1:10" x14ac:dyDescent="0.2">
      <c r="A33">
        <v>28</v>
      </c>
      <c r="B33" t="str">
        <v>Hao mòn bất động sản đầu tư</v>
      </c>
      <c r="C33" s="263">
        <v>0</v>
      </c>
      <c r="D33" s="263">
        <v>0</v>
      </c>
      <c r="E33" s="263">
        <v>0</v>
      </c>
      <c r="F33" s="263">
        <v>0</v>
      </c>
      <c r="G33" s="263">
        <v>0</v>
      </c>
      <c r="H33" s="263">
        <v>0</v>
      </c>
      <c r="I33" s="263">
        <v>0</v>
      </c>
      <c r="J33" s="243"/>
    </row>
    <row r="34" spans="1:10" x14ac:dyDescent="0.2">
      <c r="A34">
        <v>29</v>
      </c>
      <c r="B34" t="str">
        <v>Đánh giá BĐSĐT theo giá trị hợp lý</v>
      </c>
      <c r="C34" s="263">
        <v>0</v>
      </c>
      <c r="D34" s="263">
        <v>0</v>
      </c>
      <c r="E34" s="263">
        <v>0</v>
      </c>
      <c r="F34" s="263">
        <v>0</v>
      </c>
      <c r="G34" s="263">
        <v>0</v>
      </c>
      <c r="H34" s="263">
        <v>0</v>
      </c>
      <c r="I34" s="263">
        <v>0</v>
      </c>
      <c r="J34" s="243"/>
    </row>
    <row r="35" spans="1:10" x14ac:dyDescent="0.2">
      <c r="A35">
        <v>30</v>
      </c>
      <c r="B35" t="str">
        <v>Tài sản dở dang dài hạn</v>
      </c>
      <c r="C35" s="263">
        <v>0</v>
      </c>
      <c r="D35" s="263">
        <v>41650300000</v>
      </c>
      <c r="E35" s="263">
        <v>65000000000</v>
      </c>
      <c r="F35" s="263">
        <v>76607777040</v>
      </c>
      <c r="G35" s="263">
        <v>43179337200</v>
      </c>
      <c r="H35" s="263">
        <v>20819016333</v>
      </c>
      <c r="I35" s="263">
        <v>26035715448</v>
      </c>
      <c r="J35" s="243"/>
    </row>
    <row r="36" spans="1:10" x14ac:dyDescent="0.2">
      <c r="A36">
        <v>31</v>
      </c>
      <c r="B36" t="str">
        <v>Chi phí sản xuất, kinh doanh dở dang dài hạn</v>
      </c>
      <c r="C36" s="263">
        <v>0</v>
      </c>
      <c r="D36" s="263">
        <v>0</v>
      </c>
      <c r="E36" s="263">
        <v>0</v>
      </c>
      <c r="F36" s="263">
        <v>0</v>
      </c>
      <c r="G36" s="263">
        <v>0</v>
      </c>
      <c r="H36" s="263">
        <v>0</v>
      </c>
      <c r="I36" s="263">
        <v>0</v>
      </c>
      <c r="J36" s="243"/>
    </row>
    <row r="37" spans="1:10" x14ac:dyDescent="0.2">
      <c r="A37">
        <v>32</v>
      </c>
      <c r="B37" t="str">
        <v xml:space="preserve">Chi phí xây dựng cơ bản dở dang </v>
      </c>
      <c r="C37" s="263">
        <v>0</v>
      </c>
      <c r="D37" s="263">
        <v>41650300000</v>
      </c>
      <c r="E37" s="263">
        <v>65000000000</v>
      </c>
      <c r="F37" s="263">
        <v>76607777040</v>
      </c>
      <c r="G37" s="263">
        <v>43179337200</v>
      </c>
      <c r="H37" s="263">
        <v>20819016333</v>
      </c>
      <c r="I37" s="263">
        <v>26035715448</v>
      </c>
      <c r="J37" s="243"/>
    </row>
    <row r="38" spans="1:10" x14ac:dyDescent="0.2">
      <c r="A38">
        <v>33</v>
      </c>
      <c r="B38" t="str">
        <v>Tài sản dài hạn khác</v>
      </c>
      <c r="C38" s="263">
        <v>28365682996</v>
      </c>
      <c r="D38" s="263">
        <v>32475456818</v>
      </c>
      <c r="E38" s="263">
        <v>31203040311</v>
      </c>
      <c r="F38" s="263">
        <v>48834473527</v>
      </c>
      <c r="G38" s="263">
        <v>69879321784</v>
      </c>
      <c r="H38" s="263">
        <v>79797249344</v>
      </c>
      <c r="I38" s="263">
        <v>139875809666</v>
      </c>
      <c r="J38" s="243"/>
    </row>
    <row r="39" spans="1:10" x14ac:dyDescent="0.2">
      <c r="A39">
        <v>34</v>
      </c>
      <c r="B39" t="str">
        <v>Cầm cố, ký quỹ, ký cược dài hạn khác</v>
      </c>
      <c r="C39" s="263">
        <v>0</v>
      </c>
      <c r="D39" s="263">
        <v>0</v>
      </c>
      <c r="E39" s="263">
        <v>0</v>
      </c>
      <c r="F39" s="263">
        <v>0</v>
      </c>
      <c r="G39" s="263">
        <v>8186830399</v>
      </c>
      <c r="H39" s="263">
        <v>3398693375</v>
      </c>
      <c r="I39" s="263">
        <v>6688805375</v>
      </c>
      <c r="J39" s="243"/>
    </row>
    <row r="40" spans="1:10" x14ac:dyDescent="0.2">
      <c r="A40">
        <v>35</v>
      </c>
      <c r="B40" t="str">
        <v>Chi phí trả trước dài hạn</v>
      </c>
      <c r="C40" s="263">
        <v>214976533</v>
      </c>
      <c r="D40" s="263">
        <v>0</v>
      </c>
      <c r="E40" s="263">
        <v>1082251955</v>
      </c>
      <c r="F40" s="263">
        <v>18693479877</v>
      </c>
      <c r="G40" s="263">
        <v>31531243125</v>
      </c>
      <c r="H40" s="263">
        <v>46216876710</v>
      </c>
      <c r="I40" s="263">
        <v>102984951864</v>
      </c>
      <c r="J40" s="243"/>
    </row>
    <row r="41" spans="1:10" x14ac:dyDescent="0.2">
      <c r="A41">
        <v>36</v>
      </c>
      <c r="B41" t="str">
        <v>Tài sản thuế thu nhập hoãn lại</v>
      </c>
      <c r="C41" s="263">
        <v>0</v>
      </c>
      <c r="D41" s="263">
        <v>1209483253</v>
      </c>
      <c r="E41" s="263">
        <v>0</v>
      </c>
      <c r="F41" s="263">
        <v>0</v>
      </c>
      <c r="G41" s="263">
        <v>0</v>
      </c>
      <c r="H41" s="263">
        <v>0</v>
      </c>
      <c r="I41" s="263">
        <v>0</v>
      </c>
      <c r="J41" s="243"/>
    </row>
    <row r="42" spans="1:10" x14ac:dyDescent="0.2">
      <c r="A42">
        <v>37</v>
      </c>
      <c r="B42" t="str">
        <v>Thiết bị, vật tư, phụ tùng thay thế dài hạn</v>
      </c>
      <c r="C42" s="263">
        <v>0</v>
      </c>
      <c r="D42" s="263">
        <v>0</v>
      </c>
      <c r="E42" s="263">
        <v>0</v>
      </c>
      <c r="F42" s="263">
        <v>0</v>
      </c>
      <c r="G42" s="263">
        <v>0</v>
      </c>
      <c r="H42" s="263">
        <v>0</v>
      </c>
      <c r="I42" s="263">
        <v>0</v>
      </c>
      <c r="J42" s="243"/>
    </row>
    <row r="43" spans="1:10" x14ac:dyDescent="0.2">
      <c r="A43">
        <v>38</v>
      </c>
      <c r="B43" t="str">
        <v>Tiền nộp Quỹ hỗ trợ thanh toán</v>
      </c>
      <c r="C43" s="263">
        <v>18090512200</v>
      </c>
      <c r="D43" s="263">
        <v>21167127813</v>
      </c>
      <c r="E43" s="263">
        <v>20000000000</v>
      </c>
      <c r="F43" s="263">
        <v>20000000000</v>
      </c>
      <c r="G43" s="263">
        <v>20000000000</v>
      </c>
      <c r="H43" s="263">
        <v>20000000000</v>
      </c>
      <c r="I43" s="263">
        <v>20000000000</v>
      </c>
      <c r="J43" s="243"/>
    </row>
    <row r="44" spans="1:10" x14ac:dyDescent="0.2">
      <c r="A44">
        <v>39</v>
      </c>
      <c r="B44" t="str">
        <v>Tài sản dài hạn khác</v>
      </c>
      <c r="C44" s="263">
        <v>10060194263</v>
      </c>
      <c r="D44" s="263">
        <v>10098845752</v>
      </c>
      <c r="E44" s="263">
        <v>10120788356</v>
      </c>
      <c r="F44" s="263">
        <v>10140993650</v>
      </c>
      <c r="G44" s="263">
        <v>10161248260</v>
      </c>
      <c r="H44" s="263">
        <v>10181679259</v>
      </c>
      <c r="I44" s="263">
        <v>10202052427</v>
      </c>
      <c r="J44" s="243"/>
    </row>
    <row r="45" spans="1:10" x14ac:dyDescent="0.2">
      <c r="A45">
        <v>40</v>
      </c>
      <c r="B45" t="str">
        <v>Lợi thế thương mại (trước 2015)</v>
      </c>
      <c r="C45" s="263" t="str">
        <v/>
      </c>
      <c r="D45" s="263" t="str">
        <v/>
      </c>
      <c r="E45" s="263" t="str">
        <v/>
      </c>
      <c r="F45" s="263" t="str">
        <v/>
      </c>
      <c r="G45" s="263" t="str">
        <v/>
      </c>
      <c r="H45" s="263" t="str">
        <v/>
      </c>
      <c r="I45" s="263" t="str">
        <v/>
      </c>
      <c r="J45" s="243"/>
    </row>
    <row r="46" spans="1:10" x14ac:dyDescent="0.2">
      <c r="A46">
        <v>41</v>
      </c>
      <c r="B46" t="str">
        <v>Lợi thế thương mại</v>
      </c>
      <c r="C46" s="263">
        <v>0</v>
      </c>
      <c r="D46" s="263">
        <v>0</v>
      </c>
      <c r="E46" s="263">
        <v>0</v>
      </c>
      <c r="F46" s="263">
        <v>0</v>
      </c>
      <c r="G46" s="263">
        <v>0</v>
      </c>
      <c r="H46" s="263">
        <v>0</v>
      </c>
      <c r="I46" s="263">
        <v>0</v>
      </c>
      <c r="J46" s="243"/>
    </row>
    <row r="47" spans="1:10" x14ac:dyDescent="0.2">
      <c r="A47">
        <v>42</v>
      </c>
      <c r="B47" t="str">
        <v>Dự phòng suy giảm giá trị tài sản dài hạn</v>
      </c>
      <c r="C47" s="263">
        <v>0</v>
      </c>
      <c r="D47" s="263">
        <v>0</v>
      </c>
      <c r="E47" s="263">
        <v>0</v>
      </c>
      <c r="F47" s="263">
        <v>0</v>
      </c>
      <c r="G47" s="263">
        <v>0</v>
      </c>
      <c r="H47" s="263">
        <v>0</v>
      </c>
      <c r="I47" s="263">
        <v>0</v>
      </c>
      <c r="J47" s="243"/>
    </row>
    <row r="48" spans="1:10" x14ac:dyDescent="0.2">
      <c r="A48">
        <v>43</v>
      </c>
      <c r="B48" t="str">
        <v>TỔNG CỘNG NGUỒN VỐN</v>
      </c>
      <c r="C48" s="263">
        <v>9660538526037</v>
      </c>
      <c r="D48" s="263">
        <v>16052326153716</v>
      </c>
      <c r="E48" s="263">
        <v>26856861040153</v>
      </c>
      <c r="F48" s="263">
        <v>20225399473260</v>
      </c>
      <c r="G48" s="263">
        <v>22462317213015</v>
      </c>
      <c r="H48" s="263">
        <v>30367897671475</v>
      </c>
      <c r="I48" s="263">
        <v>48402380273658</v>
      </c>
      <c r="J48" s="243"/>
    </row>
    <row r="49" spans="1:12" x14ac:dyDescent="0.2">
      <c r="A49">
        <v>44</v>
      </c>
      <c r="B49" t="str">
        <v>Nợ phải trả</v>
      </c>
      <c r="C49" s="263">
        <v>5389610434415</v>
      </c>
      <c r="D49" s="263">
        <v>11077210894322</v>
      </c>
      <c r="E49" s="263">
        <v>19036371958710</v>
      </c>
      <c r="F49" s="263">
        <v>11750388423764</v>
      </c>
      <c r="G49" s="263">
        <v>13469378148994</v>
      </c>
      <c r="H49" s="263">
        <v>19004977390178</v>
      </c>
      <c r="I49" s="263">
        <v>19567271018191</v>
      </c>
      <c r="J49" s="243"/>
      <c r="L49" s="23"/>
    </row>
    <row r="50" spans="1:12" x14ac:dyDescent="0.2">
      <c r="A50">
        <v>45</v>
      </c>
      <c r="B50" t="str">
        <v>Nợ ngắn hạn</v>
      </c>
      <c r="C50" s="263">
        <v>4515321873414</v>
      </c>
      <c r="D50" s="263">
        <v>10932194297328</v>
      </c>
      <c r="E50" s="263">
        <v>19035584038715</v>
      </c>
      <c r="F50" s="263">
        <v>11750124423777</v>
      </c>
      <c r="G50" s="263">
        <v>13174125580151</v>
      </c>
      <c r="H50" s="263">
        <v>19004977390178</v>
      </c>
      <c r="I50" s="263">
        <v>14567364351531</v>
      </c>
      <c r="J50" s="243"/>
      <c r="L50" s="23"/>
    </row>
    <row r="51" spans="1:12" x14ac:dyDescent="0.2">
      <c r="A51">
        <v>46</v>
      </c>
      <c r="B51" t="str">
        <v>Vay và nợ ngắn hạn</v>
      </c>
      <c r="C51" s="263">
        <v>3480608000000</v>
      </c>
      <c r="D51" s="263">
        <v>6976829729230</v>
      </c>
      <c r="E51" s="263">
        <v>15221326144323</v>
      </c>
      <c r="F51" s="263">
        <v>10840339262524</v>
      </c>
      <c r="G51" s="263">
        <v>12544611173802</v>
      </c>
      <c r="H51" s="263">
        <v>18328645000000</v>
      </c>
      <c r="I51" s="263">
        <v>12924357800000</v>
      </c>
      <c r="J51" s="243"/>
    </row>
    <row r="52" spans="1:12" x14ac:dyDescent="0.2">
      <c r="A52">
        <v>47</v>
      </c>
      <c r="B52" t="str">
        <v xml:space="preserve"> Vay tài sản tài chính ngắn hạn </v>
      </c>
      <c r="C52" s="263">
        <v>0</v>
      </c>
      <c r="D52" s="263">
        <v>0</v>
      </c>
      <c r="E52" s="263">
        <v>0</v>
      </c>
      <c r="F52" s="263">
        <v>0</v>
      </c>
      <c r="G52" s="263">
        <v>0</v>
      </c>
      <c r="H52" s="263">
        <v>0</v>
      </c>
      <c r="I52" s="263">
        <v>0</v>
      </c>
      <c r="J52" s="243"/>
    </row>
    <row r="53" spans="1:12" x14ac:dyDescent="0.2">
      <c r="A53">
        <v>48</v>
      </c>
      <c r="B53" t="str">
        <v xml:space="preserve"> Trái phiếu chuyển đổi ngắn hạn</v>
      </c>
      <c r="C53" s="263">
        <v>0</v>
      </c>
      <c r="D53" s="263">
        <v>0</v>
      </c>
      <c r="E53" s="263">
        <v>0</v>
      </c>
      <c r="F53" s="263">
        <v>0</v>
      </c>
      <c r="G53" s="263">
        <v>0</v>
      </c>
      <c r="H53" s="263">
        <v>0</v>
      </c>
      <c r="I53" s="263">
        <v>0</v>
      </c>
      <c r="J53" s="243"/>
    </row>
    <row r="54" spans="1:12" x14ac:dyDescent="0.2">
      <c r="A54">
        <v>49</v>
      </c>
      <c r="B54" t="str">
        <v>Trái phiếu phát hành ngắn hạn</v>
      </c>
      <c r="C54" s="263">
        <v>470000000000</v>
      </c>
      <c r="D54" s="263">
        <v>0</v>
      </c>
      <c r="E54" s="263">
        <v>0</v>
      </c>
      <c r="F54" s="263">
        <v>0</v>
      </c>
      <c r="G54" s="263">
        <v>0</v>
      </c>
      <c r="H54" s="263">
        <v>0</v>
      </c>
      <c r="I54" s="263">
        <v>0</v>
      </c>
      <c r="J54" s="243"/>
    </row>
    <row r="55" spans="1:12" x14ac:dyDescent="0.2">
      <c r="A55">
        <v>50</v>
      </c>
      <c r="B55" t="str">
        <v xml:space="preserve"> Vay quỹ hộ trợ thanh toán</v>
      </c>
      <c r="C55" s="263">
        <v>0</v>
      </c>
      <c r="D55" s="263">
        <v>0</v>
      </c>
      <c r="E55" s="263">
        <v>0</v>
      </c>
      <c r="F55" s="263">
        <v>0</v>
      </c>
      <c r="G55" s="263">
        <v>0</v>
      </c>
      <c r="H55" s="263">
        <v>0</v>
      </c>
      <c r="I55" s="263">
        <v>0</v>
      </c>
      <c r="J55" s="243"/>
    </row>
    <row r="56" spans="1:12" x14ac:dyDescent="0.2">
      <c r="A56">
        <v>51</v>
      </c>
      <c r="B56" t="str">
        <v>Phải trả người bán</v>
      </c>
      <c r="C56" s="263">
        <v>2071627226</v>
      </c>
      <c r="D56" s="263">
        <v>511985898771</v>
      </c>
      <c r="E56" s="263">
        <v>46147217000</v>
      </c>
      <c r="F56" s="263">
        <v>7165148384</v>
      </c>
      <c r="G56" s="263">
        <v>85357025491</v>
      </c>
      <c r="H56" s="263">
        <v>76467138679</v>
      </c>
      <c r="I56" s="263">
        <v>60169736376</v>
      </c>
      <c r="J56" s="243"/>
    </row>
    <row r="57" spans="1:12" x14ac:dyDescent="0.2">
      <c r="A57">
        <v>52</v>
      </c>
      <c r="B57" t="str">
        <v>Người mua trả tiền trước</v>
      </c>
      <c r="C57" s="263">
        <v>5189699125</v>
      </c>
      <c r="D57" s="263">
        <v>159500000</v>
      </c>
      <c r="E57" s="263">
        <v>200304282</v>
      </c>
      <c r="F57" s="263">
        <v>9575133458</v>
      </c>
      <c r="G57" s="263">
        <v>160190000</v>
      </c>
      <c r="H57" s="263">
        <v>160190000</v>
      </c>
      <c r="I57" s="263">
        <v>0</v>
      </c>
      <c r="J57" s="243"/>
    </row>
    <row r="58" spans="1:12" x14ac:dyDescent="0.2">
      <c r="A58">
        <v>53</v>
      </c>
      <c r="B58" t="str">
        <v>Thuế và các khoản phải nộp Nhà nước</v>
      </c>
      <c r="C58" s="263">
        <v>36056039289</v>
      </c>
      <c r="D58" s="263">
        <v>106862322628</v>
      </c>
      <c r="E58" s="263">
        <v>273262047703</v>
      </c>
      <c r="F58" s="263">
        <v>187981480489</v>
      </c>
      <c r="G58" s="263">
        <v>256582521889</v>
      </c>
      <c r="H58" s="263">
        <v>391810548957</v>
      </c>
      <c r="I58" s="263">
        <v>719140632663</v>
      </c>
      <c r="J58" s="243"/>
    </row>
    <row r="59" spans="1:12" x14ac:dyDescent="0.2">
      <c r="A59">
        <v>54</v>
      </c>
      <c r="B59" t="str">
        <v>Phải trả người lao động</v>
      </c>
      <c r="C59" s="263">
        <v>0</v>
      </c>
      <c r="D59" s="263">
        <v>40346671</v>
      </c>
      <c r="E59" s="263">
        <v>0</v>
      </c>
      <c r="F59" s="263">
        <v>0</v>
      </c>
      <c r="G59" s="263">
        <v>0</v>
      </c>
      <c r="H59" s="263">
        <v>0</v>
      </c>
      <c r="I59" s="263">
        <v>0</v>
      </c>
      <c r="J59" s="243"/>
    </row>
    <row r="60" spans="1:12" x14ac:dyDescent="0.2">
      <c r="A60">
        <v>55</v>
      </c>
      <c r="B60" t="str">
        <v>Các khoản trích nộp phúc lợi nhân viên</v>
      </c>
      <c r="C60" s="263">
        <v>990723178</v>
      </c>
      <c r="D60" s="263">
        <v>1636526139</v>
      </c>
      <c r="E60" s="263">
        <v>3853771859</v>
      </c>
      <c r="F60" s="263">
        <v>2397782135</v>
      </c>
      <c r="G60" s="263">
        <v>2145896705</v>
      </c>
      <c r="H60" s="263">
        <v>1831401632</v>
      </c>
      <c r="I60" s="263">
        <v>1304766031</v>
      </c>
      <c r="J60" s="243"/>
    </row>
    <row r="61" spans="1:12" x14ac:dyDescent="0.2">
      <c r="A61">
        <v>56</v>
      </c>
      <c r="B61" t="str">
        <v>Chi phí phải trả</v>
      </c>
      <c r="C61" s="263">
        <v>93352332232</v>
      </c>
      <c r="D61" s="263">
        <v>133593238926</v>
      </c>
      <c r="E61" s="263">
        <v>269066647085</v>
      </c>
      <c r="F61" s="263">
        <v>236011475836</v>
      </c>
      <c r="G61" s="263">
        <v>212440896236</v>
      </c>
      <c r="H61" s="263">
        <v>170421059451</v>
      </c>
      <c r="I61" s="263">
        <v>351801559208</v>
      </c>
      <c r="J61" s="243"/>
    </row>
    <row r="62" spans="1:12" x14ac:dyDescent="0.2">
      <c r="A62">
        <v>57</v>
      </c>
      <c r="B62" t="str">
        <v>Phải trả nội bộ</v>
      </c>
      <c r="C62" s="263">
        <v>0</v>
      </c>
      <c r="D62" s="263">
        <v>0</v>
      </c>
      <c r="E62" s="263">
        <v>0</v>
      </c>
      <c r="F62" s="263">
        <v>0</v>
      </c>
      <c r="G62" s="263">
        <v>0</v>
      </c>
      <c r="H62" s="263">
        <v>0</v>
      </c>
      <c r="I62" s="263">
        <v>0</v>
      </c>
      <c r="J62" s="243"/>
    </row>
    <row r="63" spans="1:12" x14ac:dyDescent="0.2">
      <c r="A63">
        <v>58</v>
      </c>
      <c r="B63" t="str">
        <v>Nhận ký quỹ, ký cược ngắn hạn</v>
      </c>
      <c r="C63" s="263">
        <v>0</v>
      </c>
      <c r="D63" s="263">
        <v>0</v>
      </c>
      <c r="E63" s="263">
        <v>0</v>
      </c>
      <c r="F63" s="263">
        <v>0</v>
      </c>
      <c r="G63" s="263">
        <v>0</v>
      </c>
      <c r="H63" s="263">
        <v>0</v>
      </c>
      <c r="I63" s="263">
        <v>0</v>
      </c>
      <c r="J63" s="243"/>
    </row>
    <row r="64" spans="1:12" ht="15.75" x14ac:dyDescent="0.25">
      <c r="A64" s="21">
        <v>59</v>
      </c>
      <c r="B64" s="21" t="str">
        <v>Phải trả theo tiến độ kế hoạch hợp đồng xây dựng</v>
      </c>
      <c r="C64" s="265">
        <v>0</v>
      </c>
      <c r="D64" s="265">
        <v>0</v>
      </c>
      <c r="E64" s="265">
        <v>0</v>
      </c>
      <c r="F64" s="265">
        <v>0</v>
      </c>
      <c r="G64" s="265">
        <v>0</v>
      </c>
      <c r="H64" s="265">
        <v>0</v>
      </c>
      <c r="I64" s="265">
        <v>0</v>
      </c>
      <c r="J64" s="243"/>
    </row>
    <row r="65" spans="1:11" x14ac:dyDescent="0.2">
      <c r="A65">
        <v>60</v>
      </c>
      <c r="B65" t="str">
        <v>Phải trả hoạt động giao dịch chứng khoán</v>
      </c>
      <c r="C65" s="263">
        <v>0</v>
      </c>
      <c r="D65" s="263">
        <v>0</v>
      </c>
      <c r="E65" s="263">
        <v>0</v>
      </c>
      <c r="F65" s="263">
        <v>0</v>
      </c>
      <c r="G65" s="263">
        <v>0</v>
      </c>
      <c r="H65" s="263">
        <v>0</v>
      </c>
      <c r="I65" s="263">
        <v>67179521773</v>
      </c>
      <c r="J65" s="243"/>
    </row>
    <row r="66" spans="1:11" x14ac:dyDescent="0.2">
      <c r="A66">
        <v>61</v>
      </c>
      <c r="B66" t="str">
        <v>Phải trả về lỗi giao dịch các tài sản tài chính</v>
      </c>
      <c r="C66" s="263">
        <v>0</v>
      </c>
      <c r="D66" s="263">
        <v>0</v>
      </c>
      <c r="E66" s="263">
        <v>0</v>
      </c>
      <c r="F66" s="263">
        <v>0</v>
      </c>
      <c r="G66" s="263">
        <v>0</v>
      </c>
      <c r="H66" s="263">
        <v>0</v>
      </c>
      <c r="I66" s="263">
        <v>0</v>
      </c>
      <c r="K66" s="85"/>
    </row>
    <row r="67" spans="1:11" x14ac:dyDescent="0.2">
      <c r="A67">
        <v>62</v>
      </c>
      <c r="B67" t="str">
        <v>Phải trả hộ cổ tức, gốc và lãi trái phiếu</v>
      </c>
      <c r="C67" s="263">
        <v>0</v>
      </c>
      <c r="D67" s="263">
        <v>0</v>
      </c>
      <c r="E67" s="263">
        <v>0</v>
      </c>
      <c r="F67" s="263">
        <v>0</v>
      </c>
      <c r="G67" s="263">
        <v>0</v>
      </c>
      <c r="H67" s="263">
        <v>0</v>
      </c>
      <c r="I67" s="263">
        <v>0</v>
      </c>
      <c r="J67" s="243"/>
    </row>
    <row r="68" spans="1:11" x14ac:dyDescent="0.2">
      <c r="A68">
        <v>63</v>
      </c>
      <c r="B68" t="str">
        <v>Phải trả tổ chức phát hành chứng khoán</v>
      </c>
      <c r="C68" s="263">
        <v>0</v>
      </c>
      <c r="D68" s="263">
        <v>0</v>
      </c>
      <c r="E68" s="263">
        <v>0</v>
      </c>
      <c r="F68" s="263">
        <v>0</v>
      </c>
      <c r="G68" s="263">
        <v>0</v>
      </c>
      <c r="H68" s="263">
        <v>0</v>
      </c>
      <c r="I68" s="263">
        <v>0</v>
      </c>
      <c r="J68" s="243"/>
    </row>
    <row r="69" spans="1:11" x14ac:dyDescent="0.2">
      <c r="A69">
        <v>64</v>
      </c>
      <c r="B69" t="str">
        <v>Các khoản phải trả, phải nộp ngắn hạn khác</v>
      </c>
      <c r="C69" s="263">
        <v>4454432246</v>
      </c>
      <c r="D69" s="263">
        <v>3201086643845</v>
      </c>
      <c r="E69" s="263">
        <v>3138153268129</v>
      </c>
      <c r="F69" s="263">
        <v>466442679833</v>
      </c>
      <c r="G69" s="263">
        <v>72303476911</v>
      </c>
      <c r="H69" s="263">
        <v>35641960341</v>
      </c>
      <c r="I69" s="263">
        <v>443377869728</v>
      </c>
      <c r="J69" s="243"/>
    </row>
    <row r="70" spans="1:11" x14ac:dyDescent="0.2">
      <c r="A70">
        <v>65</v>
      </c>
      <c r="B70" t="str">
        <v>Quỹ khen thưởng, phúc lợi</v>
      </c>
      <c r="C70" s="263">
        <v>91118</v>
      </c>
      <c r="D70" s="263">
        <v>91118</v>
      </c>
      <c r="E70" s="263">
        <v>91118</v>
      </c>
      <c r="F70" s="263">
        <v>91118</v>
      </c>
      <c r="G70" s="263">
        <v>91118</v>
      </c>
      <c r="H70" s="263">
        <v>91118</v>
      </c>
      <c r="I70" s="263">
        <v>0</v>
      </c>
      <c r="J70" s="243"/>
    </row>
    <row r="71" spans="1:11" x14ac:dyDescent="0.2">
      <c r="A71">
        <v>66</v>
      </c>
      <c r="B71" t="str">
        <v>Doanh thu chưa thực hiện ngắn hạn</v>
      </c>
      <c r="C71" s="263">
        <v>0</v>
      </c>
      <c r="D71" s="263">
        <v>0</v>
      </c>
      <c r="E71" s="263">
        <v>83574547216</v>
      </c>
      <c r="F71" s="263">
        <v>211370000</v>
      </c>
      <c r="G71" s="263">
        <v>524307999</v>
      </c>
      <c r="H71" s="263">
        <v>0</v>
      </c>
      <c r="I71" s="263">
        <v>32465752</v>
      </c>
      <c r="J71" s="243"/>
    </row>
    <row r="72" spans="1:11" x14ac:dyDescent="0.2">
      <c r="A72">
        <v>67</v>
      </c>
      <c r="B72" t="str">
        <v>Quỹ bình ổn giá</v>
      </c>
      <c r="C72" s="263">
        <v>0</v>
      </c>
      <c r="D72" s="263">
        <v>0</v>
      </c>
      <c r="E72" s="263">
        <v>0</v>
      </c>
      <c r="F72" s="263">
        <v>0</v>
      </c>
      <c r="G72" s="263">
        <v>0</v>
      </c>
      <c r="H72" s="263">
        <v>0</v>
      </c>
      <c r="I72" s="263">
        <v>0</v>
      </c>
      <c r="J72" s="243"/>
    </row>
    <row r="73" spans="1:11" x14ac:dyDescent="0.2">
      <c r="A73">
        <v>68</v>
      </c>
      <c r="B73" t="str">
        <v>Dự phòng phải trả ngắn hạn</v>
      </c>
      <c r="C73" s="263">
        <v>0</v>
      </c>
      <c r="D73" s="263">
        <v>0</v>
      </c>
      <c r="E73" s="263">
        <v>0</v>
      </c>
      <c r="F73" s="263">
        <v>0</v>
      </c>
      <c r="G73" s="263">
        <v>0</v>
      </c>
      <c r="H73" s="263">
        <v>0</v>
      </c>
      <c r="I73" s="263">
        <v>0</v>
      </c>
      <c r="J73" s="243"/>
    </row>
    <row r="74" spans="1:11" x14ac:dyDescent="0.2">
      <c r="A74">
        <v>69</v>
      </c>
      <c r="B74" t="str">
        <v>Giao dịch mua bán lại trái phiếu chính phủ</v>
      </c>
      <c r="C74" s="263">
        <v>422598929000</v>
      </c>
      <c r="D74" s="263">
        <v>0</v>
      </c>
      <c r="E74" s="263">
        <v>0</v>
      </c>
      <c r="F74" s="263">
        <v>0</v>
      </c>
      <c r="G74" s="263">
        <v>0</v>
      </c>
      <c r="H74" s="263">
        <v>0</v>
      </c>
      <c r="I74" s="263">
        <v>0</v>
      </c>
      <c r="J74" s="243"/>
    </row>
    <row r="75" spans="1:11" x14ac:dyDescent="0.2">
      <c r="A75">
        <v>70</v>
      </c>
      <c r="B75" t="str">
        <v>Nợ dài hạn</v>
      </c>
      <c r="C75" s="263">
        <v>874288561001</v>
      </c>
      <c r="D75" s="263">
        <v>145016596994</v>
      </c>
      <c r="E75" s="263">
        <v>787919995</v>
      </c>
      <c r="F75" s="263">
        <v>263999987</v>
      </c>
      <c r="G75" s="263">
        <v>295252568843</v>
      </c>
      <c r="H75" s="263">
        <v>0</v>
      </c>
      <c r="I75" s="263">
        <v>4999906666660</v>
      </c>
      <c r="J75" s="243"/>
    </row>
    <row r="76" spans="1:11" x14ac:dyDescent="0.2">
      <c r="A76">
        <v>71</v>
      </c>
      <c r="B76" t="str">
        <v>Phải trả dài hạn người bán</v>
      </c>
      <c r="C76" s="263">
        <v>0</v>
      </c>
      <c r="D76" s="263">
        <v>0</v>
      </c>
      <c r="E76" s="263">
        <v>0</v>
      </c>
      <c r="F76" s="263">
        <v>0</v>
      </c>
      <c r="G76" s="263">
        <v>0</v>
      </c>
      <c r="H76" s="263">
        <v>0</v>
      </c>
      <c r="I76" s="263">
        <v>0</v>
      </c>
      <c r="J76" s="243"/>
    </row>
    <row r="77" spans="1:11" x14ac:dyDescent="0.2">
      <c r="A77">
        <v>72</v>
      </c>
      <c r="B77" t="str">
        <v>Người mua trả trước dài hạn</v>
      </c>
      <c r="C77" s="263">
        <v>0</v>
      </c>
      <c r="D77" s="263">
        <v>0</v>
      </c>
      <c r="E77" s="263">
        <v>0</v>
      </c>
      <c r="F77" s="263">
        <v>0</v>
      </c>
      <c r="G77" s="263">
        <v>0</v>
      </c>
      <c r="H77" s="263">
        <v>0</v>
      </c>
      <c r="I77" s="263">
        <v>0</v>
      </c>
      <c r="J77" s="243"/>
    </row>
    <row r="78" spans="1:11" x14ac:dyDescent="0.2">
      <c r="A78">
        <v>73</v>
      </c>
      <c r="B78" t="str">
        <v>Chi phí phải trả dài hạn</v>
      </c>
      <c r="C78" s="263">
        <v>0</v>
      </c>
      <c r="D78" s="263">
        <v>0</v>
      </c>
      <c r="E78" s="263">
        <v>0</v>
      </c>
      <c r="F78" s="263">
        <v>0</v>
      </c>
      <c r="G78" s="263">
        <v>8952568843</v>
      </c>
      <c r="H78" s="263">
        <v>0</v>
      </c>
      <c r="I78" s="263">
        <v>0</v>
      </c>
      <c r="J78" s="243"/>
    </row>
    <row r="79" spans="1:11" x14ac:dyDescent="0.2">
      <c r="A79">
        <v>74</v>
      </c>
      <c r="B79" t="str">
        <v>Phải trả nội bộ về vốn kinh doanh</v>
      </c>
      <c r="C79" s="263">
        <v>0</v>
      </c>
      <c r="D79" s="263">
        <v>0</v>
      </c>
      <c r="E79" s="263">
        <v>0</v>
      </c>
      <c r="F79" s="263">
        <v>0</v>
      </c>
      <c r="G79" s="263">
        <v>0</v>
      </c>
      <c r="H79" s="263">
        <v>0</v>
      </c>
      <c r="I79" s="263">
        <v>0</v>
      </c>
      <c r="J79" s="243"/>
    </row>
    <row r="80" spans="1:11" x14ac:dyDescent="0.2">
      <c r="A80">
        <v>75</v>
      </c>
      <c r="B80" t="str">
        <v>Nhận ký quỹ, ký cược dài hạn</v>
      </c>
      <c r="C80" s="263">
        <v>0</v>
      </c>
      <c r="D80" s="263">
        <v>0</v>
      </c>
      <c r="E80" s="263">
        <v>0</v>
      </c>
      <c r="F80" s="263">
        <v>0</v>
      </c>
      <c r="G80" s="263">
        <v>0</v>
      </c>
      <c r="H80" s="263">
        <v>0</v>
      </c>
      <c r="I80" s="263">
        <v>0</v>
      </c>
      <c r="J80" s="243"/>
    </row>
    <row r="81" spans="1:10" x14ac:dyDescent="0.2">
      <c r="A81">
        <v>76</v>
      </c>
      <c r="B81" t="str">
        <v>Phải trả dài hạn nội bộ</v>
      </c>
      <c r="C81" s="263">
        <v>0</v>
      </c>
      <c r="D81" s="263">
        <v>0</v>
      </c>
      <c r="E81" s="263">
        <v>0</v>
      </c>
      <c r="F81" s="263">
        <v>0</v>
      </c>
      <c r="G81" s="263">
        <v>0</v>
      </c>
      <c r="H81" s="263">
        <v>0</v>
      </c>
      <c r="I81" s="263">
        <v>0</v>
      </c>
      <c r="J81" s="243"/>
    </row>
    <row r="82" spans="1:10" x14ac:dyDescent="0.2">
      <c r="A82">
        <v>77</v>
      </c>
      <c r="B82" t="str">
        <v>Phải trả dài hạn khác</v>
      </c>
      <c r="C82" s="263">
        <v>0</v>
      </c>
      <c r="D82" s="263">
        <v>0</v>
      </c>
      <c r="E82" s="263">
        <v>0</v>
      </c>
      <c r="F82" s="263">
        <v>0</v>
      </c>
      <c r="G82" s="263">
        <v>0</v>
      </c>
      <c r="H82" s="263">
        <v>0</v>
      </c>
      <c r="I82" s="263">
        <v>0</v>
      </c>
      <c r="J82" s="243"/>
    </row>
    <row r="83" spans="1:10" x14ac:dyDescent="0.2">
      <c r="A83">
        <v>78</v>
      </c>
      <c r="B83" t="str">
        <v>Vay và nợ dài hạn</v>
      </c>
      <c r="C83" s="263">
        <v>5119561001</v>
      </c>
      <c r="D83" s="263">
        <v>1434640003</v>
      </c>
      <c r="E83" s="263">
        <v>787919995</v>
      </c>
      <c r="F83" s="263">
        <v>263999987</v>
      </c>
      <c r="G83" s="263">
        <v>286300000000</v>
      </c>
      <c r="H83" s="263">
        <v>0</v>
      </c>
      <c r="I83" s="263">
        <v>0</v>
      </c>
      <c r="J83" s="243"/>
    </row>
    <row r="84" spans="1:10" x14ac:dyDescent="0.2">
      <c r="A84">
        <v>79</v>
      </c>
      <c r="B84" t="str">
        <v xml:space="preserve">Vay tài sản tài chính dài hạn </v>
      </c>
      <c r="C84" s="263">
        <v>0</v>
      </c>
      <c r="D84" s="263">
        <v>0</v>
      </c>
      <c r="E84" s="263">
        <v>0</v>
      </c>
      <c r="F84" s="263">
        <v>0</v>
      </c>
      <c r="G84" s="263">
        <v>0</v>
      </c>
      <c r="H84" s="263">
        <v>0</v>
      </c>
      <c r="I84" s="263">
        <v>0</v>
      </c>
      <c r="J84" s="243"/>
    </row>
    <row r="85" spans="1:10" x14ac:dyDescent="0.2">
      <c r="A85">
        <v>80</v>
      </c>
      <c r="B85" t="str">
        <v>Trái phiếu chuyển đổi</v>
      </c>
      <c r="C85" s="263">
        <v>0</v>
      </c>
      <c r="D85" s="263">
        <v>0</v>
      </c>
      <c r="E85" s="263">
        <v>0</v>
      </c>
      <c r="F85" s="263">
        <v>0</v>
      </c>
      <c r="G85" s="263">
        <v>0</v>
      </c>
      <c r="H85" s="263">
        <v>0</v>
      </c>
      <c r="I85" s="263">
        <v>0</v>
      </c>
      <c r="J85" s="243"/>
    </row>
    <row r="86" spans="1:10" x14ac:dyDescent="0.2">
      <c r="A86">
        <v>81</v>
      </c>
      <c r="B86" t="str">
        <v xml:space="preserve">Trái phiếu phát hành dài hạn </v>
      </c>
      <c r="C86" s="263">
        <v>869169000000</v>
      </c>
      <c r="D86" s="263">
        <v>0</v>
      </c>
      <c r="E86" s="263">
        <v>0</v>
      </c>
      <c r="F86" s="263">
        <v>0</v>
      </c>
      <c r="G86" s="263">
        <v>0</v>
      </c>
      <c r="H86" s="263">
        <v>0</v>
      </c>
      <c r="I86" s="263">
        <v>4999906666660</v>
      </c>
      <c r="J86" s="243"/>
    </row>
    <row r="87" spans="1:10" x14ac:dyDescent="0.2">
      <c r="A87">
        <v>82</v>
      </c>
      <c r="B87" t="str">
        <v>Cổ phiếu ưu đãi</v>
      </c>
      <c r="C87" s="263">
        <v>0</v>
      </c>
      <c r="D87" s="263">
        <v>0</v>
      </c>
      <c r="E87" s="263">
        <v>0</v>
      </c>
      <c r="F87" s="263">
        <v>0</v>
      </c>
      <c r="G87" s="263">
        <v>0</v>
      </c>
      <c r="H87" s="263">
        <v>0</v>
      </c>
      <c r="I87" s="263">
        <v>0</v>
      </c>
      <c r="J87" s="243"/>
    </row>
    <row r="88" spans="1:10" x14ac:dyDescent="0.2">
      <c r="A88">
        <v>83</v>
      </c>
      <c r="B88" t="str">
        <v>Thuế thu nhập hoãn lại phải trả</v>
      </c>
      <c r="C88" s="263">
        <v>0</v>
      </c>
      <c r="D88" s="263">
        <v>0</v>
      </c>
      <c r="E88" s="263">
        <v>0</v>
      </c>
      <c r="F88" s="263">
        <v>0</v>
      </c>
      <c r="G88" s="263">
        <v>0</v>
      </c>
      <c r="H88" s="263">
        <v>0</v>
      </c>
      <c r="I88" s="263">
        <v>0</v>
      </c>
      <c r="J88" s="243"/>
    </row>
    <row r="89" spans="1:10" x14ac:dyDescent="0.2">
      <c r="A89">
        <v>84</v>
      </c>
      <c r="B89" t="str">
        <v>Dự phòng trợ cấp mất việc làm</v>
      </c>
      <c r="C89" s="263">
        <v>0</v>
      </c>
      <c r="D89" s="263">
        <v>0</v>
      </c>
      <c r="E89" s="263">
        <v>0</v>
      </c>
      <c r="F89" s="263">
        <v>0</v>
      </c>
      <c r="G89" s="263">
        <v>0</v>
      </c>
      <c r="H89" s="263">
        <v>0</v>
      </c>
      <c r="I89" s="263">
        <v>0</v>
      </c>
      <c r="J89" s="243"/>
    </row>
    <row r="90" spans="1:10" x14ac:dyDescent="0.2">
      <c r="A90">
        <v>85</v>
      </c>
      <c r="B90" t="str">
        <v>Doanh thu chưa thực hiện dài hạn</v>
      </c>
      <c r="C90" s="263">
        <v>0</v>
      </c>
      <c r="D90" s="263">
        <v>143581956991</v>
      </c>
      <c r="E90" s="263">
        <v>0</v>
      </c>
      <c r="F90" s="263">
        <v>0</v>
      </c>
      <c r="G90" s="263">
        <v>0</v>
      </c>
      <c r="H90" s="263">
        <v>0</v>
      </c>
      <c r="I90" s="263">
        <v>0</v>
      </c>
      <c r="J90" s="243"/>
    </row>
    <row r="91" spans="1:10" x14ac:dyDescent="0.2">
      <c r="A91">
        <v>86</v>
      </c>
      <c r="B91" t="str">
        <v>Dự phòng phải trả dài hạn</v>
      </c>
      <c r="C91" s="263">
        <v>0</v>
      </c>
      <c r="D91" s="263">
        <v>0</v>
      </c>
      <c r="E91" s="263">
        <v>0</v>
      </c>
      <c r="F91" s="263">
        <v>0</v>
      </c>
      <c r="G91" s="263">
        <v>0</v>
      </c>
      <c r="H91" s="263">
        <v>0</v>
      </c>
      <c r="I91" s="263">
        <v>0</v>
      </c>
      <c r="J91" s="243"/>
    </row>
    <row r="92" spans="1:10" x14ac:dyDescent="0.2">
      <c r="A92">
        <v>87</v>
      </c>
      <c r="B92" t="str">
        <v>Dự phòng bồi thường thiệt hại cho nhà đầu tư</v>
      </c>
      <c r="C92" s="263">
        <v>0</v>
      </c>
      <c r="D92" s="263">
        <v>0</v>
      </c>
      <c r="E92" s="263">
        <v>0</v>
      </c>
      <c r="F92" s="263">
        <v>0</v>
      </c>
      <c r="G92" s="263">
        <v>0</v>
      </c>
      <c r="H92" s="263">
        <v>0</v>
      </c>
      <c r="I92" s="263">
        <v>0</v>
      </c>
      <c r="J92" s="243"/>
    </row>
    <row r="93" spans="1:10" x14ac:dyDescent="0.2">
      <c r="A93">
        <v>88</v>
      </c>
      <c r="B93" t="str">
        <v>Quỹ phát triển khoa học và công nghệ</v>
      </c>
      <c r="C93" s="263">
        <v>0</v>
      </c>
      <c r="D93" s="263">
        <v>0</v>
      </c>
      <c r="E93" s="263">
        <v>0</v>
      </c>
      <c r="F93" s="263">
        <v>0</v>
      </c>
      <c r="G93" s="263">
        <v>0</v>
      </c>
      <c r="H93" s="263">
        <v>0</v>
      </c>
      <c r="I93" s="263">
        <v>0</v>
      </c>
      <c r="J93" s="243"/>
    </row>
    <row r="94" spans="1:10" x14ac:dyDescent="0.2">
      <c r="A94">
        <v>89</v>
      </c>
      <c r="B94" t="str">
        <v>Vốn chủ sở hữu</v>
      </c>
      <c r="C94" s="263">
        <v>4270928091622</v>
      </c>
      <c r="D94" s="263">
        <v>4975115259394</v>
      </c>
      <c r="E94" s="263">
        <v>7820489081443</v>
      </c>
      <c r="F94" s="263">
        <v>8475011049496</v>
      </c>
      <c r="G94" s="263">
        <v>8992939064021</v>
      </c>
      <c r="H94" s="263">
        <v>11362920281297</v>
      </c>
      <c r="I94" s="263">
        <v>28835109255467</v>
      </c>
      <c r="J94" s="243"/>
    </row>
    <row r="95" spans="1:10" x14ac:dyDescent="0.2">
      <c r="A95">
        <v>90</v>
      </c>
      <c r="B95" t="str">
        <v>Vốn và các quỹ</v>
      </c>
      <c r="C95" s="263">
        <v>4270928091622</v>
      </c>
      <c r="D95" s="263">
        <v>4975115259394</v>
      </c>
      <c r="E95" s="263">
        <v>7820489081443</v>
      </c>
      <c r="F95" s="263">
        <v>8475011049496</v>
      </c>
      <c r="G95" s="263">
        <v>8992939064021</v>
      </c>
      <c r="H95" s="263">
        <v>11362920281297</v>
      </c>
      <c r="I95" s="263">
        <v>28835109255467</v>
      </c>
      <c r="J95" s="243"/>
    </row>
    <row r="96" spans="1:10" x14ac:dyDescent="0.2">
      <c r="A96">
        <v>91</v>
      </c>
      <c r="B96" t="str">
        <v>Vốn góp</v>
      </c>
      <c r="C96" s="263">
        <v>3500000000000</v>
      </c>
      <c r="D96" s="263">
        <v>3500000000000</v>
      </c>
      <c r="E96" s="263">
        <v>5700057000000</v>
      </c>
      <c r="F96" s="263">
        <v>5700057000000</v>
      </c>
      <c r="G96" s="263">
        <v>5700057000000</v>
      </c>
      <c r="H96" s="263">
        <v>5700057000000</v>
      </c>
      <c r="I96" s="263">
        <v>15218257000000</v>
      </c>
      <c r="J96" s="243"/>
    </row>
    <row r="97" spans="1:10" x14ac:dyDescent="0.2">
      <c r="A97">
        <v>92</v>
      </c>
      <c r="B97" t="str">
        <v>Chênh lệch đánh giá lại tài sản</v>
      </c>
      <c r="C97" s="263">
        <v>0</v>
      </c>
      <c r="D97" s="263">
        <v>0</v>
      </c>
      <c r="E97" s="263">
        <v>0</v>
      </c>
      <c r="F97" s="263">
        <v>0</v>
      </c>
      <c r="G97" s="263">
        <v>0</v>
      </c>
      <c r="H97" s="263">
        <v>0</v>
      </c>
      <c r="I97" s="263">
        <v>-35440751897</v>
      </c>
      <c r="J97" s="243"/>
    </row>
    <row r="98" spans="1:10" x14ac:dyDescent="0.2">
      <c r="A98">
        <v>93</v>
      </c>
      <c r="B98" t="str">
        <v>Chênh lệch tỷ giá hối đoái</v>
      </c>
      <c r="C98" s="263">
        <v>0</v>
      </c>
      <c r="D98" s="263">
        <v>0</v>
      </c>
      <c r="E98" s="263">
        <v>0</v>
      </c>
      <c r="F98" s="263">
        <v>0</v>
      </c>
      <c r="G98" s="263">
        <v>0</v>
      </c>
      <c r="H98" s="263">
        <v>0</v>
      </c>
      <c r="I98" s="263">
        <v>0</v>
      </c>
      <c r="J98" s="243"/>
    </row>
    <row r="99" spans="1:10" x14ac:dyDescent="0.2">
      <c r="A99">
        <v>94</v>
      </c>
      <c r="B99" t="str">
        <v>Quỹ dự trự bổ sung vốn điều lệ</v>
      </c>
      <c r="C99" s="263">
        <v>17825187918</v>
      </c>
      <c r="D99" s="263">
        <v>60876662969</v>
      </c>
      <c r="E99" s="263">
        <v>85464382859</v>
      </c>
      <c r="F99" s="263">
        <v>85464382859</v>
      </c>
      <c r="G99" s="263">
        <v>85464382859</v>
      </c>
      <c r="H99" s="263">
        <v>85464382859</v>
      </c>
      <c r="I99" s="263">
        <v>0</v>
      </c>
      <c r="J99" s="243"/>
    </row>
    <row r="100" spans="1:10" x14ac:dyDescent="0.2">
      <c r="A100">
        <v>95</v>
      </c>
      <c r="B100" t="str">
        <v>Quỹ đầu tư phát triển</v>
      </c>
      <c r="C100" s="263">
        <v>0</v>
      </c>
      <c r="D100" s="263">
        <v>0</v>
      </c>
      <c r="E100" s="263">
        <v>0</v>
      </c>
      <c r="F100" s="263">
        <v>0</v>
      </c>
      <c r="G100" s="263">
        <v>0</v>
      </c>
      <c r="H100" s="263">
        <v>0</v>
      </c>
      <c r="I100" s="263">
        <v>0</v>
      </c>
      <c r="J100" s="243"/>
    </row>
    <row r="101" spans="1:10" x14ac:dyDescent="0.2">
      <c r="A101">
        <v>96</v>
      </c>
      <c r="B101" t="str">
        <v>Quỹ dự phòng tài chính</v>
      </c>
      <c r="C101" s="263">
        <v>35367946018</v>
      </c>
      <c r="D101" s="263">
        <v>78419421069</v>
      </c>
      <c r="E101" s="263">
        <v>103007140959</v>
      </c>
      <c r="F101" s="263">
        <v>103007140959</v>
      </c>
      <c r="G101" s="263">
        <v>103007140959</v>
      </c>
      <c r="H101" s="263">
        <v>103007140959</v>
      </c>
      <c r="I101" s="263">
        <v>0</v>
      </c>
      <c r="J101" s="243"/>
    </row>
    <row r="102" spans="1:10" x14ac:dyDescent="0.2">
      <c r="A102">
        <v>97</v>
      </c>
      <c r="B102" t="str">
        <v>Quỹ khác thuộc vốn chủ sở hữu</v>
      </c>
      <c r="C102" s="263">
        <v>0</v>
      </c>
      <c r="D102" s="263">
        <v>0</v>
      </c>
      <c r="E102" s="263">
        <v>0</v>
      </c>
      <c r="F102" s="263">
        <v>0</v>
      </c>
      <c r="G102" s="263">
        <v>0</v>
      </c>
      <c r="H102" s="263">
        <v>0</v>
      </c>
      <c r="I102" s="263">
        <v>0</v>
      </c>
      <c r="J102" s="243"/>
    </row>
    <row r="103" spans="1:10" x14ac:dyDescent="0.2">
      <c r="A103">
        <v>98</v>
      </c>
      <c r="B103" t="str">
        <v>Lợi nhuận sau thuế chưa phân phối</v>
      </c>
      <c r="C103" s="263">
        <v>717734957686</v>
      </c>
      <c r="D103" s="263">
        <v>1335819175356</v>
      </c>
      <c r="E103" s="263">
        <v>1931960557625</v>
      </c>
      <c r="F103" s="263">
        <v>2586482525678</v>
      </c>
      <c r="G103" s="263">
        <v>3104410540203</v>
      </c>
      <c r="H103" s="263">
        <v>5474391757479</v>
      </c>
      <c r="I103" s="263">
        <v>2141526068212</v>
      </c>
      <c r="J103" s="243"/>
    </row>
    <row r="104" spans="1:10" x14ac:dyDescent="0.2">
      <c r="A104">
        <v>99</v>
      </c>
      <c r="B104" t="str">
        <v>Lợi ích cổ đông không kiểm soát</v>
      </c>
      <c r="C104" s="263">
        <v>0</v>
      </c>
      <c r="D104" s="263">
        <v>0</v>
      </c>
      <c r="E104" s="263">
        <v>0</v>
      </c>
      <c r="F104" s="263">
        <v>0</v>
      </c>
      <c r="G104" s="263">
        <v>0</v>
      </c>
      <c r="H104" s="263">
        <v>0</v>
      </c>
      <c r="I104" s="263">
        <v>0</v>
      </c>
      <c r="J104" s="243"/>
    </row>
    <row r="105" spans="1:10" x14ac:dyDescent="0.2">
      <c r="A105">
        <v>100</v>
      </c>
      <c r="B105" t="str">
        <v>Nguồn kinh phí và quỹ khác</v>
      </c>
      <c r="C105" s="263">
        <v>0</v>
      </c>
      <c r="D105" s="263">
        <v>0</v>
      </c>
      <c r="E105" s="263">
        <v>0</v>
      </c>
      <c r="F105" s="263">
        <v>0</v>
      </c>
      <c r="G105" s="263">
        <v>0</v>
      </c>
      <c r="H105" s="263">
        <v>0</v>
      </c>
      <c r="I105" s="263">
        <v>0</v>
      </c>
    </row>
    <row r="106" spans="1:10" x14ac:dyDescent="0.2">
      <c r="A106">
        <v>101</v>
      </c>
      <c r="B106" t="str">
        <v>Vốn ngân sách nhà nước</v>
      </c>
      <c r="C106" s="263">
        <v>0</v>
      </c>
      <c r="D106" s="263">
        <v>0</v>
      </c>
      <c r="E106" s="263">
        <v>0</v>
      </c>
      <c r="F106" s="263">
        <v>0</v>
      </c>
      <c r="G106" s="263">
        <v>0</v>
      </c>
      <c r="H106" s="263">
        <v>0</v>
      </c>
      <c r="I106" s="263">
        <v>0</v>
      </c>
    </row>
    <row r="107" spans="1:10" x14ac:dyDescent="0.2">
      <c r="A107">
        <v>102</v>
      </c>
      <c r="B107" t="str">
        <v>Nguồn kinh phí đã hình thành TSCĐ</v>
      </c>
      <c r="C107" s="263">
        <v>0</v>
      </c>
      <c r="D107" s="263">
        <v>0</v>
      </c>
      <c r="E107" s="263">
        <v>0</v>
      </c>
      <c r="F107" s="263">
        <v>0</v>
      </c>
      <c r="G107" s="263">
        <v>0</v>
      </c>
      <c r="H107" s="263">
        <v>0</v>
      </c>
      <c r="I107" s="263">
        <v>0</v>
      </c>
    </row>
    <row r="108" spans="1:10" x14ac:dyDescent="0.2">
      <c r="A108">
        <v>103</v>
      </c>
      <c r="B108" t="str">
        <v>Quỹ khen thưởng, phúc lợi (trước 2010)</v>
      </c>
      <c r="C108" s="263">
        <v>0</v>
      </c>
      <c r="D108" s="263">
        <v>0</v>
      </c>
      <c r="E108" s="263">
        <v>0</v>
      </c>
      <c r="F108" s="263">
        <v>0</v>
      </c>
      <c r="G108" s="263">
        <v>0</v>
      </c>
      <c r="H108" s="263">
        <v>0</v>
      </c>
      <c r="I108" s="263">
        <v>0</v>
      </c>
    </row>
    <row r="109" spans="1:10" x14ac:dyDescent="0.2">
      <c r="A109">
        <v>104</v>
      </c>
      <c r="B109" t="str">
        <v>Lợi ích của cổ đông không kiểm soát (trước 2015)</v>
      </c>
      <c r="C109" s="263">
        <v>0</v>
      </c>
      <c r="D109" s="263">
        <v>0</v>
      </c>
      <c r="E109" s="263">
        <v>0</v>
      </c>
      <c r="F109" s="263">
        <v>0</v>
      </c>
      <c r="G109" s="263">
        <v>0</v>
      </c>
      <c r="H109" s="263">
        <v>0</v>
      </c>
      <c r="I109" s="263">
        <v>0</v>
      </c>
    </row>
    <row r="110" spans="1:10" x14ac:dyDescent="0.2">
      <c r="A110">
        <v>105</v>
      </c>
      <c r="B110" t="str">
        <v>LỢI  NHUẬN ĐÃ PHÂN PHỐI CHO NHÀ ĐẦU TƯ</v>
      </c>
      <c r="C110" s="263">
        <v>0</v>
      </c>
      <c r="D110" s="263">
        <v>0</v>
      </c>
      <c r="E110" s="263">
        <v>0</v>
      </c>
      <c r="F110" s="263">
        <v>0</v>
      </c>
      <c r="G110" s="263">
        <v>0</v>
      </c>
      <c r="H110" s="263">
        <v>0</v>
      </c>
      <c r="I110" s="263">
        <v>0</v>
      </c>
    </row>
    <row r="111" spans="1:10" x14ac:dyDescent="0.2">
      <c r="A111">
        <v>106</v>
      </c>
      <c r="B111" t="str">
        <v>Lợi nhuận đã phân phối cho Nhà đầu tư trong năm</v>
      </c>
      <c r="C111" s="263">
        <v>0</v>
      </c>
      <c r="D111" s="263">
        <v>0</v>
      </c>
      <c r="E111" s="263">
        <v>0</v>
      </c>
      <c r="F111" s="263">
        <v>0</v>
      </c>
      <c r="G111" s="263">
        <v>0</v>
      </c>
      <c r="H111" s="263">
        <v>0</v>
      </c>
      <c r="I111" s="263">
        <v>0</v>
      </c>
    </row>
    <row r="112" spans="1:10" x14ac:dyDescent="0.2">
      <c r="C112" s="263"/>
      <c r="D112" s="263"/>
      <c r="E112" s="263"/>
      <c r="F112" s="263"/>
      <c r="G112" s="263"/>
      <c r="H112" s="263"/>
      <c r="I112" s="263"/>
    </row>
    <row r="113" spans="3:9" x14ac:dyDescent="0.2">
      <c r="C113" s="263"/>
      <c r="D113" s="263"/>
      <c r="E113" s="263"/>
      <c r="F113" s="263"/>
      <c r="G113" s="263"/>
      <c r="H113" s="263"/>
      <c r="I113" s="263"/>
    </row>
    <row r="114" spans="3:9" x14ac:dyDescent="0.2">
      <c r="C114" s="263"/>
      <c r="D114" s="263"/>
      <c r="E114" s="263"/>
      <c r="F114" s="263"/>
      <c r="G114" s="263"/>
      <c r="H114" s="263"/>
      <c r="I114" s="263"/>
    </row>
    <row r="115" spans="3:9" x14ac:dyDescent="0.2">
      <c r="C115" s="263"/>
      <c r="D115" s="263"/>
      <c r="E115" s="263"/>
      <c r="F115" s="263"/>
      <c r="G115" s="263"/>
      <c r="H115" s="263"/>
      <c r="I115" s="263"/>
    </row>
    <row r="116" spans="3:9" x14ac:dyDescent="0.2">
      <c r="C116" s="263"/>
      <c r="D116" s="263"/>
      <c r="E116" s="263"/>
      <c r="F116" s="263"/>
      <c r="G116" s="263"/>
      <c r="H116" s="263"/>
      <c r="I116" s="263"/>
    </row>
    <row r="117" spans="3:9" x14ac:dyDescent="0.2">
      <c r="C117" s="263"/>
      <c r="D117" s="263"/>
      <c r="E117" s="263"/>
      <c r="F117" s="263"/>
      <c r="G117" s="263"/>
      <c r="H117" s="263"/>
      <c r="I117" s="263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B0E84-5948-4DA8-9B2C-CAB9E6B79D24}">
  <sheetPr codeName="Sheet34"/>
  <dimension ref="A1:W26"/>
  <sheetViews>
    <sheetView workbookViewId="0">
      <selection activeCell="M20" sqref="M20"/>
    </sheetView>
  </sheetViews>
  <sheetFormatPr defaultRowHeight="15" x14ac:dyDescent="0.2"/>
  <cols>
    <col min="1" max="1" width="3.21875" customWidth="1"/>
    <col min="2" max="2" width="25.77734375" customWidth="1"/>
    <col min="3" max="3" width="33.5546875" customWidth="1"/>
    <col min="5" max="5" width="12.109375" customWidth="1"/>
    <col min="6" max="6" width="13.21875" customWidth="1"/>
    <col min="7" max="7" width="3.77734375" customWidth="1"/>
    <col min="9" max="9" width="9.44140625" customWidth="1"/>
    <col min="10" max="10" width="12.6640625" customWidth="1"/>
    <col min="13" max="13" width="10.6640625" customWidth="1"/>
    <col min="14" max="14" width="10.109375" bestFit="1" customWidth="1"/>
  </cols>
  <sheetData>
    <row r="1" spans="1:23" x14ac:dyDescent="0.2">
      <c r="A1" t="str" cm="1">
        <f t="array" ref="A1:C21">CW_info(H1)</f>
        <v/>
      </c>
      <c r="B1" t="str">
        <v>CW</v>
      </c>
      <c r="C1" t="str">
        <v>FPT2516</v>
      </c>
      <c r="D1" t="s">
        <v>3185</v>
      </c>
      <c r="H1" t="s">
        <v>3198</v>
      </c>
      <c r="K1" t="str" cm="1">
        <f t="array" aca="1" ref="K1:W8" ca="1">get_price_historical_vnd(MID(H1,2,3),CANSLIM!$H$1,CANSLIM!$I$1)</f>
        <v/>
      </c>
      <c r="L1" t="str">
        <f ca="1"/>
        <v>code</v>
      </c>
      <c r="M1" t="str">
        <f ca="1"/>
        <v>date</v>
      </c>
      <c r="N1" t="str">
        <f ca="1"/>
        <v>open</v>
      </c>
      <c r="O1" t="str">
        <f ca="1"/>
        <v>high</v>
      </c>
      <c r="P1" t="str">
        <f ca="1"/>
        <v>low</v>
      </c>
      <c r="Q1" t="str">
        <f ca="1"/>
        <v>close</v>
      </c>
      <c r="R1" t="str">
        <f ca="1"/>
        <v>KLGD Khớp lệnh</v>
      </c>
      <c r="S1" t="str">
        <f ca="1"/>
        <v>GTGD Khớp lệnh</v>
      </c>
      <c r="T1" t="str">
        <f ca="1"/>
        <v>KLGD Thỏa thuận</v>
      </c>
      <c r="U1" t="str">
        <f ca="1"/>
        <v>GTGD Thỏa thuận</v>
      </c>
      <c r="V1" t="str">
        <f ca="1"/>
        <v>tăng/giảm</v>
      </c>
      <c r="W1" t="str">
        <f ca="1"/>
        <v>% tăng/giảm</v>
      </c>
    </row>
    <row r="2" spans="1:23" x14ac:dyDescent="0.2">
      <c r="A2">
        <v>0</v>
      </c>
      <c r="B2" t="str">
        <v>CK cơ sở  :</v>
      </c>
      <c r="C2" t="str">
        <v>FPT</v>
      </c>
      <c r="K2">
        <f ca="1"/>
        <v>0</v>
      </c>
      <c r="L2" t="str">
        <f ca="1"/>
        <v>FPT</v>
      </c>
      <c r="M2" t="str">
        <f ca="1"/>
        <v>2026-07-14</v>
      </c>
      <c r="N2">
        <f ca="1"/>
        <v>70.3</v>
      </c>
      <c r="O2">
        <f ca="1"/>
        <v>70.900000000000006</v>
      </c>
      <c r="P2">
        <f ca="1"/>
        <v>70</v>
      </c>
      <c r="Q2">
        <f ca="1"/>
        <v>70.3</v>
      </c>
      <c r="R2">
        <f ca="1"/>
        <v>6626800</v>
      </c>
      <c r="S2">
        <f ca="1"/>
        <v>466514850000</v>
      </c>
      <c r="T2">
        <f ca="1"/>
        <v>1128100</v>
      </c>
      <c r="U2">
        <f ca="1"/>
        <v>81091760000</v>
      </c>
      <c r="V2">
        <f ca="1"/>
        <v>-0.2</v>
      </c>
      <c r="W2" t="str">
        <f ca="1"/>
        <v>-0.2837%</v>
      </c>
    </row>
    <row r="3" spans="1:23" x14ac:dyDescent="0.2">
      <c r="A3">
        <v>1</v>
      </c>
      <c r="B3" t="str">
        <v>Tổ chức phát hành CKCS  :</v>
      </c>
      <c r="C3" t="str">
        <v>CTCP FPT (HOSE:  FPT  )</v>
      </c>
      <c r="K3">
        <f ca="1"/>
        <v>1</v>
      </c>
      <c r="L3" t="str">
        <f ca="1"/>
        <v>FPT</v>
      </c>
      <c r="M3" t="str">
        <f ca="1"/>
        <v>2026-07-13</v>
      </c>
      <c r="N3">
        <f ca="1"/>
        <v>70.3</v>
      </c>
      <c r="O3">
        <f ca="1"/>
        <v>71.3</v>
      </c>
      <c r="P3">
        <f ca="1"/>
        <v>70.2</v>
      </c>
      <c r="Q3">
        <f ca="1"/>
        <v>70.5</v>
      </c>
      <c r="R3">
        <f ca="1"/>
        <v>7738400</v>
      </c>
      <c r="S3">
        <f ca="1"/>
        <v>547056600000</v>
      </c>
      <c r="T3">
        <f ca="1"/>
        <v>495040</v>
      </c>
      <c r="U3">
        <f ca="1"/>
        <v>33662720000</v>
      </c>
      <c r="V3">
        <f ca="1"/>
        <v>-0.1</v>
      </c>
      <c r="W3" t="str">
        <f ca="1"/>
        <v>-0.1416%</v>
      </c>
    </row>
    <row r="4" spans="1:23" x14ac:dyDescent="0.2">
      <c r="A4">
        <v>2</v>
      </c>
      <c r="B4" t="str">
        <v>Tổ chức phát hành CW  :</v>
      </c>
      <c r="C4" t="str">
        <v>CTCP Chứng khoán VPBank (  VPX  )</v>
      </c>
      <c r="K4">
        <f ca="1"/>
        <v>2</v>
      </c>
      <c r="L4" t="str">
        <f ca="1"/>
        <v>FPT</v>
      </c>
      <c r="M4" t="str">
        <f ca="1"/>
        <v>2026-07-10</v>
      </c>
      <c r="N4">
        <f ca="1"/>
        <v>72</v>
      </c>
      <c r="O4">
        <f ca="1"/>
        <v>72.3</v>
      </c>
      <c r="P4">
        <f ca="1"/>
        <v>70.599999999999994</v>
      </c>
      <c r="Q4">
        <f ca="1"/>
        <v>70.599999999999994</v>
      </c>
      <c r="R4">
        <f ca="1"/>
        <v>7937300</v>
      </c>
      <c r="S4">
        <f ca="1"/>
        <v>564810340000</v>
      </c>
      <c r="T4">
        <f ca="1"/>
        <v>761890</v>
      </c>
      <c r="U4">
        <f ca="1"/>
        <v>54788708200</v>
      </c>
      <c r="V4">
        <f ca="1"/>
        <v>-1.5</v>
      </c>
      <c r="W4" t="str">
        <f ca="1"/>
        <v>-2.0804%</v>
      </c>
    </row>
    <row r="5" spans="1:23" x14ac:dyDescent="0.2">
      <c r="A5">
        <v>3</v>
      </c>
      <c r="B5" t="str">
        <v>Loại chứng quyền  :</v>
      </c>
      <c r="C5" t="str">
        <v>Mua</v>
      </c>
      <c r="D5" t="s">
        <v>3197</v>
      </c>
      <c r="F5" t="str">
        <f>VLOOKUP(D5,B2:C19,2,FALSE)</f>
        <v>10 : 1</v>
      </c>
      <c r="K5">
        <f ca="1"/>
        <v>3</v>
      </c>
      <c r="L5" t="str">
        <f ca="1"/>
        <v>FPT</v>
      </c>
      <c r="M5" t="str">
        <f ca="1"/>
        <v>2026-07-09</v>
      </c>
      <c r="N5">
        <f ca="1"/>
        <v>71.8</v>
      </c>
      <c r="O5">
        <f ca="1"/>
        <v>73</v>
      </c>
      <c r="P5">
        <f ca="1"/>
        <v>71.7</v>
      </c>
      <c r="Q5">
        <f ca="1"/>
        <v>72.099999999999994</v>
      </c>
      <c r="R5">
        <f ca="1"/>
        <v>4441900</v>
      </c>
      <c r="S5">
        <f ca="1"/>
        <v>321110350000</v>
      </c>
      <c r="T5">
        <f ca="1"/>
        <v>20000</v>
      </c>
      <c r="U5">
        <f ca="1"/>
        <v>1460000000</v>
      </c>
      <c r="V5">
        <f ca="1"/>
        <v>0</v>
      </c>
      <c r="W5" t="str">
        <f ca="1"/>
        <v>0.0%</v>
      </c>
    </row>
    <row r="6" spans="1:23" x14ac:dyDescent="0.2">
      <c r="A6">
        <v>4</v>
      </c>
      <c r="B6" t="str">
        <v>Kiểu thực hiện  :</v>
      </c>
      <c r="C6" t="str">
        <v>Châu Âu</v>
      </c>
      <c r="D6" t="s">
        <v>3195</v>
      </c>
      <c r="F6" t="str">
        <f>IFERROR(VLOOKUP(D6,B3:C20,2,FALSE),"-")</f>
        <v>8.6088 : 1</v>
      </c>
      <c r="K6">
        <f ca="1"/>
        <v>4</v>
      </c>
      <c r="L6" t="str">
        <f ca="1"/>
        <v>FPT</v>
      </c>
      <c r="M6" t="str">
        <f ca="1"/>
        <v>2026-07-08</v>
      </c>
      <c r="N6">
        <f ca="1"/>
        <v>72.400000000000006</v>
      </c>
      <c r="O6">
        <f ca="1"/>
        <v>72.8</v>
      </c>
      <c r="P6">
        <f ca="1"/>
        <v>71.5</v>
      </c>
      <c r="Q6">
        <f ca="1"/>
        <v>72.099999999999994</v>
      </c>
      <c r="R6">
        <f ca="1"/>
        <v>6741600</v>
      </c>
      <c r="S6">
        <f ca="1"/>
        <v>486767030000</v>
      </c>
      <c r="T6">
        <f ca="1"/>
        <v>1208040</v>
      </c>
      <c r="U6">
        <f ca="1"/>
        <v>87857800000</v>
      </c>
      <c r="V6">
        <f ca="1"/>
        <v>-1.1000000000000001</v>
      </c>
      <c r="W6" t="str">
        <f ca="1"/>
        <v>-1.5027%</v>
      </c>
    </row>
    <row r="7" spans="1:23" x14ac:dyDescent="0.2">
      <c r="A7">
        <v>5</v>
      </c>
      <c r="B7" t="str">
        <v>Phương thức thực hiện quyền  :</v>
      </c>
      <c r="C7" t="str">
        <v>Thanh Toán Tiền</v>
      </c>
      <c r="D7" t="s">
        <v>3196</v>
      </c>
      <c r="F7" t="str">
        <f t="shared" ref="F7:F8" si="0">IFERROR(VLOOKUP(D7,B4:C21,2,FALSE),"-")</f>
        <v>118000</v>
      </c>
      <c r="K7">
        <f ca="1"/>
        <v>5</v>
      </c>
      <c r="L7" t="str">
        <f ca="1"/>
        <v>FPT</v>
      </c>
      <c r="M7" t="str">
        <f ca="1"/>
        <v>2026-07-07</v>
      </c>
      <c r="N7">
        <f ca="1"/>
        <v>73</v>
      </c>
      <c r="O7">
        <f ca="1"/>
        <v>73.7</v>
      </c>
      <c r="P7">
        <f ca="1"/>
        <v>72.5</v>
      </c>
      <c r="Q7">
        <f ca="1"/>
        <v>73.2</v>
      </c>
      <c r="R7">
        <f ca="1"/>
        <v>4557200</v>
      </c>
      <c r="S7">
        <f ca="1"/>
        <v>332887430000</v>
      </c>
      <c r="T7">
        <f ca="1"/>
        <v>0</v>
      </c>
      <c r="U7">
        <f ca="1"/>
        <v>0</v>
      </c>
      <c r="V7">
        <f ca="1"/>
        <v>0.2</v>
      </c>
      <c r="W7" t="str">
        <f ca="1"/>
        <v>0.274%</v>
      </c>
    </row>
    <row r="8" spans="1:23" x14ac:dyDescent="0.2">
      <c r="A8">
        <v>6</v>
      </c>
      <c r="B8" t="str">
        <v>Thời hạn  :</v>
      </c>
      <c r="C8" t="str">
        <v>7 tháng</v>
      </c>
      <c r="D8" t="s">
        <v>3194</v>
      </c>
      <c r="F8" t="str">
        <f t="shared" si="0"/>
        <v>101584</v>
      </c>
      <c r="K8">
        <f ca="1"/>
        <v>6</v>
      </c>
      <c r="L8" t="str">
        <f ca="1"/>
        <v>FPT</v>
      </c>
      <c r="M8" t="str">
        <f ca="1"/>
        <v>2026-07-06</v>
      </c>
      <c r="N8">
        <f ca="1"/>
        <v>72.400000000000006</v>
      </c>
      <c r="O8">
        <f ca="1"/>
        <v>74</v>
      </c>
      <c r="P8">
        <f ca="1"/>
        <v>71.900000000000006</v>
      </c>
      <c r="Q8">
        <f ca="1"/>
        <v>73</v>
      </c>
      <c r="R8">
        <f ca="1"/>
        <v>11200200</v>
      </c>
      <c r="S8">
        <f ca="1"/>
        <v>819310280000</v>
      </c>
      <c r="T8">
        <f ca="1"/>
        <v>720000</v>
      </c>
      <c r="U8">
        <f ca="1"/>
        <v>51010000000</v>
      </c>
      <c r="V8">
        <f ca="1"/>
        <v>0.7</v>
      </c>
      <c r="W8" t="str">
        <f ca="1"/>
        <v>0.9682%</v>
      </c>
    </row>
    <row r="9" spans="1:23" x14ac:dyDescent="0.2">
      <c r="A9">
        <v>7</v>
      </c>
      <c r="B9" t="str">
        <v>Ngày phát hành  :</v>
      </c>
      <c r="C9" s="140" t="str">
        <v>23/06/2025</v>
      </c>
    </row>
    <row r="10" spans="1:23" x14ac:dyDescent="0.2">
      <c r="A10">
        <v>8</v>
      </c>
      <c r="B10" t="str">
        <v>Ngày niêm yết  :</v>
      </c>
      <c r="C10" s="140" t="str">
        <v>09/07/2025</v>
      </c>
    </row>
    <row r="11" spans="1:23" ht="15.75" x14ac:dyDescent="0.25">
      <c r="A11">
        <v>9</v>
      </c>
      <c r="B11" t="str">
        <v>Ngày giao dịch đầu tiên  :</v>
      </c>
      <c r="C11" s="140" t="str">
        <v>11/07/2025</v>
      </c>
      <c r="D11" s="287" t="s">
        <v>3180</v>
      </c>
      <c r="E11" s="287"/>
      <c r="F11" s="287"/>
      <c r="G11" s="287"/>
      <c r="H11" s="287"/>
      <c r="I11" s="287"/>
      <c r="J11" s="287"/>
    </row>
    <row r="12" spans="1:23" ht="15.75" x14ac:dyDescent="0.25">
      <c r="A12">
        <v>10</v>
      </c>
      <c r="B12" t="str">
        <v>Ngày giao dịch cuối cùng  :</v>
      </c>
      <c r="C12" s="140" t="str">
        <v>21/01/2026</v>
      </c>
      <c r="D12" s="292" t="s">
        <v>3176</v>
      </c>
      <c r="E12" s="292"/>
      <c r="F12" s="256">
        <f ca="1">DATE(RIGHT(C13,4),MID(C13,4,2),LEFT(C13,2))-CANSLIM!I1</f>
        <v>-172</v>
      </c>
      <c r="G12" s="250"/>
      <c r="H12" s="290" t="s">
        <v>3192</v>
      </c>
      <c r="I12" s="291"/>
      <c r="J12" s="254">
        <v>1560</v>
      </c>
      <c r="K12" t="str">
        <f>K15</f>
        <v>-&gt; Nhập bằng tay</v>
      </c>
    </row>
    <row r="13" spans="1:23" ht="15.75" x14ac:dyDescent="0.25">
      <c r="A13">
        <v>11</v>
      </c>
      <c r="B13" t="str">
        <v>Ngày đáo hạn  :</v>
      </c>
      <c r="C13" s="249" t="str">
        <v>23/01/2026</v>
      </c>
      <c r="D13" s="287" t="s">
        <v>3190</v>
      </c>
      <c r="E13" s="287"/>
      <c r="F13" s="251">
        <f ca="1">AVERAGE(Q2:Q6)*1000*(1+0.00012)^F12</f>
        <v>69667.214681444981</v>
      </c>
      <c r="G13" s="250"/>
      <c r="H13" s="288" t="s">
        <v>3179</v>
      </c>
      <c r="I13" s="289"/>
      <c r="J13" s="252">
        <f>J12*F15</f>
        <v>1560000</v>
      </c>
    </row>
    <row r="14" spans="1:23" ht="15.75" x14ac:dyDescent="0.25">
      <c r="A14">
        <v>12</v>
      </c>
      <c r="B14" t="str">
        <v>Tỷ lệ chuyển đổi  :</v>
      </c>
      <c r="C14" t="str">
        <v>10 : 1</v>
      </c>
      <c r="D14" s="288" t="s">
        <v>3196</v>
      </c>
      <c r="E14" s="289"/>
      <c r="F14" s="253" t="str">
        <f>IF(F8="-",F7,F8)</f>
        <v>101584</v>
      </c>
      <c r="G14" s="250"/>
      <c r="H14" s="288" t="s">
        <v>3191</v>
      </c>
      <c r="I14" s="289"/>
      <c r="J14" s="252">
        <f ca="1">F16-J13</f>
        <v>-5267460.4263724349</v>
      </c>
      <c r="K14" t="s">
        <v>3184</v>
      </c>
    </row>
    <row r="15" spans="1:23" ht="15.75" x14ac:dyDescent="0.25">
      <c r="A15">
        <v>13</v>
      </c>
      <c r="B15" t="str">
        <v>TLCĐ điều chỉnh  :</v>
      </c>
      <c r="C15" t="str">
        <v>8.6088 : 1</v>
      </c>
      <c r="D15" s="287" t="s">
        <v>3177</v>
      </c>
      <c r="E15" s="287"/>
      <c r="F15" s="24">
        <v>1000</v>
      </c>
      <c r="G15" s="250" t="s">
        <v>3183</v>
      </c>
      <c r="H15" s="255" t="str">
        <f>"Giá CP "&amp;MID(H1,2,3)&amp;" cần đạt"</f>
        <v>Giá CP FPT cần đạt</v>
      </c>
      <c r="I15" s="255"/>
      <c r="J15" s="24">
        <v>112000</v>
      </c>
      <c r="K15" s="17" t="s">
        <v>3182</v>
      </c>
    </row>
    <row r="16" spans="1:23" ht="15.75" x14ac:dyDescent="0.25">
      <c r="A16">
        <v>14</v>
      </c>
      <c r="B16" t="str">
        <v>Giá phát hành  :</v>
      </c>
      <c r="C16" t="str">
        <v>2400</v>
      </c>
      <c r="D16" s="287" t="s">
        <v>3178</v>
      </c>
      <c r="E16" s="287"/>
      <c r="F16" s="252">
        <f ca="1">IF(F6="-",(F15/LEFT(F5,LEN(F5)-3))*(F13-F14),(F15/LEFT(F6,LEN(F6)-3))*(F13-F14))</f>
        <v>-3707460.4263724349</v>
      </c>
      <c r="G16" s="250"/>
      <c r="H16" s="255" t="s">
        <v>3181</v>
      </c>
      <c r="I16" s="255"/>
      <c r="J16" s="252">
        <f>(F15/LEFT(C14,1)*(J15-F14))</f>
        <v>10416000</v>
      </c>
    </row>
    <row r="17" spans="1:14" ht="15.75" x14ac:dyDescent="0.25">
      <c r="A17">
        <v>15</v>
      </c>
      <c r="B17" t="str">
        <v>Giá thực hiện  :</v>
      </c>
      <c r="C17" t="str">
        <v>118000</v>
      </c>
      <c r="H17" s="255" t="str">
        <f>"Lãi/lỗ nêu đạt "&amp;J15</f>
        <v>Lãi/lỗ nêu đạt 112000</v>
      </c>
      <c r="I17" s="255"/>
      <c r="J17" s="252">
        <f>J16-J13</f>
        <v>8856000</v>
      </c>
    </row>
    <row r="18" spans="1:14" x14ac:dyDescent="0.2">
      <c r="A18">
        <v>16</v>
      </c>
      <c r="B18" t="str">
        <v>Giá TH điều chỉnh  :</v>
      </c>
      <c r="C18" t="str">
        <v>101584</v>
      </c>
    </row>
    <row r="19" spans="1:14" x14ac:dyDescent="0.2">
      <c r="A19">
        <v>17</v>
      </c>
      <c r="B19" t="str">
        <v>Khối lượng Niêm yết  :</v>
      </c>
      <c r="C19" t="str">
        <v>5000000</v>
      </c>
    </row>
    <row r="20" spans="1:14" x14ac:dyDescent="0.2">
      <c r="A20">
        <v>18</v>
      </c>
      <c r="B20" t="str">
        <v>Khối lượng lưu hành  :</v>
      </c>
      <c r="C20" t="str">
        <v>5000000</v>
      </c>
    </row>
    <row r="21" spans="1:14" x14ac:dyDescent="0.2">
      <c r="A21">
        <v>19</v>
      </c>
      <c r="B21" t="str">
        <v>Tài liệu  :</v>
      </c>
      <c r="C21" t="str">
        <v>Bản cáo bạch phát hành</v>
      </c>
    </row>
    <row r="23" spans="1:14" x14ac:dyDescent="0.2">
      <c r="G23" s="99"/>
    </row>
    <row r="26" spans="1:14" x14ac:dyDescent="0.2">
      <c r="L26" t="s">
        <v>3193</v>
      </c>
      <c r="M26" s="140">
        <f ca="1">N26-365</f>
        <v>45852</v>
      </c>
      <c r="N26" s="140">
        <f ca="1">TODAY()</f>
        <v>46217</v>
      </c>
    </row>
  </sheetData>
  <mergeCells count="9">
    <mergeCell ref="D16:E16"/>
    <mergeCell ref="H14:I14"/>
    <mergeCell ref="H13:I13"/>
    <mergeCell ref="H12:I12"/>
    <mergeCell ref="D11:J11"/>
    <mergeCell ref="D12:E12"/>
    <mergeCell ref="D13:E13"/>
    <mergeCell ref="D14:E14"/>
    <mergeCell ref="D15:E1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8AAEB-6F66-4270-8600-E9C48B2F0714}">
  <sheetPr codeName="Sheet33"/>
  <dimension ref="A4:D18"/>
  <sheetViews>
    <sheetView workbookViewId="0">
      <selection activeCell="A22" sqref="A22"/>
    </sheetView>
  </sheetViews>
  <sheetFormatPr defaultRowHeight="15" x14ac:dyDescent="0.2"/>
  <cols>
    <col min="1" max="1" width="40.77734375" customWidth="1"/>
    <col min="2" max="2" width="12.77734375" customWidth="1"/>
    <col min="3" max="3" width="12" customWidth="1"/>
    <col min="4" max="4" width="12.5546875" customWidth="1"/>
  </cols>
  <sheetData>
    <row r="4" spans="1:4" ht="20.25" thickBot="1" x14ac:dyDescent="0.35">
      <c r="A4" s="295" t="str">
        <f>CANSLIM!A1</f>
        <v>CÔNG TY CỔ PHẦN CHỨNG KHOÁN VPS</v>
      </c>
      <c r="B4" s="296"/>
      <c r="C4" s="296"/>
      <c r="D4" s="297"/>
    </row>
    <row r="5" spans="1:4" ht="21" thickTop="1" thickBot="1" x14ac:dyDescent="0.35">
      <c r="A5" s="244"/>
      <c r="B5" s="245" t="str">
        <f>(LEFT(C5,4)-1)&amp;RIGHT(C5,6)</f>
        <v>2024-12-31</v>
      </c>
      <c r="C5" s="245" t="str">
        <f>BS_BCTC!I4</f>
        <v>2025-12-31</v>
      </c>
      <c r="D5" s="246" t="s">
        <v>3175</v>
      </c>
    </row>
    <row r="6" spans="1:4" ht="21" thickTop="1" thickBot="1" x14ac:dyDescent="0.35">
      <c r="A6" s="293" t="s">
        <v>3166</v>
      </c>
      <c r="B6" s="294"/>
      <c r="C6" s="294"/>
      <c r="D6" s="246"/>
    </row>
    <row r="7" spans="1:4" ht="21" thickTop="1" thickBot="1" x14ac:dyDescent="0.35">
      <c r="A7" s="244" t="s">
        <v>3167</v>
      </c>
      <c r="B7" s="247">
        <f>VLOOKUP($A7, BS_BCTC!$B$4:$AZ$500,MATCH(B$5, BS_BCTC!$C$4:$H$4,0)+1, FALSE)</f>
        <v>29823649331548</v>
      </c>
      <c r="C7" s="247">
        <f>VLOOKUP($A7, BS_BCTC!$B$4:$AZ$500,MATCH(C$5, BS_BCTC!$C$4:$K$4,0)+1, FALSE)</f>
        <v>47710682737676</v>
      </c>
      <c r="D7" s="248">
        <f>(C7-B7)/B7</f>
        <v>0.5997600497269383</v>
      </c>
    </row>
    <row r="8" spans="1:4" ht="21" thickTop="1" thickBot="1" x14ac:dyDescent="0.35">
      <c r="A8" s="244" t="s">
        <v>3170</v>
      </c>
      <c r="B8" s="247">
        <f>VLOOKUP($A8, BS_BCTC!$B$4:$AZ$500,MATCH(B$5, BS_BCTC!$C$4:$H$4,0)+1, FALSE)</f>
        <v>1732677708017</v>
      </c>
      <c r="C8" s="247">
        <f>VLOOKUP($A8, BS_BCTC!$B$4:$AZ$500,MATCH(C$5, BS_BCTC!$C$4:$K$4,0)+1, FALSE)</f>
        <v>8680990313016</v>
      </c>
      <c r="D8" s="248">
        <f>(C8-B8)/B8</f>
        <v>4.0101587114842872</v>
      </c>
    </row>
    <row r="9" spans="1:4" ht="21" thickTop="1" thickBot="1" x14ac:dyDescent="0.35">
      <c r="A9" s="244" t="s">
        <v>3171</v>
      </c>
      <c r="B9" s="247" t="e">
        <f>VLOOKUP($A9, BS_BCTC!$B$4:$AZ$500,MATCH(B$5, BS_BCTC!$C$4:$H$4,0)+1, FALSE)</f>
        <v>#N/A</v>
      </c>
      <c r="C9" s="247" t="e">
        <f>VLOOKUP($A9, BS_BCTC!$B$4:$AZ$500,MATCH(C$5, BS_BCTC!$C$4:$K$4,0)+1, FALSE)</f>
        <v>#N/A</v>
      </c>
      <c r="D9" s="248" t="e">
        <f t="shared" ref="D9:D17" si="0">(C9-B9)/B9</f>
        <v>#N/A</v>
      </c>
    </row>
    <row r="10" spans="1:4" ht="21" thickTop="1" thickBot="1" x14ac:dyDescent="0.35">
      <c r="A10" s="244" t="s">
        <v>107</v>
      </c>
      <c r="B10" s="247">
        <f>VLOOKUP($A10, BS_BCTC!$B$4:$AZ$500,MATCH(B$5, BS_BCTC!$C$4:$H$4,0)+1, FALSE)</f>
        <v>30367897671475</v>
      </c>
      <c r="C10" s="247">
        <f>VLOOKUP($A10, BS_BCTC!$B$4:$AZ$500,MATCH(C$5, BS_BCTC!$C$4:$K$4,0)+1, FALSE)</f>
        <v>48402380273658</v>
      </c>
      <c r="D10" s="248">
        <f t="shared" si="0"/>
        <v>0.59386668110130802</v>
      </c>
    </row>
    <row r="11" spans="1:4" ht="21" thickTop="1" thickBot="1" x14ac:dyDescent="0.35">
      <c r="A11" s="244" t="s">
        <v>3168</v>
      </c>
      <c r="B11" s="247">
        <f>VLOOKUP($A11, BS_BCTC!$B$4:$AZ$500,MATCH(B$5, BS_BCTC!$C$4:$H$4,0)+1, FALSE)</f>
        <v>19004977390178</v>
      </c>
      <c r="C11" s="247">
        <f>VLOOKUP($A11, BS_BCTC!$B$4:$AZ$500,MATCH(C$5, BS_BCTC!$C$4:$K$4,0)+1, FALSE)</f>
        <v>19567271018191</v>
      </c>
      <c r="D11" s="248">
        <f t="shared" si="0"/>
        <v>2.9586650721489419E-2</v>
      </c>
    </row>
    <row r="12" spans="1:4" ht="21" thickTop="1" thickBot="1" x14ac:dyDescent="0.35">
      <c r="A12" s="244" t="s">
        <v>3169</v>
      </c>
      <c r="B12" s="247">
        <f>VLOOKUP($A12, BS_BCTC!$B$4:$AZ$500,MATCH(B$5, BS_BCTC!$C$4:$H$4,0)+1, FALSE)</f>
        <v>19004977390178</v>
      </c>
      <c r="C12" s="247">
        <f>VLOOKUP($A12, BS_BCTC!$B$4:$AZ$500,MATCH(C$5, BS_BCTC!$C$4:$K$4,0)+1, FALSE)</f>
        <v>14567364351531</v>
      </c>
      <c r="D12" s="248">
        <f t="shared" si="0"/>
        <v>-0.23349741215374514</v>
      </c>
    </row>
    <row r="13" spans="1:4" ht="21" thickTop="1" thickBot="1" x14ac:dyDescent="0.35">
      <c r="A13" s="244" t="s">
        <v>3129</v>
      </c>
      <c r="B13" s="247">
        <f>VLOOKUP($A13, BS_BCTC!$B$4:$AZ$500,MATCH(B$5, BS_BCTC!$C$4:$H$4,0)+1, FALSE)</f>
        <v>11362920281297</v>
      </c>
      <c r="C13" s="247">
        <f>VLOOKUP($A13, BS_BCTC!$B$4:$AZ$500,MATCH(C$5, BS_BCTC!$C$4:$K$4,0)+1, FALSE)</f>
        <v>28835109255467</v>
      </c>
      <c r="D13" s="248">
        <f t="shared" si="0"/>
        <v>1.5376495250898361</v>
      </c>
    </row>
    <row r="14" spans="1:4" ht="21" thickTop="1" thickBot="1" x14ac:dyDescent="0.35">
      <c r="A14" s="293" t="s">
        <v>3172</v>
      </c>
      <c r="B14" s="294"/>
      <c r="C14" s="294"/>
      <c r="D14" s="248"/>
    </row>
    <row r="15" spans="1:4" ht="21" thickTop="1" thickBot="1" x14ac:dyDescent="0.35">
      <c r="A15" s="244" t="s">
        <v>3132</v>
      </c>
      <c r="B15" s="247">
        <f>VLOOKUP($A15, PL_BCTC!$B$4:$K$88,MATCH(B$5, BS_BCTC!$C$4:$H$4,0)+1, FALSE)</f>
        <v>6373838274239</v>
      </c>
      <c r="C15" s="247">
        <f>VLOOKUP($A15, PL_BCTC!$B$4:$K$88,MATCH(C$5, BS_BCTC!$C$4:$J$4,0)+1, FALSE)</f>
        <v>6466321678945</v>
      </c>
      <c r="D15" s="248">
        <f t="shared" si="0"/>
        <v>1.4509844888877729E-2</v>
      </c>
    </row>
    <row r="16" spans="1:4" ht="21" thickTop="1" thickBot="1" x14ac:dyDescent="0.35">
      <c r="A16" s="244" t="s">
        <v>3173</v>
      </c>
      <c r="B16" s="247">
        <f>VLOOKUP($A16, PL_BCTC!$B$4:$K$88,MATCH(B$5, BS_BCTC!$C$4:$H$4,0)+1, FALSE)</f>
        <v>1813765731968</v>
      </c>
      <c r="C16" s="247">
        <f>VLOOKUP($A16, PL_BCTC!$B$4:$K$88,MATCH(C$5, BS_BCTC!$C$4:$J$4,0)+1, FALSE)</f>
        <v>3564479045264</v>
      </c>
      <c r="D16" s="248">
        <f t="shared" si="0"/>
        <v>0.96523673506413321</v>
      </c>
    </row>
    <row r="17" spans="1:4" ht="21" thickTop="1" thickBot="1" x14ac:dyDescent="0.35">
      <c r="A17" s="244" t="s">
        <v>3174</v>
      </c>
      <c r="B17" s="247">
        <f>VLOOKUP($A17, PL_BCTC!$B$4:$K$88,MATCH(B$5, BS_BCTC!$C$4:$H$4,0)+1, FALSE)</f>
        <v>667319916483</v>
      </c>
      <c r="C17" s="247">
        <f>VLOOKUP($A17, PL_BCTC!$B$4:$K$88,MATCH(C$5, BS_BCTC!$C$4:$J$4,0)+1, FALSE)</f>
        <v>2518762411895</v>
      </c>
      <c r="D17" s="248">
        <f t="shared" si="0"/>
        <v>2.7744451344562342</v>
      </c>
    </row>
    <row r="18" spans="1:4" ht="15.75" thickTop="1" x14ac:dyDescent="0.2"/>
  </sheetData>
  <mergeCells count="3">
    <mergeCell ref="A6:C6"/>
    <mergeCell ref="A14:C14"/>
    <mergeCell ref="A4:D4"/>
  </mergeCells>
  <conditionalFormatting sqref="D7:D17">
    <cfRule type="cellIs" dxfId="406" priority="1" stopIfTrue="1" operator="lessThan">
      <formula>0</formula>
    </cfRule>
    <cfRule type="cellIs" dxfId="405" priority="2" stopIfTrue="1" operator="greater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6DC03-891B-4D4D-B67C-DC8085B94094}">
  <sheetPr codeName="Sheet31"/>
  <dimension ref="A1:T78"/>
  <sheetViews>
    <sheetView workbookViewId="0">
      <selection activeCell="O9" sqref="O9"/>
    </sheetView>
  </sheetViews>
  <sheetFormatPr defaultRowHeight="15" x14ac:dyDescent="0.2"/>
  <cols>
    <col min="1" max="1" width="11.77734375" customWidth="1"/>
    <col min="2" max="2" width="9.109375" customWidth="1"/>
    <col min="3" max="3" width="10.88671875" customWidth="1"/>
    <col min="4" max="4" width="17.33203125" customWidth="1"/>
    <col min="5" max="5" width="11.109375" customWidth="1"/>
    <col min="6" max="6" width="17.88671875" customWidth="1"/>
    <col min="7" max="7" width="11.88671875" customWidth="1"/>
    <col min="8" max="8" width="10.44140625" customWidth="1"/>
    <col min="9" max="9" width="10.109375" customWidth="1"/>
    <col min="10" max="10" width="13.33203125" customWidth="1"/>
    <col min="11" max="11" width="10.77734375" customWidth="1"/>
    <col min="12" max="12" width="10.6640625" customWidth="1"/>
    <col min="13" max="13" width="10.77734375" customWidth="1"/>
    <col min="14" max="14" width="10.88671875" customWidth="1"/>
    <col min="15" max="15" width="13.77734375" customWidth="1"/>
    <col min="16" max="16" width="17.33203125" customWidth="1"/>
    <col min="17" max="17" width="10.6640625" customWidth="1"/>
    <col min="18" max="18" width="17.33203125" customWidth="1"/>
    <col min="19" max="19" width="13" customWidth="1"/>
    <col min="20" max="20" width="17.33203125" customWidth="1"/>
  </cols>
  <sheetData>
    <row r="1" spans="1:18" x14ac:dyDescent="0.2">
      <c r="I1" s="23"/>
    </row>
    <row r="2" spans="1:18" x14ac:dyDescent="0.2">
      <c r="I2" s="23"/>
    </row>
    <row r="3" spans="1:18" x14ac:dyDescent="0.2">
      <c r="C3" s="3"/>
      <c r="D3" s="28" t="s">
        <v>3083</v>
      </c>
      <c r="E3" s="3" t="s">
        <v>3094</v>
      </c>
      <c r="I3" s="23"/>
    </row>
    <row r="4" spans="1:18" x14ac:dyDescent="0.2">
      <c r="C4" s="3" t="s">
        <v>3081</v>
      </c>
      <c r="D4" s="177"/>
      <c r="E4" s="3"/>
      <c r="I4" s="23"/>
    </row>
    <row r="5" spans="1:18" x14ac:dyDescent="0.2">
      <c r="B5" s="140"/>
      <c r="C5" s="3" t="s">
        <v>3082</v>
      </c>
      <c r="D5" s="177"/>
      <c r="E5" s="3"/>
      <c r="G5" s="23"/>
      <c r="O5" s="99"/>
    </row>
    <row r="6" spans="1:18" ht="14.25" customHeight="1" x14ac:dyDescent="0.2">
      <c r="O6" s="99"/>
    </row>
    <row r="7" spans="1:18" ht="29.25" customHeight="1" x14ac:dyDescent="0.2">
      <c r="B7" s="194" t="s">
        <v>3094</v>
      </c>
      <c r="C7" s="195"/>
      <c r="D7" s="196"/>
      <c r="E7" s="180" t="s">
        <v>3098</v>
      </c>
      <c r="F7" s="194" t="s">
        <v>3083</v>
      </c>
      <c r="G7" s="195"/>
      <c r="H7" s="196"/>
      <c r="I7" s="180" t="s">
        <v>3098</v>
      </c>
      <c r="J7" s="197" t="s">
        <v>3105</v>
      </c>
      <c r="K7" s="181" t="s">
        <v>3103</v>
      </c>
      <c r="L7" s="198" t="s">
        <v>3104</v>
      </c>
    </row>
    <row r="8" spans="1:18" ht="15.75" x14ac:dyDescent="0.25">
      <c r="A8" s="259" t="s">
        <v>16</v>
      </c>
      <c r="B8" s="259" t="s">
        <v>3095</v>
      </c>
      <c r="C8" s="261" t="s">
        <v>3096</v>
      </c>
      <c r="D8" s="259" t="s">
        <v>3097</v>
      </c>
      <c r="E8" s="257"/>
      <c r="F8" s="259" t="s">
        <v>3095</v>
      </c>
      <c r="G8" s="261" t="s">
        <v>3096</v>
      </c>
      <c r="H8" s="259" t="s">
        <v>3097</v>
      </c>
      <c r="I8" s="257"/>
      <c r="J8" s="257"/>
      <c r="K8" s="257"/>
      <c r="L8" s="262"/>
    </row>
    <row r="9" spans="1:18" x14ac:dyDescent="0.2">
      <c r="A9" s="3" t="s">
        <v>3084</v>
      </c>
      <c r="B9" s="3">
        <f>C12</f>
        <v>0</v>
      </c>
      <c r="C9" s="177">
        <f>C14</f>
        <v>0</v>
      </c>
      <c r="D9" s="177">
        <f>B9-C9</f>
        <v>0</v>
      </c>
      <c r="E9" s="65"/>
      <c r="F9" s="3">
        <f>I12</f>
        <v>0</v>
      </c>
      <c r="G9" s="177">
        <f>I14</f>
        <v>0</v>
      </c>
      <c r="H9" s="177">
        <f>F9-G9</f>
        <v>0</v>
      </c>
      <c r="I9" s="65"/>
      <c r="J9" s="177"/>
      <c r="K9" s="3"/>
      <c r="L9" s="177"/>
    </row>
    <row r="10" spans="1:18" x14ac:dyDescent="0.2">
      <c r="A10" s="3" t="s">
        <v>3091</v>
      </c>
      <c r="B10" s="3">
        <f>C13</f>
        <v>335</v>
      </c>
      <c r="C10" s="177">
        <f>C15</f>
        <v>3838</v>
      </c>
      <c r="D10" s="177">
        <f>B10-C10</f>
        <v>-3503</v>
      </c>
      <c r="E10" s="65"/>
      <c r="F10" s="3">
        <f>I13</f>
        <v>4478</v>
      </c>
      <c r="G10" s="177">
        <f>I15</f>
        <v>1168</v>
      </c>
      <c r="H10" s="177">
        <f>F10-G10</f>
        <v>3310</v>
      </c>
      <c r="I10" s="65"/>
      <c r="J10" s="177"/>
      <c r="K10" s="3"/>
      <c r="L10" s="177"/>
    </row>
    <row r="11" spans="1:18" ht="15.75" x14ac:dyDescent="0.25">
      <c r="A11" s="302" t="s">
        <v>3106</v>
      </c>
      <c r="B11" s="303"/>
      <c r="C11" s="303"/>
      <c r="D11" s="304"/>
      <c r="E11" s="259" t="s">
        <v>3107</v>
      </c>
      <c r="F11" s="259" t="s">
        <v>3108</v>
      </c>
      <c r="G11" s="259" t="s">
        <v>3109</v>
      </c>
      <c r="H11" s="302" t="s">
        <v>3110</v>
      </c>
      <c r="I11" s="303"/>
      <c r="J11" s="304"/>
      <c r="K11" s="259" t="s">
        <v>3107</v>
      </c>
      <c r="L11" s="259" t="s">
        <v>3108</v>
      </c>
      <c r="M11" s="259" t="s">
        <v>3109</v>
      </c>
    </row>
    <row r="12" spans="1:18" ht="15.75" x14ac:dyDescent="0.25">
      <c r="A12" s="200" t="s">
        <v>3084</v>
      </c>
      <c r="B12" s="306" t="s">
        <v>2961</v>
      </c>
      <c r="C12" s="301">
        <f>SUMIF(B19:B77,A12,C19:C77)</f>
        <v>0</v>
      </c>
      <c r="D12" s="301"/>
      <c r="E12" s="300" t="s">
        <v>3081</v>
      </c>
      <c r="F12" s="300"/>
      <c r="G12" s="300"/>
      <c r="H12" s="306" t="s">
        <v>2961</v>
      </c>
      <c r="I12" s="301">
        <f>SUMIF(B19:B77,A12,Q19:Q77)</f>
        <v>0</v>
      </c>
      <c r="J12" s="301"/>
      <c r="K12" s="300" t="s">
        <v>3081</v>
      </c>
      <c r="L12" s="300"/>
      <c r="M12" s="300"/>
    </row>
    <row r="13" spans="1:18" x14ac:dyDescent="0.2">
      <c r="A13" s="200" t="s">
        <v>3091</v>
      </c>
      <c r="B13" s="306"/>
      <c r="C13" s="301">
        <f>SUMIF(B19:B77,A13,C19:C77)</f>
        <v>335</v>
      </c>
      <c r="D13" s="301"/>
      <c r="E13" s="202">
        <f>C12-C14</f>
        <v>0</v>
      </c>
      <c r="F13" s="191" t="e">
        <f>AVERAGEIF(B19:B77,A12,J19:J77)</f>
        <v>#DIV/0!</v>
      </c>
      <c r="G13" s="191" t="e">
        <f>AVERAGEIF(B19:B77,A12,K19:K77)</f>
        <v>#DIV/0!</v>
      </c>
      <c r="H13" s="306"/>
      <c r="I13" s="301">
        <f>SUMIF(B19:B77,A13,Q19:Q77)</f>
        <v>4478</v>
      </c>
      <c r="J13" s="301"/>
      <c r="K13" s="177">
        <f>I12-I14</f>
        <v>0</v>
      </c>
      <c r="L13" s="191">
        <v>1328.6</v>
      </c>
      <c r="M13" s="191">
        <v>1328.5</v>
      </c>
    </row>
    <row r="14" spans="1:18" ht="15.75" x14ac:dyDescent="0.25">
      <c r="A14" s="199" t="s">
        <v>3084</v>
      </c>
      <c r="B14" s="307" t="s">
        <v>2965</v>
      </c>
      <c r="C14" s="298">
        <f>SUMIF(B19:B77,A14,E19:E77)</f>
        <v>0</v>
      </c>
      <c r="D14" s="299"/>
      <c r="E14" s="302" t="s">
        <v>3082</v>
      </c>
      <c r="F14" s="303"/>
      <c r="G14" s="304"/>
      <c r="H14" s="307" t="s">
        <v>2965</v>
      </c>
      <c r="I14" s="298">
        <f>SUMIF(B19:B77,A14,S19:S77)</f>
        <v>0</v>
      </c>
      <c r="J14" s="299"/>
      <c r="K14" s="302" t="s">
        <v>3082</v>
      </c>
      <c r="L14" s="303"/>
      <c r="M14" s="304"/>
      <c r="R14" s="178"/>
    </row>
    <row r="15" spans="1:18" x14ac:dyDescent="0.2">
      <c r="A15" s="200" t="s">
        <v>3091</v>
      </c>
      <c r="B15" s="308"/>
      <c r="C15" s="298">
        <f>SUMIF(B19:B77,A15,E19:E77)</f>
        <v>3838</v>
      </c>
      <c r="D15" s="299"/>
      <c r="E15" s="201">
        <f>C13-C15</f>
        <v>-3503</v>
      </c>
      <c r="F15" s="191">
        <f>IFERROR(AVERAGEIF(B19:B77,A15,J19:J77),"-")</f>
        <v>1784.7189062500001</v>
      </c>
      <c r="G15" s="191">
        <f>AVERAGEIF(B19:B77,A15,K19:K77)</f>
        <v>1782.945302118319</v>
      </c>
      <c r="H15" s="308"/>
      <c r="I15" s="298">
        <f>SUMIF(B19:B77,A15,S19:S77)</f>
        <v>1168</v>
      </c>
      <c r="J15" s="299"/>
      <c r="K15" s="177">
        <f>I13-I15</f>
        <v>3310</v>
      </c>
      <c r="L15" s="191">
        <v>1336.9</v>
      </c>
      <c r="M15" s="191">
        <v>1335.4</v>
      </c>
      <c r="R15" s="178"/>
    </row>
    <row r="17" spans="1:20" ht="15.75" x14ac:dyDescent="0.25">
      <c r="A17" s="302" t="s">
        <v>3093</v>
      </c>
      <c r="B17" s="303"/>
      <c r="C17" s="303"/>
      <c r="D17" s="303"/>
      <c r="E17" s="303"/>
      <c r="F17" s="303"/>
      <c r="G17" s="303"/>
      <c r="H17" s="303"/>
      <c r="I17" s="304"/>
      <c r="J17" s="257" t="s">
        <v>3111</v>
      </c>
      <c r="K17" s="257" t="s">
        <v>3112</v>
      </c>
      <c r="L17" s="257" t="s">
        <v>3101</v>
      </c>
      <c r="M17" s="257" t="s">
        <v>3100</v>
      </c>
      <c r="N17" s="258" t="s">
        <v>3111</v>
      </c>
      <c r="O17" s="260" t="s">
        <v>3112</v>
      </c>
      <c r="P17" s="298" t="s">
        <v>3092</v>
      </c>
      <c r="Q17" s="305"/>
      <c r="R17" s="305"/>
      <c r="S17" s="305"/>
      <c r="T17" s="299"/>
    </row>
    <row r="18" spans="1:20" ht="15.75" x14ac:dyDescent="0.25">
      <c r="A18" s="3" t="s">
        <v>3102</v>
      </c>
      <c r="B18" s="3" t="s">
        <v>16</v>
      </c>
      <c r="C18" s="3" t="s">
        <v>3085</v>
      </c>
      <c r="D18" s="28" t="s">
        <v>3087</v>
      </c>
      <c r="E18" s="3" t="s">
        <v>3086</v>
      </c>
      <c r="F18" s="28" t="s">
        <v>3088</v>
      </c>
      <c r="G18" s="3" t="s">
        <v>3089</v>
      </c>
      <c r="H18" s="3" t="s">
        <v>3090</v>
      </c>
      <c r="I18" s="3" t="s">
        <v>3099</v>
      </c>
      <c r="J18" s="257" t="s">
        <v>3111</v>
      </c>
      <c r="K18" s="257" t="s">
        <v>3112</v>
      </c>
      <c r="L18" s="257" t="s">
        <v>3101</v>
      </c>
      <c r="M18" s="257" t="s">
        <v>3100</v>
      </c>
      <c r="N18" s="258" t="s">
        <v>3111</v>
      </c>
      <c r="O18" s="260" t="s">
        <v>3112</v>
      </c>
      <c r="P18" s="28" t="s">
        <v>3099</v>
      </c>
      <c r="Q18" s="3" t="s">
        <v>3085</v>
      </c>
      <c r="R18" s="28" t="s">
        <v>3087</v>
      </c>
      <c r="S18" s="3" t="s">
        <v>3086</v>
      </c>
      <c r="T18" s="3" t="s">
        <v>3088</v>
      </c>
    </row>
    <row r="19" spans="1:20" x14ac:dyDescent="0.2">
      <c r="A19" s="176">
        <v>45887</v>
      </c>
      <c r="B19" s="3" t="s">
        <v>3084</v>
      </c>
      <c r="C19" s="3"/>
      <c r="D19" s="28"/>
      <c r="E19" s="3"/>
      <c r="F19" s="28"/>
      <c r="G19" s="3">
        <f>E19+C19</f>
        <v>0</v>
      </c>
      <c r="H19" s="28">
        <f>F19+D19</f>
        <v>0</v>
      </c>
      <c r="I19" s="177">
        <f>C19-E19</f>
        <v>0</v>
      </c>
      <c r="J19" s="191" t="str">
        <f>IFERROR(D19/C19/100000,"-")</f>
        <v>-</v>
      </c>
      <c r="K19" s="191" t="str">
        <f>IFERROR(F19/E19/100000,"-")</f>
        <v>-</v>
      </c>
      <c r="L19" s="191"/>
      <c r="M19" s="191"/>
      <c r="N19" s="177" t="str">
        <f>IFERROR(R19/Q19/100000,"-")</f>
        <v>-</v>
      </c>
      <c r="O19" s="3" t="str">
        <f>IFERROR(T19/S19/100000,"-")</f>
        <v>-</v>
      </c>
      <c r="P19" s="177">
        <f>Q19-S19</f>
        <v>0</v>
      </c>
      <c r="Q19" s="3"/>
      <c r="R19" s="28"/>
      <c r="S19" s="3"/>
      <c r="T19" s="28"/>
    </row>
    <row r="20" spans="1:20" x14ac:dyDescent="0.2">
      <c r="A20" s="176">
        <v>45887</v>
      </c>
      <c r="B20" s="3" t="s">
        <v>3091</v>
      </c>
      <c r="C20" s="3">
        <v>15</v>
      </c>
      <c r="D20" s="28">
        <v>2667240000</v>
      </c>
      <c r="E20" s="3">
        <v>1210</v>
      </c>
      <c r="F20" s="28">
        <v>214255170000</v>
      </c>
      <c r="G20" s="3">
        <f>E20+C20</f>
        <v>1225</v>
      </c>
      <c r="H20" s="28">
        <f>F20+D20</f>
        <v>216922410000</v>
      </c>
      <c r="I20" s="177">
        <f>C20-E20</f>
        <v>-1195</v>
      </c>
      <c r="J20" s="191">
        <f>IFERROR(D20/C20/100000,"-")</f>
        <v>1778.16</v>
      </c>
      <c r="K20" s="191">
        <f t="shared" ref="K20:K77" si="0">IFERROR(F20/E20/100000,"-")</f>
        <v>1770.7038842975205</v>
      </c>
      <c r="L20" s="191">
        <v>1763.5</v>
      </c>
      <c r="M20" s="191">
        <v>1782.5</v>
      </c>
      <c r="N20" s="177">
        <f>IFERROR(R20/Q20/100000,"-")</f>
        <v>1772.6090283091048</v>
      </c>
      <c r="O20" s="191">
        <f>IFERROR(T20/S20/100000,"-")</f>
        <v>1772.5848563968668</v>
      </c>
      <c r="P20" s="177">
        <f>Q20-S20</f>
        <v>924</v>
      </c>
      <c r="Q20" s="3">
        <v>1307</v>
      </c>
      <c r="R20" s="28">
        <v>231680000000</v>
      </c>
      <c r="S20" s="3">
        <v>383</v>
      </c>
      <c r="T20" s="28">
        <v>67890000000</v>
      </c>
    </row>
    <row r="21" spans="1:20" x14ac:dyDescent="0.2">
      <c r="A21" s="176">
        <v>45888</v>
      </c>
      <c r="B21" s="3" t="s">
        <v>3084</v>
      </c>
      <c r="C21" s="3"/>
      <c r="D21" s="28"/>
      <c r="E21" s="3"/>
      <c r="F21" s="28"/>
      <c r="G21" s="3">
        <f t="shared" ref="G21:G78" si="1">E21+C21</f>
        <v>0</v>
      </c>
      <c r="H21" s="28">
        <f t="shared" ref="H21:H78" si="2">F21+D21</f>
        <v>0</v>
      </c>
      <c r="I21" s="177">
        <f t="shared" ref="I21:I78" si="3">C21-E21</f>
        <v>0</v>
      </c>
      <c r="J21" s="191" t="str">
        <f t="shared" ref="J21:J77" si="4">IFERROR(D21/C21/100000,"-")</f>
        <v>-</v>
      </c>
      <c r="K21" s="191" t="str">
        <f t="shared" si="0"/>
        <v>-</v>
      </c>
      <c r="L21" s="191"/>
      <c r="M21" s="191"/>
      <c r="N21" s="177" t="str">
        <f t="shared" ref="N21:N77" si="5">IFERROR(R21/Q21/100000,"-")</f>
        <v>-</v>
      </c>
      <c r="O21" s="191" t="str">
        <f t="shared" ref="O21:O39" si="6">IFERROR(T21/S21/100000,"-")</f>
        <v>-</v>
      </c>
      <c r="P21" s="177">
        <f t="shared" ref="P21:P78" si="7">Q21-S21</f>
        <v>0</v>
      </c>
      <c r="Q21" s="3"/>
      <c r="R21" s="28"/>
      <c r="S21" s="3"/>
      <c r="T21" s="28"/>
    </row>
    <row r="22" spans="1:20" x14ac:dyDescent="0.2">
      <c r="A22" s="176">
        <v>45888</v>
      </c>
      <c r="B22" s="3" t="s">
        <v>3091</v>
      </c>
      <c r="C22" s="3">
        <v>320</v>
      </c>
      <c r="D22" s="28">
        <v>57320890000</v>
      </c>
      <c r="E22" s="3">
        <v>2628</v>
      </c>
      <c r="F22" s="28">
        <v>471775070000</v>
      </c>
      <c r="G22" s="3">
        <f t="shared" si="1"/>
        <v>2948</v>
      </c>
      <c r="H22" s="28">
        <f t="shared" si="2"/>
        <v>529095960000</v>
      </c>
      <c r="I22" s="177">
        <f t="shared" si="3"/>
        <v>-2308</v>
      </c>
      <c r="J22" s="191">
        <f t="shared" si="4"/>
        <v>1791.2778125</v>
      </c>
      <c r="K22" s="191">
        <f t="shared" si="0"/>
        <v>1795.1867199391172</v>
      </c>
      <c r="L22" s="191">
        <v>1776.3</v>
      </c>
      <c r="M22" s="191">
        <v>1823.5</v>
      </c>
      <c r="N22" s="177">
        <f t="shared" si="5"/>
        <v>1798.5493535162411</v>
      </c>
      <c r="O22" s="191">
        <f t="shared" si="6"/>
        <v>1798.5987261146497</v>
      </c>
      <c r="P22" s="177">
        <f t="shared" si="7"/>
        <v>2386</v>
      </c>
      <c r="Q22" s="3">
        <v>3171</v>
      </c>
      <c r="R22" s="28">
        <v>570320000000</v>
      </c>
      <c r="S22" s="3">
        <v>785</v>
      </c>
      <c r="T22" s="28">
        <v>141190000000</v>
      </c>
    </row>
    <row r="23" spans="1:20" x14ac:dyDescent="0.2">
      <c r="A23" s="176"/>
      <c r="B23" s="3" t="s">
        <v>3084</v>
      </c>
      <c r="C23" s="3"/>
      <c r="D23" s="28"/>
      <c r="E23" s="3"/>
      <c r="F23" s="28"/>
      <c r="G23" s="3">
        <f t="shared" si="1"/>
        <v>0</v>
      </c>
      <c r="H23" s="28">
        <f t="shared" si="2"/>
        <v>0</v>
      </c>
      <c r="I23" s="177">
        <f t="shared" si="3"/>
        <v>0</v>
      </c>
      <c r="J23" s="191" t="str">
        <f t="shared" si="4"/>
        <v>-</v>
      </c>
      <c r="K23" s="191" t="str">
        <f t="shared" si="0"/>
        <v>-</v>
      </c>
      <c r="L23" s="191"/>
      <c r="M23" s="191"/>
      <c r="N23" s="177" t="str">
        <f t="shared" si="5"/>
        <v>-</v>
      </c>
      <c r="O23" s="191" t="str">
        <f t="shared" si="6"/>
        <v>-</v>
      </c>
      <c r="P23" s="177">
        <f t="shared" si="7"/>
        <v>0</v>
      </c>
      <c r="Q23" s="3"/>
      <c r="R23" s="28"/>
      <c r="S23" s="3"/>
      <c r="T23" s="28"/>
    </row>
    <row r="24" spans="1:20" x14ac:dyDescent="0.2">
      <c r="A24" s="176"/>
      <c r="B24" s="3" t="s">
        <v>3091</v>
      </c>
      <c r="C24" s="186"/>
      <c r="D24" s="187"/>
      <c r="E24" s="186"/>
      <c r="F24" s="187"/>
      <c r="G24" s="3">
        <f t="shared" si="1"/>
        <v>0</v>
      </c>
      <c r="H24" s="28">
        <f t="shared" si="2"/>
        <v>0</v>
      </c>
      <c r="I24" s="177">
        <f t="shared" si="3"/>
        <v>0</v>
      </c>
      <c r="J24" s="191" t="str">
        <f t="shared" si="4"/>
        <v>-</v>
      </c>
      <c r="K24" s="191" t="str">
        <f t="shared" si="0"/>
        <v>-</v>
      </c>
      <c r="L24" s="191"/>
      <c r="M24" s="191"/>
      <c r="N24" s="177" t="str">
        <f t="shared" si="5"/>
        <v>-</v>
      </c>
      <c r="O24" s="191" t="str">
        <f t="shared" si="6"/>
        <v>-</v>
      </c>
      <c r="P24" s="177">
        <f t="shared" si="7"/>
        <v>0</v>
      </c>
      <c r="Q24" s="186"/>
      <c r="R24" s="187"/>
      <c r="S24" s="186"/>
      <c r="T24" s="187"/>
    </row>
    <row r="25" spans="1:20" x14ac:dyDescent="0.2">
      <c r="A25" s="176"/>
      <c r="B25" s="3" t="s">
        <v>3084</v>
      </c>
      <c r="C25" s="3"/>
      <c r="D25" s="28"/>
      <c r="E25" s="3"/>
      <c r="F25" s="28"/>
      <c r="G25" s="3">
        <f t="shared" si="1"/>
        <v>0</v>
      </c>
      <c r="H25" s="28">
        <f t="shared" si="2"/>
        <v>0</v>
      </c>
      <c r="I25" s="177">
        <f t="shared" si="3"/>
        <v>0</v>
      </c>
      <c r="J25" s="191" t="str">
        <f t="shared" si="4"/>
        <v>-</v>
      </c>
      <c r="K25" s="191" t="str">
        <f t="shared" si="0"/>
        <v>-</v>
      </c>
      <c r="L25" s="3"/>
      <c r="M25" s="3"/>
      <c r="N25" s="177" t="str">
        <f t="shared" si="5"/>
        <v>-</v>
      </c>
      <c r="O25" s="191" t="str">
        <f>IFERROR(T25/S25/100000,"-")</f>
        <v>-</v>
      </c>
      <c r="P25" s="177">
        <f t="shared" si="7"/>
        <v>0</v>
      </c>
      <c r="Q25" s="3"/>
      <c r="R25" s="28"/>
      <c r="S25" s="3"/>
      <c r="T25" s="28"/>
    </row>
    <row r="26" spans="1:20" x14ac:dyDescent="0.2">
      <c r="A26" s="176"/>
      <c r="B26" s="3" t="s">
        <v>3091</v>
      </c>
      <c r="C26" s="3"/>
      <c r="D26" s="28"/>
      <c r="E26" s="3"/>
      <c r="F26" s="28"/>
      <c r="G26" s="3">
        <f t="shared" si="1"/>
        <v>0</v>
      </c>
      <c r="H26" s="28">
        <f t="shared" si="2"/>
        <v>0</v>
      </c>
      <c r="I26" s="177">
        <f t="shared" si="3"/>
        <v>0</v>
      </c>
      <c r="J26" s="191" t="str">
        <f t="shared" si="4"/>
        <v>-</v>
      </c>
      <c r="K26" s="191" t="str">
        <f t="shared" si="0"/>
        <v>-</v>
      </c>
      <c r="L26" s="3"/>
      <c r="M26" s="3"/>
      <c r="N26" s="177" t="str">
        <f t="shared" si="5"/>
        <v>-</v>
      </c>
      <c r="O26" s="191" t="str">
        <f t="shared" si="6"/>
        <v>-</v>
      </c>
      <c r="P26" s="177">
        <f t="shared" si="7"/>
        <v>0</v>
      </c>
      <c r="Q26" s="3"/>
      <c r="R26" s="28"/>
      <c r="S26" s="3"/>
      <c r="T26" s="28"/>
    </row>
    <row r="27" spans="1:20" x14ac:dyDescent="0.2">
      <c r="A27" s="176"/>
      <c r="B27" s="3" t="s">
        <v>3084</v>
      </c>
      <c r="C27" s="3"/>
      <c r="D27" s="28"/>
      <c r="E27" s="3"/>
      <c r="F27" s="28"/>
      <c r="G27" s="3">
        <f t="shared" si="1"/>
        <v>0</v>
      </c>
      <c r="H27" s="28">
        <f t="shared" si="2"/>
        <v>0</v>
      </c>
      <c r="I27" s="177">
        <f t="shared" si="3"/>
        <v>0</v>
      </c>
      <c r="J27" s="191" t="str">
        <f t="shared" si="4"/>
        <v>-</v>
      </c>
      <c r="K27" s="191" t="str">
        <f t="shared" si="0"/>
        <v>-</v>
      </c>
      <c r="L27" s="3"/>
      <c r="M27" s="3"/>
      <c r="N27" s="177" t="str">
        <f t="shared" si="5"/>
        <v>-</v>
      </c>
      <c r="O27" s="191" t="str">
        <f t="shared" si="6"/>
        <v>-</v>
      </c>
      <c r="P27" s="177">
        <f t="shared" si="7"/>
        <v>0</v>
      </c>
      <c r="Q27" s="3"/>
      <c r="R27" s="28"/>
      <c r="S27" s="3"/>
      <c r="T27" s="28"/>
    </row>
    <row r="28" spans="1:20" x14ac:dyDescent="0.2">
      <c r="A28" s="176"/>
      <c r="B28" s="3" t="s">
        <v>3084</v>
      </c>
      <c r="C28" s="3"/>
      <c r="D28" s="28"/>
      <c r="E28" s="3"/>
      <c r="F28" s="28"/>
      <c r="G28" s="3">
        <f t="shared" si="1"/>
        <v>0</v>
      </c>
      <c r="H28" s="28">
        <f t="shared" si="2"/>
        <v>0</v>
      </c>
      <c r="I28" s="177">
        <f t="shared" si="3"/>
        <v>0</v>
      </c>
      <c r="J28" s="191" t="str">
        <f t="shared" si="4"/>
        <v>-</v>
      </c>
      <c r="K28" s="191" t="str">
        <f t="shared" si="0"/>
        <v>-</v>
      </c>
      <c r="L28" s="3"/>
      <c r="M28" s="3"/>
      <c r="N28" s="177" t="str">
        <f t="shared" si="5"/>
        <v>-</v>
      </c>
      <c r="O28" s="191" t="str">
        <f>IFERROR(T28/S28/100000,"-")</f>
        <v>-</v>
      </c>
      <c r="P28" s="177">
        <f t="shared" si="7"/>
        <v>0</v>
      </c>
      <c r="Q28" s="3"/>
      <c r="R28" s="28"/>
      <c r="S28" s="3"/>
      <c r="T28" s="28"/>
    </row>
    <row r="29" spans="1:20" x14ac:dyDescent="0.2">
      <c r="A29" s="176"/>
      <c r="B29" s="3" t="s">
        <v>3084</v>
      </c>
      <c r="C29" s="3"/>
      <c r="D29" s="28"/>
      <c r="E29" s="3"/>
      <c r="F29" s="28"/>
      <c r="G29" s="3">
        <f t="shared" si="1"/>
        <v>0</v>
      </c>
      <c r="H29" s="28">
        <f t="shared" si="2"/>
        <v>0</v>
      </c>
      <c r="I29" s="177">
        <f t="shared" si="3"/>
        <v>0</v>
      </c>
      <c r="J29" s="191" t="str">
        <f t="shared" si="4"/>
        <v>-</v>
      </c>
      <c r="K29" s="191" t="str">
        <f t="shared" si="0"/>
        <v>-</v>
      </c>
      <c r="L29" s="3"/>
      <c r="M29" s="3"/>
      <c r="N29" s="177" t="str">
        <f t="shared" si="5"/>
        <v>-</v>
      </c>
      <c r="O29" s="191" t="str">
        <f t="shared" si="6"/>
        <v>-</v>
      </c>
      <c r="P29" s="177">
        <f t="shared" si="7"/>
        <v>0</v>
      </c>
      <c r="Q29" s="3"/>
      <c r="R29" s="28"/>
      <c r="S29" s="3"/>
      <c r="T29" s="28"/>
    </row>
    <row r="30" spans="1:20" x14ac:dyDescent="0.2">
      <c r="A30" s="176"/>
      <c r="B30" s="3" t="s">
        <v>3084</v>
      </c>
      <c r="C30" s="3"/>
      <c r="D30" s="28"/>
      <c r="E30" s="3"/>
      <c r="F30" s="28"/>
      <c r="G30" s="3">
        <f t="shared" si="1"/>
        <v>0</v>
      </c>
      <c r="H30" s="28">
        <f t="shared" si="2"/>
        <v>0</v>
      </c>
      <c r="I30" s="177">
        <f t="shared" si="3"/>
        <v>0</v>
      </c>
      <c r="J30" s="191" t="str">
        <f t="shared" si="4"/>
        <v>-</v>
      </c>
      <c r="K30" s="191" t="str">
        <f t="shared" si="0"/>
        <v>-</v>
      </c>
      <c r="L30" s="3"/>
      <c r="M30" s="3"/>
      <c r="N30" s="177" t="str">
        <f t="shared" si="5"/>
        <v>-</v>
      </c>
      <c r="O30" s="191" t="str">
        <f t="shared" si="6"/>
        <v>-</v>
      </c>
      <c r="P30" s="177">
        <f t="shared" si="7"/>
        <v>0</v>
      </c>
      <c r="Q30" s="3"/>
      <c r="R30" s="28"/>
      <c r="S30" s="3"/>
      <c r="T30" s="28"/>
    </row>
    <row r="31" spans="1:20" x14ac:dyDescent="0.2">
      <c r="A31" s="176"/>
      <c r="B31" s="3" t="s">
        <v>3084</v>
      </c>
      <c r="C31" s="3"/>
      <c r="D31" s="28"/>
      <c r="E31" s="3"/>
      <c r="F31" s="28"/>
      <c r="G31" s="3">
        <f t="shared" si="1"/>
        <v>0</v>
      </c>
      <c r="H31" s="28">
        <f t="shared" si="2"/>
        <v>0</v>
      </c>
      <c r="I31" s="177">
        <f t="shared" si="3"/>
        <v>0</v>
      </c>
      <c r="J31" s="191" t="str">
        <f t="shared" si="4"/>
        <v>-</v>
      </c>
      <c r="K31" s="191" t="str">
        <f t="shared" si="0"/>
        <v>-</v>
      </c>
      <c r="L31" s="3"/>
      <c r="M31" s="3"/>
      <c r="N31" s="177" t="str">
        <f t="shared" si="5"/>
        <v>-</v>
      </c>
      <c r="O31" s="191" t="str">
        <f t="shared" si="6"/>
        <v>-</v>
      </c>
      <c r="P31" s="177">
        <f t="shared" si="7"/>
        <v>0</v>
      </c>
      <c r="Q31" s="3"/>
      <c r="R31" s="28"/>
      <c r="S31" s="3"/>
      <c r="T31" s="28"/>
    </row>
    <row r="32" spans="1:20" x14ac:dyDescent="0.2">
      <c r="A32" s="176"/>
      <c r="B32" s="3" t="s">
        <v>3084</v>
      </c>
      <c r="C32" s="3"/>
      <c r="D32" s="28"/>
      <c r="E32" s="3"/>
      <c r="F32" s="28"/>
      <c r="G32" s="3">
        <f t="shared" si="1"/>
        <v>0</v>
      </c>
      <c r="H32" s="28">
        <f t="shared" si="2"/>
        <v>0</v>
      </c>
      <c r="I32" s="177">
        <f t="shared" si="3"/>
        <v>0</v>
      </c>
      <c r="J32" s="191" t="str">
        <f t="shared" si="4"/>
        <v>-</v>
      </c>
      <c r="K32" s="191" t="str">
        <f t="shared" si="0"/>
        <v>-</v>
      </c>
      <c r="L32" s="3"/>
      <c r="M32" s="3"/>
      <c r="N32" s="177" t="str">
        <f t="shared" si="5"/>
        <v>-</v>
      </c>
      <c r="O32" s="191" t="str">
        <f t="shared" si="6"/>
        <v>-</v>
      </c>
      <c r="P32" s="177">
        <f t="shared" si="7"/>
        <v>0</v>
      </c>
      <c r="Q32" s="3"/>
      <c r="R32" s="28"/>
      <c r="S32" s="3"/>
      <c r="T32" s="28"/>
    </row>
    <row r="33" spans="1:20" x14ac:dyDescent="0.2">
      <c r="A33" s="176"/>
      <c r="B33" s="3" t="s">
        <v>3084</v>
      </c>
      <c r="C33" s="3"/>
      <c r="D33" s="28"/>
      <c r="E33" s="3"/>
      <c r="F33" s="28"/>
      <c r="G33" s="3">
        <f t="shared" si="1"/>
        <v>0</v>
      </c>
      <c r="H33" s="28">
        <f t="shared" si="2"/>
        <v>0</v>
      </c>
      <c r="I33" s="177">
        <f t="shared" si="3"/>
        <v>0</v>
      </c>
      <c r="J33" s="191" t="str">
        <f t="shared" si="4"/>
        <v>-</v>
      </c>
      <c r="K33" s="191" t="str">
        <f t="shared" si="0"/>
        <v>-</v>
      </c>
      <c r="L33" s="3"/>
      <c r="M33" s="3"/>
      <c r="N33" s="177" t="str">
        <f t="shared" si="5"/>
        <v>-</v>
      </c>
      <c r="O33" s="191" t="str">
        <f>IFERROR(T33/S33/100000,"-")</f>
        <v>-</v>
      </c>
      <c r="P33" s="177">
        <f t="shared" si="7"/>
        <v>0</v>
      </c>
      <c r="Q33" s="3"/>
      <c r="R33" s="28"/>
      <c r="S33" s="3"/>
      <c r="T33" s="28"/>
    </row>
    <row r="34" spans="1:20" x14ac:dyDescent="0.2">
      <c r="A34" s="176"/>
      <c r="B34" s="3" t="s">
        <v>3084</v>
      </c>
      <c r="C34" s="3"/>
      <c r="D34" s="28"/>
      <c r="E34" s="3"/>
      <c r="F34" s="28"/>
      <c r="G34" s="3">
        <f t="shared" si="1"/>
        <v>0</v>
      </c>
      <c r="H34" s="28">
        <f t="shared" si="2"/>
        <v>0</v>
      </c>
      <c r="I34" s="177">
        <f t="shared" si="3"/>
        <v>0</v>
      </c>
      <c r="J34" s="191" t="str">
        <f t="shared" si="4"/>
        <v>-</v>
      </c>
      <c r="K34" s="191" t="str">
        <f t="shared" si="0"/>
        <v>-</v>
      </c>
      <c r="L34" s="3"/>
      <c r="M34" s="3"/>
      <c r="N34" s="177" t="str">
        <f t="shared" si="5"/>
        <v>-</v>
      </c>
      <c r="O34" s="191" t="str">
        <f t="shared" si="6"/>
        <v>-</v>
      </c>
      <c r="P34" s="177">
        <f t="shared" si="7"/>
        <v>0</v>
      </c>
      <c r="Q34" s="3"/>
      <c r="R34" s="28"/>
      <c r="S34" s="3"/>
      <c r="T34" s="28"/>
    </row>
    <row r="35" spans="1:20" x14ac:dyDescent="0.2">
      <c r="A35" s="176"/>
      <c r="B35" s="3" t="s">
        <v>3084</v>
      </c>
      <c r="C35" s="3"/>
      <c r="D35" s="28"/>
      <c r="E35" s="3"/>
      <c r="F35" s="28"/>
      <c r="G35" s="3">
        <f t="shared" si="1"/>
        <v>0</v>
      </c>
      <c r="H35" s="28">
        <f t="shared" si="2"/>
        <v>0</v>
      </c>
      <c r="I35" s="177">
        <f t="shared" si="3"/>
        <v>0</v>
      </c>
      <c r="J35" s="191" t="str">
        <f t="shared" si="4"/>
        <v>-</v>
      </c>
      <c r="K35" s="191" t="str">
        <f t="shared" si="0"/>
        <v>-</v>
      </c>
      <c r="L35" s="3"/>
      <c r="M35" s="3"/>
      <c r="N35" s="177" t="str">
        <f t="shared" si="5"/>
        <v>-</v>
      </c>
      <c r="O35" s="191" t="str">
        <f>IFERROR(T35/S35/100000,"-")</f>
        <v>-</v>
      </c>
      <c r="P35" s="177">
        <f t="shared" si="7"/>
        <v>0</v>
      </c>
      <c r="Q35" s="3"/>
      <c r="R35" s="28"/>
      <c r="S35" s="3"/>
      <c r="T35" s="28"/>
    </row>
    <row r="36" spans="1:20" x14ac:dyDescent="0.2">
      <c r="A36" s="176"/>
      <c r="B36" s="3" t="s">
        <v>3091</v>
      </c>
      <c r="C36" s="3"/>
      <c r="D36" s="28"/>
      <c r="E36" s="3"/>
      <c r="F36" s="28"/>
      <c r="G36" s="3">
        <f t="shared" si="1"/>
        <v>0</v>
      </c>
      <c r="H36" s="28">
        <f t="shared" si="2"/>
        <v>0</v>
      </c>
      <c r="I36" s="177">
        <f t="shared" si="3"/>
        <v>0</v>
      </c>
      <c r="J36" s="191" t="str">
        <f t="shared" si="4"/>
        <v>-</v>
      </c>
      <c r="K36" s="191" t="str">
        <f t="shared" si="0"/>
        <v>-</v>
      </c>
      <c r="L36" s="3"/>
      <c r="M36" s="3"/>
      <c r="N36" s="177" t="str">
        <f t="shared" si="5"/>
        <v>-</v>
      </c>
      <c r="O36" s="191" t="str">
        <f t="shared" si="6"/>
        <v>-</v>
      </c>
      <c r="P36" s="177">
        <f t="shared" si="7"/>
        <v>0</v>
      </c>
      <c r="Q36" s="3"/>
      <c r="R36" s="28"/>
      <c r="S36" s="3"/>
      <c r="T36" s="28"/>
    </row>
    <row r="37" spans="1:20" x14ac:dyDescent="0.2">
      <c r="A37" s="176"/>
      <c r="B37" s="3" t="s">
        <v>3084</v>
      </c>
      <c r="C37" s="3"/>
      <c r="D37" s="28"/>
      <c r="E37" s="3"/>
      <c r="F37" s="28"/>
      <c r="G37" s="3">
        <f t="shared" si="1"/>
        <v>0</v>
      </c>
      <c r="H37" s="28">
        <f t="shared" si="2"/>
        <v>0</v>
      </c>
      <c r="I37" s="177">
        <f t="shared" si="3"/>
        <v>0</v>
      </c>
      <c r="J37" s="191" t="str">
        <f t="shared" si="4"/>
        <v>-</v>
      </c>
      <c r="K37" s="191" t="str">
        <f t="shared" si="0"/>
        <v>-</v>
      </c>
      <c r="L37" s="3"/>
      <c r="M37" s="3"/>
      <c r="N37" s="177" t="str">
        <f t="shared" si="5"/>
        <v>-</v>
      </c>
      <c r="O37" s="191" t="str">
        <f t="shared" si="6"/>
        <v>-</v>
      </c>
      <c r="P37" s="177">
        <f t="shared" si="7"/>
        <v>0</v>
      </c>
      <c r="Q37" s="3"/>
      <c r="R37" s="28"/>
      <c r="S37" s="3"/>
      <c r="T37" s="28"/>
    </row>
    <row r="38" spans="1:20" x14ac:dyDescent="0.2">
      <c r="A38" s="176"/>
      <c r="B38" s="3" t="s">
        <v>3084</v>
      </c>
      <c r="C38" s="3"/>
      <c r="D38" s="28"/>
      <c r="E38" s="3"/>
      <c r="F38" s="28"/>
      <c r="G38" s="3">
        <f t="shared" si="1"/>
        <v>0</v>
      </c>
      <c r="H38" s="28">
        <f t="shared" si="2"/>
        <v>0</v>
      </c>
      <c r="I38" s="177">
        <f t="shared" si="3"/>
        <v>0</v>
      </c>
      <c r="J38" s="191" t="str">
        <f t="shared" si="4"/>
        <v>-</v>
      </c>
      <c r="K38" s="191" t="str">
        <f t="shared" si="0"/>
        <v>-</v>
      </c>
      <c r="L38" s="3"/>
      <c r="M38" s="3"/>
      <c r="N38" s="177" t="str">
        <f t="shared" si="5"/>
        <v>-</v>
      </c>
      <c r="O38" s="191" t="str">
        <f t="shared" si="6"/>
        <v>-</v>
      </c>
      <c r="P38" s="177">
        <f t="shared" si="7"/>
        <v>0</v>
      </c>
      <c r="Q38" s="3"/>
      <c r="R38" s="28"/>
      <c r="S38" s="3"/>
      <c r="T38" s="28"/>
    </row>
    <row r="39" spans="1:20" x14ac:dyDescent="0.2">
      <c r="A39" s="176"/>
      <c r="B39" s="3" t="s">
        <v>3091</v>
      </c>
      <c r="C39" s="3"/>
      <c r="D39" s="28"/>
      <c r="E39" s="3"/>
      <c r="F39" s="28"/>
      <c r="G39" s="3">
        <f t="shared" si="1"/>
        <v>0</v>
      </c>
      <c r="H39" s="28">
        <f t="shared" si="2"/>
        <v>0</v>
      </c>
      <c r="I39" s="177">
        <f t="shared" si="3"/>
        <v>0</v>
      </c>
      <c r="J39" s="191" t="str">
        <f t="shared" si="4"/>
        <v>-</v>
      </c>
      <c r="K39" s="191" t="str">
        <f t="shared" si="0"/>
        <v>-</v>
      </c>
      <c r="L39" s="3"/>
      <c r="M39" s="3"/>
      <c r="N39" s="177" t="str">
        <f t="shared" si="5"/>
        <v>-</v>
      </c>
      <c r="O39" s="191" t="str">
        <f t="shared" si="6"/>
        <v>-</v>
      </c>
      <c r="P39" s="177">
        <f t="shared" si="7"/>
        <v>0</v>
      </c>
      <c r="Q39" s="3"/>
      <c r="R39" s="28"/>
      <c r="S39" s="3"/>
      <c r="T39" s="28"/>
    </row>
    <row r="40" spans="1:20" x14ac:dyDescent="0.2">
      <c r="A40" s="176"/>
      <c r="B40" s="3" t="s">
        <v>3113</v>
      </c>
      <c r="C40" s="3"/>
      <c r="D40" s="28"/>
      <c r="E40" s="3"/>
      <c r="F40" s="28"/>
      <c r="G40" s="3">
        <f t="shared" si="1"/>
        <v>0</v>
      </c>
      <c r="H40" s="28">
        <f t="shared" si="2"/>
        <v>0</v>
      </c>
      <c r="I40" s="177">
        <f t="shared" si="3"/>
        <v>0</v>
      </c>
      <c r="J40" s="191" t="str">
        <f t="shared" si="4"/>
        <v>-</v>
      </c>
      <c r="K40" s="191" t="str">
        <f t="shared" si="0"/>
        <v>-</v>
      </c>
      <c r="L40" s="3"/>
      <c r="M40" s="3"/>
      <c r="N40" s="177" t="str">
        <f t="shared" si="5"/>
        <v>-</v>
      </c>
      <c r="O40" s="191" t="str">
        <f>IFERROR(T40/S40/100000,"-")</f>
        <v>-</v>
      </c>
      <c r="P40" s="177">
        <f t="shared" si="7"/>
        <v>0</v>
      </c>
      <c r="Q40" s="3"/>
      <c r="R40" s="28"/>
      <c r="S40" s="3"/>
      <c r="T40" s="28"/>
    </row>
    <row r="41" spans="1:20" x14ac:dyDescent="0.2">
      <c r="A41" s="176"/>
      <c r="B41" s="3" t="s">
        <v>3084</v>
      </c>
      <c r="C41" s="3"/>
      <c r="D41" s="28"/>
      <c r="E41" s="3"/>
      <c r="F41" s="28"/>
      <c r="G41" s="3">
        <f t="shared" si="1"/>
        <v>0</v>
      </c>
      <c r="H41" s="28">
        <f t="shared" si="2"/>
        <v>0</v>
      </c>
      <c r="I41" s="177">
        <f t="shared" si="3"/>
        <v>0</v>
      </c>
      <c r="J41" s="191" t="str">
        <f t="shared" si="4"/>
        <v>-</v>
      </c>
      <c r="K41" s="191" t="str">
        <f t="shared" si="0"/>
        <v>-</v>
      </c>
      <c r="L41" s="3"/>
      <c r="M41" s="3"/>
      <c r="N41" s="177" t="str">
        <f t="shared" si="5"/>
        <v>-</v>
      </c>
      <c r="O41" s="191" t="str">
        <f>IFERROR(T41/S41/100000,"-")</f>
        <v>-</v>
      </c>
      <c r="P41" s="177">
        <f t="shared" si="7"/>
        <v>0</v>
      </c>
      <c r="Q41" s="3"/>
      <c r="R41" s="28"/>
      <c r="S41" s="3"/>
      <c r="T41" s="28"/>
    </row>
    <row r="42" spans="1:20" x14ac:dyDescent="0.2">
      <c r="A42" s="176"/>
      <c r="B42" s="3" t="s">
        <v>3091</v>
      </c>
      <c r="C42" s="3"/>
      <c r="D42" s="28"/>
      <c r="E42" s="3"/>
      <c r="F42" s="28"/>
      <c r="G42" s="3">
        <f t="shared" si="1"/>
        <v>0</v>
      </c>
      <c r="H42" s="28">
        <f t="shared" si="2"/>
        <v>0</v>
      </c>
      <c r="I42" s="177">
        <f t="shared" si="3"/>
        <v>0</v>
      </c>
      <c r="J42" s="191" t="str">
        <f t="shared" si="4"/>
        <v>-</v>
      </c>
      <c r="K42" s="191" t="str">
        <f t="shared" si="0"/>
        <v>-</v>
      </c>
      <c r="L42" s="3"/>
      <c r="M42" s="3"/>
      <c r="N42" s="177" t="str">
        <f t="shared" si="5"/>
        <v>-</v>
      </c>
      <c r="O42" s="191" t="str">
        <f t="shared" ref="O42:O48" si="8">IFERROR(T42/S42/100000,"-")</f>
        <v>-</v>
      </c>
      <c r="P42" s="177">
        <f t="shared" si="7"/>
        <v>0</v>
      </c>
      <c r="Q42" s="3"/>
      <c r="R42" s="28"/>
      <c r="S42" s="3"/>
      <c r="T42" s="28"/>
    </row>
    <row r="43" spans="1:20" x14ac:dyDescent="0.2">
      <c r="A43" s="176"/>
      <c r="B43" s="3" t="s">
        <v>3113</v>
      </c>
      <c r="C43" s="3"/>
      <c r="D43" s="28"/>
      <c r="E43" s="3"/>
      <c r="F43" s="28"/>
      <c r="G43" s="3">
        <f t="shared" si="1"/>
        <v>0</v>
      </c>
      <c r="H43" s="28">
        <f t="shared" si="2"/>
        <v>0</v>
      </c>
      <c r="I43" s="177">
        <f t="shared" si="3"/>
        <v>0</v>
      </c>
      <c r="J43" s="191" t="str">
        <f t="shared" si="4"/>
        <v>-</v>
      </c>
      <c r="K43" s="191" t="str">
        <f t="shared" si="0"/>
        <v>-</v>
      </c>
      <c r="L43" s="3"/>
      <c r="M43" s="3"/>
      <c r="N43" s="177" t="str">
        <f t="shared" si="5"/>
        <v>-</v>
      </c>
      <c r="O43" s="191" t="str">
        <f t="shared" si="8"/>
        <v>-</v>
      </c>
      <c r="P43" s="177">
        <f t="shared" si="7"/>
        <v>0</v>
      </c>
      <c r="Q43" s="3"/>
      <c r="R43" s="28"/>
      <c r="S43" s="3"/>
      <c r="T43" s="28"/>
    </row>
    <row r="44" spans="1:20" x14ac:dyDescent="0.2">
      <c r="A44" s="176"/>
      <c r="B44" s="3" t="s">
        <v>3084</v>
      </c>
      <c r="C44" s="3"/>
      <c r="D44" s="28"/>
      <c r="E44" s="3"/>
      <c r="F44" s="28"/>
      <c r="G44" s="3">
        <f t="shared" si="1"/>
        <v>0</v>
      </c>
      <c r="H44" s="28">
        <f t="shared" si="2"/>
        <v>0</v>
      </c>
      <c r="I44" s="177">
        <f t="shared" si="3"/>
        <v>0</v>
      </c>
      <c r="J44" s="191" t="str">
        <f t="shared" si="4"/>
        <v>-</v>
      </c>
      <c r="K44" s="191" t="str">
        <f t="shared" si="0"/>
        <v>-</v>
      </c>
      <c r="L44" s="3"/>
      <c r="M44" s="3"/>
      <c r="N44" s="177" t="str">
        <f t="shared" si="5"/>
        <v>-</v>
      </c>
      <c r="O44" s="191" t="str">
        <f t="shared" si="8"/>
        <v>-</v>
      </c>
      <c r="P44" s="177">
        <f t="shared" si="7"/>
        <v>0</v>
      </c>
      <c r="Q44" s="3"/>
      <c r="R44" s="28"/>
      <c r="S44" s="3"/>
      <c r="T44" s="28"/>
    </row>
    <row r="45" spans="1:20" x14ac:dyDescent="0.2">
      <c r="A45" s="176"/>
      <c r="B45" s="3" t="s">
        <v>3091</v>
      </c>
      <c r="C45" s="3"/>
      <c r="D45" s="28"/>
      <c r="E45" s="3"/>
      <c r="F45" s="28"/>
      <c r="G45" s="3">
        <f t="shared" si="1"/>
        <v>0</v>
      </c>
      <c r="H45" s="28">
        <f t="shared" si="2"/>
        <v>0</v>
      </c>
      <c r="I45" s="177">
        <f t="shared" si="3"/>
        <v>0</v>
      </c>
      <c r="J45" s="191" t="str">
        <f t="shared" si="4"/>
        <v>-</v>
      </c>
      <c r="K45" s="191" t="str">
        <f t="shared" si="0"/>
        <v>-</v>
      </c>
      <c r="L45" s="3"/>
      <c r="M45" s="3"/>
      <c r="N45" s="177" t="str">
        <f t="shared" si="5"/>
        <v>-</v>
      </c>
      <c r="O45" s="191" t="str">
        <f t="shared" si="8"/>
        <v>-</v>
      </c>
      <c r="P45" s="177">
        <f t="shared" si="7"/>
        <v>0</v>
      </c>
      <c r="Q45" s="3"/>
      <c r="R45" s="28"/>
      <c r="S45" s="3"/>
      <c r="T45" s="28"/>
    </row>
    <row r="46" spans="1:20" x14ac:dyDescent="0.2">
      <c r="A46" s="176"/>
      <c r="B46" s="3" t="s">
        <v>3113</v>
      </c>
      <c r="C46" s="3"/>
      <c r="D46" s="28"/>
      <c r="E46" s="3"/>
      <c r="F46" s="28"/>
      <c r="G46" s="3">
        <f t="shared" si="1"/>
        <v>0</v>
      </c>
      <c r="H46" s="28">
        <f t="shared" si="2"/>
        <v>0</v>
      </c>
      <c r="I46" s="177">
        <f t="shared" si="3"/>
        <v>0</v>
      </c>
      <c r="J46" s="191" t="str">
        <f t="shared" si="4"/>
        <v>-</v>
      </c>
      <c r="K46" s="191" t="str">
        <f t="shared" si="0"/>
        <v>-</v>
      </c>
      <c r="L46" s="3"/>
      <c r="M46" s="3"/>
      <c r="N46" s="177" t="str">
        <f t="shared" si="5"/>
        <v>-</v>
      </c>
      <c r="O46" s="191" t="str">
        <f>IFERROR(T46/S46/100000,"-")</f>
        <v>-</v>
      </c>
      <c r="P46" s="177">
        <f t="shared" si="7"/>
        <v>0</v>
      </c>
      <c r="Q46" s="3"/>
      <c r="R46" s="28"/>
      <c r="S46" s="3"/>
      <c r="T46" s="28"/>
    </row>
    <row r="47" spans="1:20" x14ac:dyDescent="0.2">
      <c r="A47" s="176"/>
      <c r="B47" s="3" t="s">
        <v>3084</v>
      </c>
      <c r="C47" s="3"/>
      <c r="D47" s="28"/>
      <c r="E47" s="3"/>
      <c r="F47" s="28"/>
      <c r="G47" s="3">
        <f t="shared" si="1"/>
        <v>0</v>
      </c>
      <c r="H47" s="28">
        <f t="shared" si="2"/>
        <v>0</v>
      </c>
      <c r="I47" s="177">
        <f t="shared" si="3"/>
        <v>0</v>
      </c>
      <c r="J47" s="191" t="str">
        <f t="shared" si="4"/>
        <v>-</v>
      </c>
      <c r="K47" s="191" t="str">
        <f t="shared" si="0"/>
        <v>-</v>
      </c>
      <c r="L47" s="3"/>
      <c r="M47" s="3"/>
      <c r="N47" s="177" t="str">
        <f t="shared" si="5"/>
        <v>-</v>
      </c>
      <c r="O47" s="191" t="str">
        <f t="shared" si="8"/>
        <v>-</v>
      </c>
      <c r="P47" s="177">
        <f t="shared" si="7"/>
        <v>0</v>
      </c>
      <c r="Q47" s="3"/>
      <c r="R47" s="28"/>
      <c r="S47" s="3"/>
      <c r="T47" s="28"/>
    </row>
    <row r="48" spans="1:20" x14ac:dyDescent="0.2">
      <c r="A48" s="176"/>
      <c r="B48" s="3" t="s">
        <v>3091</v>
      </c>
      <c r="C48" s="3"/>
      <c r="D48" s="28"/>
      <c r="E48" s="3"/>
      <c r="F48" s="28"/>
      <c r="G48" s="3">
        <f t="shared" si="1"/>
        <v>0</v>
      </c>
      <c r="H48" s="28">
        <f t="shared" si="2"/>
        <v>0</v>
      </c>
      <c r="I48" s="177">
        <f t="shared" si="3"/>
        <v>0</v>
      </c>
      <c r="J48" s="191" t="str">
        <f t="shared" si="4"/>
        <v>-</v>
      </c>
      <c r="K48" s="191" t="str">
        <f t="shared" si="0"/>
        <v>-</v>
      </c>
      <c r="L48" s="3"/>
      <c r="M48" s="3"/>
      <c r="N48" s="177" t="str">
        <f t="shared" si="5"/>
        <v>-</v>
      </c>
      <c r="O48" s="191" t="str">
        <f t="shared" si="8"/>
        <v>-</v>
      </c>
      <c r="P48" s="177">
        <f t="shared" si="7"/>
        <v>0</v>
      </c>
      <c r="Q48" s="3"/>
      <c r="R48" s="28"/>
      <c r="S48" s="3"/>
      <c r="T48" s="28"/>
    </row>
    <row r="49" spans="1:20" x14ac:dyDescent="0.2">
      <c r="A49" s="176"/>
      <c r="B49" s="3" t="s">
        <v>3084</v>
      </c>
      <c r="C49" s="3"/>
      <c r="D49" s="28"/>
      <c r="E49" s="3"/>
      <c r="F49" s="28"/>
      <c r="G49" s="3">
        <f t="shared" si="1"/>
        <v>0</v>
      </c>
      <c r="H49" s="28">
        <f t="shared" si="2"/>
        <v>0</v>
      </c>
      <c r="I49" s="177">
        <f t="shared" si="3"/>
        <v>0</v>
      </c>
      <c r="J49" s="191" t="str">
        <f t="shared" si="4"/>
        <v>-</v>
      </c>
      <c r="K49" s="191" t="str">
        <f t="shared" si="0"/>
        <v>-</v>
      </c>
      <c r="L49" s="3"/>
      <c r="M49" s="3"/>
      <c r="N49" s="177" t="str">
        <f t="shared" si="5"/>
        <v>-</v>
      </c>
      <c r="O49" s="191" t="str">
        <f t="shared" ref="O49:O78" si="9">IFERROR(T49/S49/100000,"-")</f>
        <v>-</v>
      </c>
      <c r="P49" s="177">
        <f t="shared" si="7"/>
        <v>0</v>
      </c>
      <c r="Q49" s="3"/>
      <c r="R49" s="28"/>
      <c r="S49" s="3"/>
      <c r="T49" s="28"/>
    </row>
    <row r="50" spans="1:20" x14ac:dyDescent="0.2">
      <c r="A50" s="176"/>
      <c r="B50" s="3" t="s">
        <v>3091</v>
      </c>
      <c r="C50" s="3"/>
      <c r="D50" s="28"/>
      <c r="E50" s="3"/>
      <c r="F50" s="28"/>
      <c r="G50" s="3">
        <f t="shared" si="1"/>
        <v>0</v>
      </c>
      <c r="H50" s="28">
        <f t="shared" si="2"/>
        <v>0</v>
      </c>
      <c r="I50" s="177">
        <f t="shared" si="3"/>
        <v>0</v>
      </c>
      <c r="J50" s="191" t="str">
        <f t="shared" si="4"/>
        <v>-</v>
      </c>
      <c r="K50" s="191" t="str">
        <f t="shared" si="0"/>
        <v>-</v>
      </c>
      <c r="L50" s="3"/>
      <c r="M50" s="3"/>
      <c r="N50" s="177" t="str">
        <f t="shared" si="5"/>
        <v>-</v>
      </c>
      <c r="O50" s="191" t="str">
        <f t="shared" si="9"/>
        <v>-</v>
      </c>
      <c r="P50" s="177">
        <f t="shared" si="7"/>
        <v>0</v>
      </c>
      <c r="Q50" s="3"/>
      <c r="R50" s="28"/>
      <c r="S50" s="3"/>
      <c r="T50" s="28"/>
    </row>
    <row r="51" spans="1:20" x14ac:dyDescent="0.2">
      <c r="A51" s="176"/>
      <c r="B51" s="3" t="s">
        <v>3084</v>
      </c>
      <c r="C51" s="3"/>
      <c r="D51" s="28"/>
      <c r="E51" s="3"/>
      <c r="F51" s="28"/>
      <c r="G51" s="3">
        <f t="shared" si="1"/>
        <v>0</v>
      </c>
      <c r="H51" s="28">
        <f t="shared" si="2"/>
        <v>0</v>
      </c>
      <c r="I51" s="177">
        <f t="shared" si="3"/>
        <v>0</v>
      </c>
      <c r="J51" s="191" t="str">
        <f t="shared" si="4"/>
        <v>-</v>
      </c>
      <c r="K51" s="191" t="str">
        <f t="shared" si="0"/>
        <v>-</v>
      </c>
      <c r="L51" s="3"/>
      <c r="M51" s="3"/>
      <c r="N51" s="177" t="str">
        <f t="shared" si="5"/>
        <v>-</v>
      </c>
      <c r="O51" s="191" t="str">
        <f t="shared" si="9"/>
        <v>-</v>
      </c>
      <c r="P51" s="177">
        <f t="shared" si="7"/>
        <v>0</v>
      </c>
      <c r="Q51" s="3"/>
      <c r="R51" s="28"/>
      <c r="S51" s="3"/>
      <c r="T51" s="28"/>
    </row>
    <row r="52" spans="1:20" x14ac:dyDescent="0.2">
      <c r="A52" s="176"/>
      <c r="B52" s="3" t="s">
        <v>3091</v>
      </c>
      <c r="C52" s="3"/>
      <c r="D52" s="28"/>
      <c r="E52" s="3"/>
      <c r="F52" s="28"/>
      <c r="G52" s="3">
        <f t="shared" si="1"/>
        <v>0</v>
      </c>
      <c r="H52" s="28">
        <f t="shared" si="2"/>
        <v>0</v>
      </c>
      <c r="I52" s="177">
        <f t="shared" si="3"/>
        <v>0</v>
      </c>
      <c r="J52" s="191" t="str">
        <f t="shared" si="4"/>
        <v>-</v>
      </c>
      <c r="K52" s="191" t="str">
        <f t="shared" si="0"/>
        <v>-</v>
      </c>
      <c r="L52" s="3"/>
      <c r="M52" s="3"/>
      <c r="N52" s="177" t="str">
        <f t="shared" si="5"/>
        <v>-</v>
      </c>
      <c r="O52" s="191" t="str">
        <f t="shared" si="9"/>
        <v>-</v>
      </c>
      <c r="P52" s="177">
        <f t="shared" si="7"/>
        <v>0</v>
      </c>
      <c r="Q52" s="3"/>
      <c r="R52" s="28"/>
      <c r="S52" s="3"/>
      <c r="T52" s="28"/>
    </row>
    <row r="53" spans="1:20" x14ac:dyDescent="0.2">
      <c r="A53" s="176"/>
      <c r="B53" s="3" t="s">
        <v>3084</v>
      </c>
      <c r="C53" s="3"/>
      <c r="D53" s="28"/>
      <c r="E53" s="3"/>
      <c r="F53" s="28"/>
      <c r="G53" s="3">
        <f t="shared" si="1"/>
        <v>0</v>
      </c>
      <c r="H53" s="28">
        <f t="shared" si="2"/>
        <v>0</v>
      </c>
      <c r="I53" s="177">
        <f t="shared" si="3"/>
        <v>0</v>
      </c>
      <c r="J53" s="191" t="str">
        <f t="shared" si="4"/>
        <v>-</v>
      </c>
      <c r="K53" s="191" t="str">
        <f t="shared" si="0"/>
        <v>-</v>
      </c>
      <c r="L53" s="3"/>
      <c r="M53" s="3"/>
      <c r="N53" s="177" t="str">
        <f t="shared" si="5"/>
        <v>-</v>
      </c>
      <c r="O53" s="191" t="str">
        <f t="shared" si="9"/>
        <v>-</v>
      </c>
      <c r="P53" s="177">
        <f t="shared" si="7"/>
        <v>0</v>
      </c>
      <c r="Q53" s="3"/>
      <c r="R53" s="28"/>
      <c r="S53" s="3"/>
      <c r="T53" s="28"/>
    </row>
    <row r="54" spans="1:20" x14ac:dyDescent="0.2">
      <c r="A54" s="176"/>
      <c r="B54" s="3" t="s">
        <v>3091</v>
      </c>
      <c r="C54" s="3"/>
      <c r="D54" s="28"/>
      <c r="E54" s="3"/>
      <c r="F54" s="28"/>
      <c r="G54" s="3">
        <f t="shared" si="1"/>
        <v>0</v>
      </c>
      <c r="H54" s="28">
        <f t="shared" si="2"/>
        <v>0</v>
      </c>
      <c r="I54" s="177">
        <f t="shared" si="3"/>
        <v>0</v>
      </c>
      <c r="J54" s="191" t="str">
        <f t="shared" si="4"/>
        <v>-</v>
      </c>
      <c r="K54" s="191" t="str">
        <f t="shared" si="0"/>
        <v>-</v>
      </c>
      <c r="L54" s="3"/>
      <c r="M54" s="3"/>
      <c r="N54" s="177" t="str">
        <f t="shared" si="5"/>
        <v>-</v>
      </c>
      <c r="O54" s="191" t="str">
        <f t="shared" si="9"/>
        <v>-</v>
      </c>
      <c r="P54" s="177">
        <f t="shared" si="7"/>
        <v>0</v>
      </c>
      <c r="Q54" s="3"/>
      <c r="R54" s="28"/>
      <c r="S54" s="3"/>
      <c r="T54" s="28"/>
    </row>
    <row r="55" spans="1:20" x14ac:dyDescent="0.2">
      <c r="A55" s="176"/>
      <c r="B55" s="3" t="s">
        <v>3084</v>
      </c>
      <c r="C55" s="3"/>
      <c r="D55" s="28"/>
      <c r="E55" s="3"/>
      <c r="F55" s="28"/>
      <c r="G55" s="3">
        <f t="shared" si="1"/>
        <v>0</v>
      </c>
      <c r="H55" s="28">
        <f t="shared" si="2"/>
        <v>0</v>
      </c>
      <c r="I55" s="177">
        <f t="shared" si="3"/>
        <v>0</v>
      </c>
      <c r="J55" s="191" t="str">
        <f t="shared" si="4"/>
        <v>-</v>
      </c>
      <c r="K55" s="191" t="str">
        <f t="shared" si="0"/>
        <v>-</v>
      </c>
      <c r="L55" s="3"/>
      <c r="M55" s="3"/>
      <c r="N55" s="177" t="str">
        <f t="shared" si="5"/>
        <v>-</v>
      </c>
      <c r="O55" s="191" t="str">
        <f t="shared" si="9"/>
        <v>-</v>
      </c>
      <c r="P55" s="177">
        <f t="shared" si="7"/>
        <v>0</v>
      </c>
      <c r="Q55" s="3"/>
      <c r="R55" s="28"/>
      <c r="S55" s="3"/>
      <c r="T55" s="28"/>
    </row>
    <row r="56" spans="1:20" x14ac:dyDescent="0.2">
      <c r="A56" s="176"/>
      <c r="B56" s="3" t="s">
        <v>3091</v>
      </c>
      <c r="C56" s="3"/>
      <c r="D56" s="28"/>
      <c r="E56" s="3"/>
      <c r="F56" s="28"/>
      <c r="G56" s="3">
        <f t="shared" si="1"/>
        <v>0</v>
      </c>
      <c r="H56" s="28">
        <f t="shared" si="2"/>
        <v>0</v>
      </c>
      <c r="I56" s="177">
        <f t="shared" si="3"/>
        <v>0</v>
      </c>
      <c r="J56" s="191" t="str">
        <f t="shared" si="4"/>
        <v>-</v>
      </c>
      <c r="K56" s="191" t="str">
        <f t="shared" si="0"/>
        <v>-</v>
      </c>
      <c r="L56" s="3"/>
      <c r="M56" s="3"/>
      <c r="N56" s="177" t="str">
        <f t="shared" si="5"/>
        <v>-</v>
      </c>
      <c r="O56" s="191" t="str">
        <f t="shared" si="9"/>
        <v>-</v>
      </c>
      <c r="P56" s="177">
        <f t="shared" si="7"/>
        <v>0</v>
      </c>
      <c r="Q56" s="3"/>
      <c r="R56" s="28"/>
      <c r="S56" s="3"/>
      <c r="T56" s="28"/>
    </row>
    <row r="57" spans="1:20" x14ac:dyDescent="0.2">
      <c r="A57" s="176"/>
      <c r="B57" s="3" t="s">
        <v>3084</v>
      </c>
      <c r="C57" s="3"/>
      <c r="D57" s="28"/>
      <c r="E57" s="3"/>
      <c r="F57" s="28"/>
      <c r="G57" s="3">
        <f t="shared" si="1"/>
        <v>0</v>
      </c>
      <c r="H57" s="28">
        <f t="shared" si="2"/>
        <v>0</v>
      </c>
      <c r="I57" s="177">
        <f t="shared" si="3"/>
        <v>0</v>
      </c>
      <c r="J57" s="191" t="str">
        <f t="shared" si="4"/>
        <v>-</v>
      </c>
      <c r="K57" s="191" t="str">
        <f t="shared" si="0"/>
        <v>-</v>
      </c>
      <c r="L57" s="3"/>
      <c r="M57" s="3"/>
      <c r="N57" s="177" t="str">
        <f t="shared" si="5"/>
        <v>-</v>
      </c>
      <c r="O57" s="191" t="str">
        <f t="shared" si="9"/>
        <v>-</v>
      </c>
      <c r="P57" s="177">
        <f t="shared" si="7"/>
        <v>0</v>
      </c>
      <c r="Q57" s="3"/>
      <c r="R57" s="28"/>
      <c r="S57" s="3"/>
      <c r="T57" s="28"/>
    </row>
    <row r="58" spans="1:20" x14ac:dyDescent="0.2">
      <c r="A58" s="176"/>
      <c r="B58" s="3" t="s">
        <v>3091</v>
      </c>
      <c r="C58" s="3"/>
      <c r="D58" s="28"/>
      <c r="E58" s="3"/>
      <c r="F58" s="28"/>
      <c r="G58" s="3">
        <f t="shared" si="1"/>
        <v>0</v>
      </c>
      <c r="H58" s="28">
        <f t="shared" si="2"/>
        <v>0</v>
      </c>
      <c r="I58" s="177">
        <f t="shared" si="3"/>
        <v>0</v>
      </c>
      <c r="J58" s="191" t="str">
        <f t="shared" si="4"/>
        <v>-</v>
      </c>
      <c r="K58" s="191" t="str">
        <f t="shared" si="0"/>
        <v>-</v>
      </c>
      <c r="L58" s="3"/>
      <c r="M58" s="3"/>
      <c r="N58" s="177" t="str">
        <f t="shared" si="5"/>
        <v>-</v>
      </c>
      <c r="O58" s="191" t="str">
        <f t="shared" si="9"/>
        <v>-</v>
      </c>
      <c r="P58" s="177">
        <f t="shared" si="7"/>
        <v>0</v>
      </c>
      <c r="Q58" s="3"/>
      <c r="R58" s="28"/>
      <c r="S58" s="3"/>
      <c r="T58" s="28"/>
    </row>
    <row r="59" spans="1:20" x14ac:dyDescent="0.2">
      <c r="A59" s="176"/>
      <c r="B59" s="3" t="s">
        <v>3084</v>
      </c>
      <c r="C59" s="3"/>
      <c r="D59" s="28"/>
      <c r="E59" s="3"/>
      <c r="F59" s="28"/>
      <c r="G59" s="3">
        <f t="shared" si="1"/>
        <v>0</v>
      </c>
      <c r="H59" s="28">
        <f t="shared" si="2"/>
        <v>0</v>
      </c>
      <c r="I59" s="177">
        <f t="shared" si="3"/>
        <v>0</v>
      </c>
      <c r="J59" s="191" t="str">
        <f t="shared" si="4"/>
        <v>-</v>
      </c>
      <c r="K59" s="191" t="str">
        <f t="shared" si="0"/>
        <v>-</v>
      </c>
      <c r="L59" s="191"/>
      <c r="M59" s="191"/>
      <c r="N59" s="177" t="str">
        <f t="shared" si="5"/>
        <v>-</v>
      </c>
      <c r="O59" s="191" t="str">
        <f t="shared" si="9"/>
        <v>-</v>
      </c>
      <c r="P59" s="177">
        <f t="shared" si="7"/>
        <v>0</v>
      </c>
      <c r="Q59" s="3"/>
      <c r="R59" s="28"/>
      <c r="S59" s="3"/>
      <c r="T59" s="28"/>
    </row>
    <row r="60" spans="1:20" x14ac:dyDescent="0.2">
      <c r="A60" s="176"/>
      <c r="B60" s="3" t="s">
        <v>3091</v>
      </c>
      <c r="C60" s="3"/>
      <c r="D60" s="28"/>
      <c r="E60" s="3"/>
      <c r="F60" s="28"/>
      <c r="G60" s="3">
        <f t="shared" si="1"/>
        <v>0</v>
      </c>
      <c r="H60" s="28">
        <f t="shared" si="2"/>
        <v>0</v>
      </c>
      <c r="I60" s="177">
        <f t="shared" si="3"/>
        <v>0</v>
      </c>
      <c r="J60" s="191" t="str">
        <f t="shared" si="4"/>
        <v>-</v>
      </c>
      <c r="K60" s="191" t="str">
        <f t="shared" si="0"/>
        <v>-</v>
      </c>
      <c r="L60" s="191"/>
      <c r="M60" s="191"/>
      <c r="N60" s="177" t="str">
        <f t="shared" si="5"/>
        <v>-</v>
      </c>
      <c r="O60" s="191" t="str">
        <f t="shared" si="9"/>
        <v>-</v>
      </c>
      <c r="P60" s="177">
        <f t="shared" si="7"/>
        <v>0</v>
      </c>
      <c r="Q60" s="3"/>
      <c r="R60" s="28"/>
      <c r="S60" s="3"/>
      <c r="T60" s="28"/>
    </row>
    <row r="61" spans="1:20" x14ac:dyDescent="0.2">
      <c r="A61" s="176"/>
      <c r="B61" s="3" t="s">
        <v>3084</v>
      </c>
      <c r="C61" s="3"/>
      <c r="D61" s="28"/>
      <c r="E61" s="3"/>
      <c r="F61" s="28"/>
      <c r="G61" s="3">
        <f t="shared" si="1"/>
        <v>0</v>
      </c>
      <c r="H61" s="28">
        <f t="shared" si="2"/>
        <v>0</v>
      </c>
      <c r="I61" s="177">
        <f t="shared" si="3"/>
        <v>0</v>
      </c>
      <c r="J61" s="191" t="str">
        <f t="shared" si="4"/>
        <v>-</v>
      </c>
      <c r="K61" s="191" t="str">
        <f t="shared" si="0"/>
        <v>-</v>
      </c>
      <c r="L61" s="191"/>
      <c r="M61" s="191"/>
      <c r="N61" s="177" t="str">
        <f t="shared" si="5"/>
        <v>-</v>
      </c>
      <c r="O61" s="191" t="str">
        <f t="shared" si="9"/>
        <v>-</v>
      </c>
      <c r="P61" s="177">
        <f t="shared" si="7"/>
        <v>0</v>
      </c>
      <c r="Q61" s="3"/>
      <c r="R61" s="28"/>
      <c r="S61" s="3"/>
      <c r="T61" s="28"/>
    </row>
    <row r="62" spans="1:20" x14ac:dyDescent="0.2">
      <c r="A62" s="176"/>
      <c r="B62" s="3" t="s">
        <v>3091</v>
      </c>
      <c r="C62" s="3"/>
      <c r="D62" s="28"/>
      <c r="E62" s="3"/>
      <c r="F62" s="28"/>
      <c r="G62" s="3">
        <f t="shared" si="1"/>
        <v>0</v>
      </c>
      <c r="H62" s="28">
        <f t="shared" si="2"/>
        <v>0</v>
      </c>
      <c r="I62" s="177">
        <f t="shared" si="3"/>
        <v>0</v>
      </c>
      <c r="J62" s="191" t="str">
        <f t="shared" si="4"/>
        <v>-</v>
      </c>
      <c r="K62" s="191" t="str">
        <f t="shared" si="0"/>
        <v>-</v>
      </c>
      <c r="L62" s="191"/>
      <c r="M62" s="191"/>
      <c r="N62" s="177" t="str">
        <f t="shared" si="5"/>
        <v>-</v>
      </c>
      <c r="O62" s="191" t="str">
        <f t="shared" si="9"/>
        <v>-</v>
      </c>
      <c r="P62" s="177">
        <f t="shared" si="7"/>
        <v>0</v>
      </c>
      <c r="Q62" s="3"/>
      <c r="R62" s="28"/>
      <c r="S62" s="3"/>
      <c r="T62" s="28"/>
    </row>
    <row r="63" spans="1:20" x14ac:dyDescent="0.2">
      <c r="A63" s="176"/>
      <c r="B63" s="3" t="s">
        <v>3084</v>
      </c>
      <c r="C63" s="3"/>
      <c r="D63" s="28"/>
      <c r="E63" s="3"/>
      <c r="F63" s="28"/>
      <c r="G63" s="3">
        <f t="shared" si="1"/>
        <v>0</v>
      </c>
      <c r="H63" s="28">
        <f t="shared" si="2"/>
        <v>0</v>
      </c>
      <c r="I63" s="177">
        <f t="shared" si="3"/>
        <v>0</v>
      </c>
      <c r="J63" s="191" t="str">
        <f t="shared" si="4"/>
        <v>-</v>
      </c>
      <c r="K63" s="191" t="str">
        <f t="shared" si="0"/>
        <v>-</v>
      </c>
      <c r="L63" s="191"/>
      <c r="M63" s="191"/>
      <c r="N63" s="177" t="str">
        <f t="shared" si="5"/>
        <v>-</v>
      </c>
      <c r="O63" s="191" t="str">
        <f t="shared" si="9"/>
        <v>-</v>
      </c>
      <c r="P63" s="177">
        <f t="shared" si="7"/>
        <v>0</v>
      </c>
      <c r="Q63" s="3"/>
      <c r="R63" s="28"/>
      <c r="S63" s="3"/>
      <c r="T63" s="28"/>
    </row>
    <row r="64" spans="1:20" x14ac:dyDescent="0.2">
      <c r="A64" s="176"/>
      <c r="B64" s="3" t="s">
        <v>3091</v>
      </c>
      <c r="C64" s="3"/>
      <c r="D64" s="28"/>
      <c r="E64" s="3"/>
      <c r="F64" s="28"/>
      <c r="G64" s="3">
        <f t="shared" si="1"/>
        <v>0</v>
      </c>
      <c r="H64" s="28">
        <f t="shared" si="2"/>
        <v>0</v>
      </c>
      <c r="I64" s="177">
        <f t="shared" si="3"/>
        <v>0</v>
      </c>
      <c r="J64" s="191" t="str">
        <f t="shared" si="4"/>
        <v>-</v>
      </c>
      <c r="K64" s="191" t="str">
        <f t="shared" si="0"/>
        <v>-</v>
      </c>
      <c r="L64" s="191"/>
      <c r="M64" s="191"/>
      <c r="N64" s="177" t="str">
        <f t="shared" si="5"/>
        <v>-</v>
      </c>
      <c r="O64" s="191" t="str">
        <f t="shared" si="9"/>
        <v>-</v>
      </c>
      <c r="P64" s="177">
        <f t="shared" si="7"/>
        <v>0</v>
      </c>
      <c r="Q64" s="3"/>
      <c r="R64" s="28"/>
      <c r="S64" s="3"/>
      <c r="T64" s="28"/>
    </row>
    <row r="65" spans="1:20" x14ac:dyDescent="0.2">
      <c r="A65" s="176"/>
      <c r="B65" s="3" t="s">
        <v>3113</v>
      </c>
      <c r="C65" s="3"/>
      <c r="D65" s="28"/>
      <c r="E65" s="3"/>
      <c r="F65" s="28"/>
      <c r="G65" s="3">
        <f t="shared" si="1"/>
        <v>0</v>
      </c>
      <c r="H65" s="28">
        <f t="shared" si="2"/>
        <v>0</v>
      </c>
      <c r="I65" s="177">
        <f t="shared" si="3"/>
        <v>0</v>
      </c>
      <c r="J65" s="191"/>
      <c r="K65" s="191" t="str">
        <f t="shared" si="0"/>
        <v>-</v>
      </c>
      <c r="L65" s="191"/>
      <c r="M65" s="191"/>
      <c r="N65" s="177" t="str">
        <f>IFERROR(R65/Q65/100000,"-")</f>
        <v>-</v>
      </c>
      <c r="O65" s="191" t="str">
        <f t="shared" si="9"/>
        <v>-</v>
      </c>
      <c r="P65" s="177">
        <f t="shared" si="7"/>
        <v>0</v>
      </c>
      <c r="Q65" s="3"/>
      <c r="R65" s="28"/>
      <c r="S65" s="3"/>
      <c r="T65" s="28"/>
    </row>
    <row r="66" spans="1:20" x14ac:dyDescent="0.2">
      <c r="A66" s="176"/>
      <c r="B66" s="3" t="s">
        <v>3084</v>
      </c>
      <c r="C66" s="3"/>
      <c r="D66" s="28"/>
      <c r="E66" s="3"/>
      <c r="F66" s="28"/>
      <c r="G66" s="3">
        <f t="shared" si="1"/>
        <v>0</v>
      </c>
      <c r="H66" s="28">
        <f t="shared" si="2"/>
        <v>0</v>
      </c>
      <c r="I66" s="177">
        <f t="shared" si="3"/>
        <v>0</v>
      </c>
      <c r="J66" s="191" t="str">
        <f t="shared" si="4"/>
        <v>-</v>
      </c>
      <c r="K66" s="191" t="str">
        <f t="shared" si="0"/>
        <v>-</v>
      </c>
      <c r="L66" s="191"/>
      <c r="M66" s="191"/>
      <c r="N66" s="177" t="str">
        <f t="shared" si="5"/>
        <v>-</v>
      </c>
      <c r="O66" s="191" t="str">
        <f t="shared" si="9"/>
        <v>-</v>
      </c>
      <c r="P66" s="177">
        <f t="shared" si="7"/>
        <v>0</v>
      </c>
      <c r="Q66" s="3"/>
      <c r="R66" s="28"/>
      <c r="S66" s="3"/>
      <c r="T66" s="28"/>
    </row>
    <row r="67" spans="1:20" x14ac:dyDescent="0.2">
      <c r="A67" s="176"/>
      <c r="B67" s="3" t="s">
        <v>3091</v>
      </c>
      <c r="C67" s="3"/>
      <c r="D67" s="28"/>
      <c r="E67" s="3"/>
      <c r="F67" s="28"/>
      <c r="G67" s="3">
        <f t="shared" si="1"/>
        <v>0</v>
      </c>
      <c r="H67" s="28">
        <f t="shared" si="2"/>
        <v>0</v>
      </c>
      <c r="I67" s="177">
        <f t="shared" si="3"/>
        <v>0</v>
      </c>
      <c r="J67" s="191" t="str">
        <f t="shared" si="4"/>
        <v>-</v>
      </c>
      <c r="K67" s="191" t="str">
        <f t="shared" si="0"/>
        <v>-</v>
      </c>
      <c r="L67" s="191"/>
      <c r="M67" s="191"/>
      <c r="N67" s="177" t="str">
        <f t="shared" si="5"/>
        <v>-</v>
      </c>
      <c r="O67" s="191" t="str">
        <f t="shared" si="9"/>
        <v>-</v>
      </c>
      <c r="P67" s="177">
        <f t="shared" si="7"/>
        <v>0</v>
      </c>
      <c r="Q67" s="3"/>
      <c r="R67" s="28"/>
      <c r="S67" s="3"/>
      <c r="T67" s="28"/>
    </row>
    <row r="68" spans="1:20" x14ac:dyDescent="0.2">
      <c r="A68" s="176"/>
      <c r="B68" s="3" t="s">
        <v>3084</v>
      </c>
      <c r="C68" s="3"/>
      <c r="D68" s="28"/>
      <c r="E68" s="3"/>
      <c r="F68" s="28"/>
      <c r="G68" s="3">
        <f t="shared" si="1"/>
        <v>0</v>
      </c>
      <c r="H68" s="28">
        <f t="shared" si="2"/>
        <v>0</v>
      </c>
      <c r="I68" s="177">
        <f t="shared" si="3"/>
        <v>0</v>
      </c>
      <c r="J68" s="191" t="str">
        <f t="shared" si="4"/>
        <v>-</v>
      </c>
      <c r="K68" s="191" t="str">
        <f t="shared" si="0"/>
        <v>-</v>
      </c>
      <c r="L68" s="191"/>
      <c r="M68" s="191"/>
      <c r="N68" s="177" t="str">
        <f t="shared" si="5"/>
        <v>-</v>
      </c>
      <c r="O68" s="191" t="str">
        <f t="shared" si="9"/>
        <v>-</v>
      </c>
      <c r="P68" s="177">
        <f t="shared" si="7"/>
        <v>0</v>
      </c>
      <c r="Q68" s="3"/>
      <c r="R68" s="28"/>
      <c r="S68" s="3"/>
      <c r="T68" s="28"/>
    </row>
    <row r="69" spans="1:20" x14ac:dyDescent="0.2">
      <c r="A69" s="176"/>
      <c r="B69" s="3" t="s">
        <v>3091</v>
      </c>
      <c r="C69" s="3"/>
      <c r="D69" s="28"/>
      <c r="E69" s="3"/>
      <c r="F69" s="28"/>
      <c r="G69" s="3">
        <f t="shared" si="1"/>
        <v>0</v>
      </c>
      <c r="H69" s="28">
        <f t="shared" si="2"/>
        <v>0</v>
      </c>
      <c r="I69" s="177">
        <f t="shared" si="3"/>
        <v>0</v>
      </c>
      <c r="J69" s="191" t="str">
        <f t="shared" si="4"/>
        <v>-</v>
      </c>
      <c r="K69" s="191" t="str">
        <f t="shared" si="0"/>
        <v>-</v>
      </c>
      <c r="L69" s="191"/>
      <c r="M69" s="191"/>
      <c r="N69" s="177" t="str">
        <f t="shared" si="5"/>
        <v>-</v>
      </c>
      <c r="O69" s="191" t="str">
        <f t="shared" si="9"/>
        <v>-</v>
      </c>
      <c r="P69" s="177">
        <f t="shared" si="7"/>
        <v>0</v>
      </c>
      <c r="Q69" s="3"/>
      <c r="R69" s="28"/>
      <c r="S69" s="3"/>
      <c r="T69" s="28"/>
    </row>
    <row r="70" spans="1:20" x14ac:dyDescent="0.2">
      <c r="A70" s="176"/>
      <c r="B70" s="3" t="s">
        <v>3113</v>
      </c>
      <c r="C70" s="3"/>
      <c r="D70" s="28"/>
      <c r="E70" s="3"/>
      <c r="F70" s="28"/>
      <c r="G70" s="3">
        <f t="shared" si="1"/>
        <v>0</v>
      </c>
      <c r="H70" s="28">
        <f t="shared" si="2"/>
        <v>0</v>
      </c>
      <c r="I70" s="177">
        <f t="shared" si="3"/>
        <v>0</v>
      </c>
      <c r="J70" s="191" t="str">
        <f t="shared" si="4"/>
        <v>-</v>
      </c>
      <c r="K70" s="191" t="str">
        <f t="shared" si="0"/>
        <v>-</v>
      </c>
      <c r="L70" s="191"/>
      <c r="M70" s="191"/>
      <c r="N70" s="177" t="str">
        <f t="shared" si="5"/>
        <v>-</v>
      </c>
      <c r="O70" s="191" t="str">
        <f t="shared" si="9"/>
        <v>-</v>
      </c>
      <c r="P70" s="177">
        <f t="shared" si="7"/>
        <v>0</v>
      </c>
      <c r="Q70" s="3"/>
      <c r="R70" s="28"/>
      <c r="S70" s="3"/>
      <c r="T70" s="28"/>
    </row>
    <row r="71" spans="1:20" x14ac:dyDescent="0.2">
      <c r="A71" s="176"/>
      <c r="B71" s="3" t="s">
        <v>3084</v>
      </c>
      <c r="C71" s="3"/>
      <c r="D71" s="28"/>
      <c r="E71" s="3"/>
      <c r="F71" s="28"/>
      <c r="G71" s="3">
        <f t="shared" si="1"/>
        <v>0</v>
      </c>
      <c r="H71" s="28">
        <f t="shared" si="2"/>
        <v>0</v>
      </c>
      <c r="I71" s="177">
        <f t="shared" si="3"/>
        <v>0</v>
      </c>
      <c r="J71" s="191" t="str">
        <f t="shared" si="4"/>
        <v>-</v>
      </c>
      <c r="K71" s="191" t="str">
        <f t="shared" si="0"/>
        <v>-</v>
      </c>
      <c r="L71" s="191"/>
      <c r="M71" s="191"/>
      <c r="N71" s="177" t="str">
        <f t="shared" si="5"/>
        <v>-</v>
      </c>
      <c r="O71" s="191" t="str">
        <f t="shared" si="9"/>
        <v>-</v>
      </c>
      <c r="P71" s="177">
        <f t="shared" si="7"/>
        <v>0</v>
      </c>
      <c r="Q71" s="3"/>
      <c r="R71" s="28"/>
      <c r="S71" s="3"/>
      <c r="T71" s="28"/>
    </row>
    <row r="72" spans="1:20" x14ac:dyDescent="0.2">
      <c r="A72" s="176"/>
      <c r="B72" s="3" t="s">
        <v>3091</v>
      </c>
      <c r="C72" s="3"/>
      <c r="D72" s="28"/>
      <c r="E72" s="3"/>
      <c r="F72" s="28"/>
      <c r="G72" s="3">
        <f t="shared" si="1"/>
        <v>0</v>
      </c>
      <c r="H72" s="28">
        <f t="shared" si="2"/>
        <v>0</v>
      </c>
      <c r="I72" s="177">
        <f t="shared" si="3"/>
        <v>0</v>
      </c>
      <c r="J72" s="191" t="str">
        <f t="shared" si="4"/>
        <v>-</v>
      </c>
      <c r="K72" s="191" t="str">
        <f t="shared" si="0"/>
        <v>-</v>
      </c>
      <c r="L72" s="191"/>
      <c r="M72" s="191"/>
      <c r="N72" s="177" t="str">
        <f t="shared" si="5"/>
        <v>-</v>
      </c>
      <c r="O72" s="191" t="str">
        <f t="shared" si="9"/>
        <v>-</v>
      </c>
      <c r="P72" s="177">
        <f t="shared" si="7"/>
        <v>0</v>
      </c>
      <c r="Q72" s="3"/>
      <c r="R72" s="28"/>
      <c r="S72" s="3"/>
      <c r="T72" s="28"/>
    </row>
    <row r="73" spans="1:20" x14ac:dyDescent="0.2">
      <c r="A73" s="176"/>
      <c r="B73" s="3" t="s">
        <v>3084</v>
      </c>
      <c r="C73" s="3"/>
      <c r="D73" s="28"/>
      <c r="E73" s="3"/>
      <c r="F73" s="28"/>
      <c r="G73" s="3">
        <f t="shared" si="1"/>
        <v>0</v>
      </c>
      <c r="H73" s="28">
        <f t="shared" si="2"/>
        <v>0</v>
      </c>
      <c r="I73" s="177">
        <f t="shared" si="3"/>
        <v>0</v>
      </c>
      <c r="J73" s="191" t="str">
        <f t="shared" si="4"/>
        <v>-</v>
      </c>
      <c r="K73" s="191" t="str">
        <f t="shared" si="0"/>
        <v>-</v>
      </c>
      <c r="L73" s="191"/>
      <c r="M73" s="191"/>
      <c r="N73" s="177" t="str">
        <f t="shared" si="5"/>
        <v>-</v>
      </c>
      <c r="O73" s="191" t="str">
        <f t="shared" si="9"/>
        <v>-</v>
      </c>
      <c r="P73" s="177">
        <f t="shared" si="7"/>
        <v>0</v>
      </c>
      <c r="Q73" s="3"/>
      <c r="R73" s="28"/>
      <c r="S73" s="3"/>
      <c r="T73" s="28"/>
    </row>
    <row r="74" spans="1:20" x14ac:dyDescent="0.2">
      <c r="A74" s="176"/>
      <c r="B74" s="3" t="s">
        <v>3091</v>
      </c>
      <c r="C74" s="3"/>
      <c r="D74" s="28"/>
      <c r="E74" s="3"/>
      <c r="F74" s="28"/>
      <c r="G74" s="3">
        <f t="shared" si="1"/>
        <v>0</v>
      </c>
      <c r="H74" s="28">
        <f t="shared" si="2"/>
        <v>0</v>
      </c>
      <c r="I74" s="177">
        <f t="shared" si="3"/>
        <v>0</v>
      </c>
      <c r="J74" s="191" t="str">
        <f t="shared" si="4"/>
        <v>-</v>
      </c>
      <c r="K74" s="191" t="str">
        <f t="shared" si="0"/>
        <v>-</v>
      </c>
      <c r="L74" s="191"/>
      <c r="M74" s="191"/>
      <c r="N74" s="177" t="str">
        <f t="shared" si="5"/>
        <v>-</v>
      </c>
      <c r="O74" s="191" t="str">
        <f t="shared" si="9"/>
        <v>-</v>
      </c>
      <c r="P74" s="177">
        <f t="shared" si="7"/>
        <v>0</v>
      </c>
      <c r="Q74" s="3"/>
      <c r="R74" s="28"/>
      <c r="S74" s="3"/>
      <c r="T74" s="28"/>
    </row>
    <row r="75" spans="1:20" x14ac:dyDescent="0.2">
      <c r="A75" s="176"/>
      <c r="B75" s="3" t="s">
        <v>3084</v>
      </c>
      <c r="C75" s="3"/>
      <c r="D75" s="28"/>
      <c r="E75" s="3"/>
      <c r="F75" s="28"/>
      <c r="G75" s="3">
        <f t="shared" si="1"/>
        <v>0</v>
      </c>
      <c r="H75" s="28">
        <f t="shared" si="2"/>
        <v>0</v>
      </c>
      <c r="I75" s="177">
        <f t="shared" si="3"/>
        <v>0</v>
      </c>
      <c r="J75" s="191" t="str">
        <f t="shared" si="4"/>
        <v>-</v>
      </c>
      <c r="K75" s="191" t="str">
        <f t="shared" si="0"/>
        <v>-</v>
      </c>
      <c r="L75" s="191"/>
      <c r="M75" s="191"/>
      <c r="N75" s="177" t="str">
        <f t="shared" si="5"/>
        <v>-</v>
      </c>
      <c r="O75" s="191" t="str">
        <f t="shared" si="9"/>
        <v>-</v>
      </c>
      <c r="P75" s="177">
        <f t="shared" si="7"/>
        <v>0</v>
      </c>
      <c r="Q75" s="3"/>
      <c r="R75" s="28"/>
      <c r="S75" s="3"/>
      <c r="T75" s="28"/>
    </row>
    <row r="76" spans="1:20" x14ac:dyDescent="0.2">
      <c r="A76" s="176"/>
      <c r="B76" s="3" t="s">
        <v>3091</v>
      </c>
      <c r="C76" s="3"/>
      <c r="D76" s="28"/>
      <c r="E76" s="3"/>
      <c r="F76" s="28"/>
      <c r="G76" s="3">
        <f t="shared" si="1"/>
        <v>0</v>
      </c>
      <c r="H76" s="28">
        <f t="shared" si="2"/>
        <v>0</v>
      </c>
      <c r="I76" s="177">
        <f t="shared" si="3"/>
        <v>0</v>
      </c>
      <c r="J76" s="191" t="str">
        <f t="shared" si="4"/>
        <v>-</v>
      </c>
      <c r="K76" s="191" t="str">
        <f t="shared" si="0"/>
        <v>-</v>
      </c>
      <c r="L76" s="191"/>
      <c r="M76" s="191"/>
      <c r="N76" s="177" t="str">
        <f t="shared" si="5"/>
        <v>-</v>
      </c>
      <c r="O76" s="191" t="str">
        <f t="shared" si="9"/>
        <v>-</v>
      </c>
      <c r="P76" s="177">
        <f t="shared" si="7"/>
        <v>0</v>
      </c>
      <c r="Q76" s="3"/>
      <c r="R76" s="28"/>
      <c r="S76" s="3"/>
      <c r="T76" s="28"/>
    </row>
    <row r="77" spans="1:20" x14ac:dyDescent="0.2">
      <c r="A77" s="176"/>
      <c r="B77" s="3" t="s">
        <v>3084</v>
      </c>
      <c r="C77" s="3"/>
      <c r="D77" s="28"/>
      <c r="E77" s="3"/>
      <c r="F77" s="28"/>
      <c r="G77" s="3">
        <f t="shared" si="1"/>
        <v>0</v>
      </c>
      <c r="H77" s="28">
        <f t="shared" si="2"/>
        <v>0</v>
      </c>
      <c r="I77" s="177">
        <f t="shared" si="3"/>
        <v>0</v>
      </c>
      <c r="J77" s="191" t="str">
        <f t="shared" si="4"/>
        <v>-</v>
      </c>
      <c r="K77" s="191" t="str">
        <f t="shared" si="0"/>
        <v>-</v>
      </c>
      <c r="L77" s="191"/>
      <c r="M77" s="191"/>
      <c r="N77" s="177" t="str">
        <f t="shared" si="5"/>
        <v>-</v>
      </c>
      <c r="O77" s="191" t="str">
        <f t="shared" si="9"/>
        <v>-</v>
      </c>
      <c r="P77" s="177">
        <f t="shared" si="7"/>
        <v>0</v>
      </c>
      <c r="Q77" s="3"/>
      <c r="R77" s="28"/>
      <c r="S77" s="3"/>
      <c r="T77" s="28"/>
    </row>
    <row r="78" spans="1:20" x14ac:dyDescent="0.2">
      <c r="A78" s="176"/>
      <c r="B78" s="3" t="s">
        <v>3091</v>
      </c>
      <c r="C78" s="3"/>
      <c r="D78" s="28"/>
      <c r="E78" s="3"/>
      <c r="F78" s="28"/>
      <c r="G78" s="3">
        <f t="shared" si="1"/>
        <v>0</v>
      </c>
      <c r="H78" s="28">
        <f t="shared" si="2"/>
        <v>0</v>
      </c>
      <c r="I78" s="177">
        <f t="shared" si="3"/>
        <v>0</v>
      </c>
      <c r="J78" s="191" t="str">
        <f>IFERROR(D78/C78/100000,"-")</f>
        <v>-</v>
      </c>
      <c r="K78" s="191" t="str">
        <f>IFERROR(F78/E78/100000,"-")</f>
        <v>-</v>
      </c>
      <c r="L78" s="191"/>
      <c r="M78" s="191"/>
      <c r="N78" s="177" t="str">
        <f>IFERROR(R78/Q78/100000,"-")</f>
        <v>-</v>
      </c>
      <c r="O78" s="191" t="str">
        <f t="shared" si="9"/>
        <v>-</v>
      </c>
      <c r="P78" s="177">
        <f t="shared" si="7"/>
        <v>0</v>
      </c>
      <c r="Q78" s="3"/>
      <c r="R78" s="28"/>
      <c r="S78" s="3"/>
      <c r="T78" s="28"/>
    </row>
  </sheetData>
  <mergeCells count="20">
    <mergeCell ref="P17:T17"/>
    <mergeCell ref="A11:D11"/>
    <mergeCell ref="H11:J11"/>
    <mergeCell ref="K14:M14"/>
    <mergeCell ref="C15:D15"/>
    <mergeCell ref="I15:J15"/>
    <mergeCell ref="B12:B13"/>
    <mergeCell ref="C12:D12"/>
    <mergeCell ref="E12:G12"/>
    <mergeCell ref="H12:H13"/>
    <mergeCell ref="I12:J12"/>
    <mergeCell ref="B14:B15"/>
    <mergeCell ref="C14:D14"/>
    <mergeCell ref="E14:G14"/>
    <mergeCell ref="H14:H15"/>
    <mergeCell ref="I14:J14"/>
    <mergeCell ref="K12:M12"/>
    <mergeCell ref="C13:D13"/>
    <mergeCell ref="I13:J13"/>
    <mergeCell ref="A17:I17"/>
  </mergeCells>
  <conditionalFormatting sqref="E13 E15">
    <cfRule type="expression" dxfId="404" priority="7" stopIfTrue="1">
      <formula>$E13&gt;=0</formula>
    </cfRule>
    <cfRule type="expression" dxfId="403" priority="9" stopIfTrue="1">
      <formula>$E13&lt;0</formula>
    </cfRule>
  </conditionalFormatting>
  <conditionalFormatting sqref="K13 K15">
    <cfRule type="expression" dxfId="402" priority="6" stopIfTrue="1">
      <formula>$K13&gt;0</formula>
    </cfRule>
    <cfRule type="expression" dxfId="401" priority="8" stopIfTrue="1">
      <formula>$K13&lt;0</formula>
    </cfRule>
  </conditionalFormatting>
  <conditionalFormatting sqref="I19:I78">
    <cfRule type="cellIs" dxfId="400" priority="3" stopIfTrue="1" operator="greaterThan">
      <formula>0</formula>
    </cfRule>
    <cfRule type="cellIs" dxfId="399" priority="4" stopIfTrue="1" operator="lessThan">
      <formula>0</formula>
    </cfRule>
  </conditionalFormatting>
  <conditionalFormatting sqref="P19:P78">
    <cfRule type="cellIs" dxfId="398" priority="1" stopIfTrue="1" operator="greaterThan">
      <formula>0</formula>
    </cfRule>
    <cfRule type="cellIs" dxfId="397" priority="2" stopIfTrue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D0ADE-C853-4670-B388-E66E22C5494D}">
  <sheetPr codeName="Sheet1">
    <tabColor theme="9"/>
  </sheetPr>
  <dimension ref="A1:U45"/>
  <sheetViews>
    <sheetView zoomScaleNormal="100" zoomScaleSheetLayoutView="100" workbookViewId="0">
      <selection activeCell="E3" sqref="E3"/>
    </sheetView>
  </sheetViews>
  <sheetFormatPr defaultColWidth="9" defaultRowHeight="15" x14ac:dyDescent="0.25"/>
  <cols>
    <col min="1" max="1" width="44.6640625" style="29" customWidth="1"/>
    <col min="2" max="2" width="16.88671875" style="26" bestFit="1" customWidth="1"/>
    <col min="3" max="3" width="16.88671875" style="26" customWidth="1"/>
    <col min="4" max="8" width="16.88671875" style="26" bestFit="1" customWidth="1"/>
    <col min="9" max="9" width="16.88671875" style="26" customWidth="1"/>
    <col min="10" max="15" width="8.88671875" style="46" customWidth="1"/>
    <col min="16" max="17" width="9" style="46"/>
    <col min="18" max="18" width="14.88671875" style="46" bestFit="1" customWidth="1"/>
    <col min="19" max="19" width="16" style="46" bestFit="1" customWidth="1"/>
    <col min="20" max="20" width="15" style="46" bestFit="1" customWidth="1"/>
    <col min="21" max="21" width="15.33203125" style="46" bestFit="1" customWidth="1"/>
    <col min="22" max="16384" width="9" style="25"/>
  </cols>
  <sheetData>
    <row r="1" spans="1:21" ht="15.75" x14ac:dyDescent="0.25">
      <c r="A1" s="310" t="str">
        <f>VLOOKUP(E1,LIST_COMPANY!B2:D1756,2,FALSE)</f>
        <v>CÔNG TY CỔ PHẦN CHỨNG KHOÁN VPS</v>
      </c>
      <c r="B1" s="309"/>
      <c r="C1" s="309"/>
      <c r="D1" s="131" t="s">
        <v>2934</v>
      </c>
      <c r="E1" s="56" t="s">
        <v>3686</v>
      </c>
      <c r="F1" s="53"/>
      <c r="G1" s="54"/>
      <c r="H1" s="141">
        <f ca="1">I1-9</f>
        <v>46208</v>
      </c>
      <c r="I1" s="57">
        <f ca="1">TODAY()</f>
        <v>46217</v>
      </c>
      <c r="K1" t="s">
        <v>3114</v>
      </c>
      <c r="L1" t="s">
        <v>3115</v>
      </c>
      <c r="M1" s="46" t="s">
        <v>3116</v>
      </c>
      <c r="N1" t="s">
        <v>3117</v>
      </c>
      <c r="O1"/>
      <c r="P1"/>
      <c r="Q1"/>
      <c r="R1"/>
      <c r="S1"/>
      <c r="T1"/>
      <c r="U1"/>
    </row>
    <row r="2" spans="1:21" ht="15.75" x14ac:dyDescent="0.25">
      <c r="A2" s="49" t="s">
        <v>2930</v>
      </c>
      <c r="B2" s="309" t="str">
        <f>VLOOKUP(E1,LIST_COMPANY!B:D,3,FALSE)</f>
        <v>MÔI GIỚI CHỨNG KHOÁN</v>
      </c>
      <c r="C2" s="309"/>
      <c r="D2" s="59" t="s">
        <v>3688</v>
      </c>
      <c r="E2" s="52">
        <v>2025</v>
      </c>
      <c r="F2" s="55"/>
      <c r="G2" s="55"/>
      <c r="H2" s="51"/>
      <c r="I2" s="58"/>
      <c r="K2"/>
      <c r="L2"/>
      <c r="M2" s="46">
        <v>16</v>
      </c>
      <c r="N2"/>
      <c r="O2"/>
      <c r="P2"/>
      <c r="Q2"/>
      <c r="R2"/>
      <c r="S2"/>
      <c r="T2"/>
      <c r="U2"/>
    </row>
    <row r="3" spans="1:21" s="46" customFormat="1" ht="15.75" x14ac:dyDescent="0.25">
      <c r="A3" s="71" t="s">
        <v>2931</v>
      </c>
      <c r="B3" s="94">
        <f>AVERAGE(B11:I11)</f>
        <v>0.27000417386146186</v>
      </c>
      <c r="C3" s="119"/>
      <c r="D3" s="67" t="s">
        <v>2940</v>
      </c>
      <c r="E3" s="68"/>
      <c r="F3" s="66">
        <f>VLOOKUP(D3,INFO!$P:$Q,2,FALSE)</f>
        <v>37900</v>
      </c>
      <c r="G3" s="77" t="s">
        <v>2947</v>
      </c>
      <c r="H3" s="79" t="s">
        <v>2942</v>
      </c>
      <c r="I3" s="80" t="s">
        <v>2944</v>
      </c>
      <c r="K3"/>
      <c r="L3"/>
      <c r="M3" s="46">
        <v>44</v>
      </c>
      <c r="N3"/>
      <c r="O3"/>
      <c r="P3"/>
      <c r="Q3"/>
      <c r="R3"/>
      <c r="S3"/>
      <c r="T3"/>
      <c r="U3"/>
    </row>
    <row r="4" spans="1:21" s="46" customFormat="1" ht="15.75" x14ac:dyDescent="0.25">
      <c r="A4" s="72" t="s">
        <v>2932</v>
      </c>
      <c r="B4" s="94">
        <f>AVERAGE(B12:I12)</f>
        <v>0.10286413922144914</v>
      </c>
      <c r="C4" s="118">
        <f ca="1">'Tổng Quan'!AC7+0.31</f>
        <v>0.38200000000000001</v>
      </c>
      <c r="D4" s="67" t="s">
        <v>2941</v>
      </c>
      <c r="E4" s="68"/>
      <c r="F4" s="66">
        <f>VLOOKUP(D4,INFO!$P:$Q,2,FALSE)</f>
        <v>26688</v>
      </c>
      <c r="G4" s="78">
        <f ca="1">F5</f>
        <v>32100</v>
      </c>
      <c r="H4" s="74">
        <v>0.2</v>
      </c>
      <c r="I4" s="76">
        <v>-0.04</v>
      </c>
      <c r="K4"/>
      <c r="L4"/>
      <c r="M4" s="46">
        <v>20</v>
      </c>
      <c r="N4"/>
      <c r="O4"/>
      <c r="P4"/>
      <c r="Q4"/>
      <c r="R4"/>
      <c r="S4"/>
      <c r="T4"/>
      <c r="U4"/>
    </row>
    <row r="5" spans="1:21" s="46" customFormat="1" ht="15.75" x14ac:dyDescent="0.25">
      <c r="A5" s="71" t="s">
        <v>2933</v>
      </c>
      <c r="B5" s="60">
        <f>IFERROR(AVERAGE(B10:I10),"-")</f>
        <v>499.23154007042774</v>
      </c>
      <c r="C5" s="119" t="s">
        <v>3021</v>
      </c>
      <c r="D5" s="67" t="s">
        <v>2937</v>
      </c>
      <c r="E5" s="68"/>
      <c r="F5" s="66">
        <f ca="1">INFO!$G$2*1000</f>
        <v>32100</v>
      </c>
      <c r="G5" s="142" t="s">
        <v>3057</v>
      </c>
      <c r="H5" s="73" t="s">
        <v>2943</v>
      </c>
      <c r="I5" s="75" t="s">
        <v>2945</v>
      </c>
      <c r="K5"/>
      <c r="L5"/>
      <c r="M5" s="46">
        <v>22</v>
      </c>
      <c r="N5"/>
      <c r="O5"/>
      <c r="P5"/>
      <c r="Q5"/>
      <c r="R5"/>
      <c r="S5"/>
      <c r="T5"/>
      <c r="U5"/>
    </row>
    <row r="6" spans="1:21" s="46" customFormat="1" ht="15.75" x14ac:dyDescent="0.25">
      <c r="A6" s="72" t="s">
        <v>2935</v>
      </c>
      <c r="B6" s="95">
        <f ca="1">IFERROR(F5/B5,"-")</f>
        <v>64.298822136661443</v>
      </c>
      <c r="C6" s="183">
        <f ca="1">IFERROR(B10*(1+C4)^(1)+C10*(1+C4)^(2)+D10*(1+C4)^(3)+E10*(1+C4)^(4)+F10*(1+C4)^(5)+G10*(1+C4)^(6)+H10*(1+C4)^(7)+I10*(1+C4)^(8),"-")</f>
        <v>35415.733954762836</v>
      </c>
      <c r="D6" s="67" t="s">
        <v>2938</v>
      </c>
      <c r="E6" s="68"/>
      <c r="F6" s="66">
        <f>VLOOKUP(D6,INFO!$P:$Q,2,FALSE)</f>
        <v>12360.708874770764</v>
      </c>
      <c r="G6" s="143">
        <v>50000</v>
      </c>
      <c r="H6" s="87">
        <f ca="1">G4*(1+H4)-B5</f>
        <v>38020.768459929575</v>
      </c>
      <c r="I6" s="87">
        <f ca="1">G4*(1+I4)-B5</f>
        <v>30316.768459929572</v>
      </c>
      <c r="K6"/>
      <c r="L6"/>
      <c r="N6"/>
      <c r="O6"/>
      <c r="P6"/>
      <c r="Q6"/>
      <c r="R6"/>
      <c r="S6"/>
      <c r="T6"/>
      <c r="U6"/>
    </row>
    <row r="7" spans="1:21" s="46" customFormat="1" x14ac:dyDescent="0.25">
      <c r="A7" s="72" t="s">
        <v>2936</v>
      </c>
      <c r="B7" s="95">
        <f ca="1">IFERROR(F5/F6,"-")</f>
        <v>2.5969384381763714</v>
      </c>
      <c r="C7" s="121"/>
      <c r="D7" s="67" t="s">
        <v>2939</v>
      </c>
      <c r="E7" s="68"/>
      <c r="F7" s="66">
        <f>VLOOKUP(D7,INFO!P:Q,2,FALSE)</f>
        <v>2434919704</v>
      </c>
      <c r="G7" s="78">
        <f ca="1">G6*G4</f>
        <v>1605000000</v>
      </c>
      <c r="H7" s="144">
        <f ca="1">(H6-G4)*G6</f>
        <v>296038422.9964788</v>
      </c>
      <c r="I7" s="144">
        <f ca="1">(G4-I6)*G6</f>
        <v>89161577.003521413</v>
      </c>
      <c r="J7" s="190"/>
    </row>
    <row r="8" spans="1:21" s="36" customFormat="1" ht="16.5" x14ac:dyDescent="0.25">
      <c r="A8" s="44" t="s">
        <v>112</v>
      </c>
      <c r="B8" s="45">
        <v>2</v>
      </c>
      <c r="C8" s="45">
        <v>3</v>
      </c>
      <c r="D8" s="45">
        <v>4</v>
      </c>
      <c r="E8" s="45">
        <v>5</v>
      </c>
      <c r="F8" s="45">
        <v>6</v>
      </c>
      <c r="G8" s="45">
        <v>7</v>
      </c>
      <c r="H8" s="69">
        <v>8</v>
      </c>
      <c r="I8" s="70">
        <v>9</v>
      </c>
      <c r="K8" s="46"/>
      <c r="L8" s="174"/>
      <c r="M8" s="46"/>
      <c r="N8" s="46"/>
      <c r="O8" s="46"/>
      <c r="P8" s="46"/>
      <c r="Q8" s="46"/>
      <c r="R8" s="46"/>
      <c r="S8" s="46"/>
      <c r="T8" s="46"/>
      <c r="U8" s="46"/>
    </row>
    <row r="9" spans="1:21" ht="15.75" x14ac:dyDescent="0.25">
      <c r="A9" s="116" t="s">
        <v>3020</v>
      </c>
      <c r="B9" s="117" t="str">
        <f>BS_BCTC!C3</f>
        <v>31-12-2018</v>
      </c>
      <c r="C9" s="117" t="str">
        <f>BS_BCTC!D3</f>
        <v>31-12-2020</v>
      </c>
      <c r="D9" s="117" t="str">
        <f>BS_BCTC!E3</f>
        <v>31-12-2021</v>
      </c>
      <c r="E9" s="117" t="str">
        <f>BS_BCTC!F3</f>
        <v>31-12-2022</v>
      </c>
      <c r="F9" s="117" t="str">
        <f>BS_BCTC!G3</f>
        <v>31-12-2023</v>
      </c>
      <c r="G9" s="117" t="str">
        <f>BS_BCTC!H3</f>
        <v>31-12-2024</v>
      </c>
      <c r="H9" s="117" t="str">
        <f>BS_BCTC!I3</f>
        <v>31-12-2025</v>
      </c>
      <c r="I9" s="117" t="str">
        <f>BS_BCTC!J3</f>
        <v/>
      </c>
    </row>
    <row r="10" spans="1:21" s="48" customFormat="1" x14ac:dyDescent="0.25">
      <c r="A10" s="47" t="s">
        <v>2933</v>
      </c>
      <c r="B10" s="61">
        <f>IFERROR(B28/$F$7,"-")</f>
        <v>168.23003132837599</v>
      </c>
      <c r="C10" s="61">
        <f>IFERROR(C28/$F$7,"-")</f>
        <v>182.4711929317896</v>
      </c>
      <c r="D10" s="61">
        <f t="shared" ref="D10:I10" si="0">IFERROR(D28/$F$7,"-")</f>
        <v>206.41193334521557</v>
      </c>
      <c r="E10" s="61">
        <f t="shared" si="0"/>
        <v>327.36883304181436</v>
      </c>
      <c r="F10" s="61">
        <f t="shared" si="0"/>
        <v>331.14930514070045</v>
      </c>
      <c r="G10" s="61">
        <f>IFERROR(G28/$F$7,"-")</f>
        <v>274.06239121017029</v>
      </c>
      <c r="H10" s="61">
        <f t="shared" si="0"/>
        <v>1034.4334590406681</v>
      </c>
      <c r="I10" s="61">
        <f t="shared" si="0"/>
        <v>1469.7251745246874</v>
      </c>
      <c r="J10" s="46"/>
      <c r="K10" s="46"/>
      <c r="L10" s="46"/>
      <c r="M10" s="46"/>
      <c r="N10" s="46"/>
      <c r="O10" s="25"/>
      <c r="P10" s="25"/>
      <c r="Q10" s="25"/>
      <c r="R10" s="25"/>
      <c r="S10" s="25"/>
      <c r="T10" s="25"/>
      <c r="U10" s="25"/>
    </row>
    <row r="11" spans="1:21" s="48" customFormat="1" x14ac:dyDescent="0.25">
      <c r="A11" s="50" t="s">
        <v>2931</v>
      </c>
      <c r="B11" s="62">
        <f>IFERROR(B26/B18,"-")</f>
        <v>0.16805128587716886</v>
      </c>
      <c r="C11" s="63">
        <f t="shared" ref="C11:I11" si="1">IFERROR(C26/C18,"-")</f>
        <v>0.26850014637021918</v>
      </c>
      <c r="D11" s="63">
        <f t="shared" si="1"/>
        <v>0.24703832938137976</v>
      </c>
      <c r="E11" s="63">
        <f t="shared" si="1"/>
        <v>0.30518928064781881</v>
      </c>
      <c r="F11" s="63">
        <f t="shared" si="1"/>
        <v>0.34520533477460585</v>
      </c>
      <c r="G11" s="63">
        <f t="shared" si="1"/>
        <v>0.48177683394379456</v>
      </c>
      <c r="H11" s="63">
        <f t="shared" si="1"/>
        <v>7.426800603524597E-2</v>
      </c>
      <c r="I11" s="64" t="str">
        <f t="shared" si="1"/>
        <v>-</v>
      </c>
      <c r="J11" s="46"/>
      <c r="K11" s="46"/>
      <c r="L11" s="46"/>
      <c r="M11" s="46"/>
      <c r="N11" s="46"/>
      <c r="O11" s="25"/>
      <c r="P11" s="25"/>
      <c r="Q11" s="25"/>
      <c r="R11" s="25"/>
      <c r="S11" s="25"/>
      <c r="T11" s="25"/>
      <c r="U11" s="25"/>
    </row>
    <row r="12" spans="1:21" x14ac:dyDescent="0.25">
      <c r="A12" s="123" t="s">
        <v>2932</v>
      </c>
      <c r="B12" s="124">
        <f>IFERROR(B26/B16,"-")</f>
        <v>7.4295543229972838E-2</v>
      </c>
      <c r="C12" s="125">
        <f t="shared" ref="C12:I12" si="2">IFERROR(C26/C16,"-")</f>
        <v>8.3216548340987156E-2</v>
      </c>
      <c r="D12" s="125">
        <f t="shared" si="2"/>
        <v>7.1935456445806373E-2</v>
      </c>
      <c r="E12" s="125">
        <f t="shared" si="2"/>
        <v>0.12788288948742835</v>
      </c>
      <c r="F12" s="125">
        <f t="shared" si="2"/>
        <v>0.1382052666589651</v>
      </c>
      <c r="G12" s="125">
        <f t="shared" si="2"/>
        <v>0.18026903991517249</v>
      </c>
      <c r="H12" s="125">
        <f t="shared" si="2"/>
        <v>4.4244230471811766E-2</v>
      </c>
      <c r="I12" s="126" t="str">
        <f t="shared" si="2"/>
        <v>-</v>
      </c>
      <c r="O12" s="25"/>
      <c r="P12" s="25"/>
      <c r="Q12" s="25"/>
      <c r="R12" s="25"/>
      <c r="S12" s="25"/>
      <c r="T12" s="25"/>
      <c r="U12" s="25"/>
    </row>
    <row r="13" spans="1:21" x14ac:dyDescent="0.25">
      <c r="A13" s="130" t="s">
        <v>3024</v>
      </c>
      <c r="B13" s="127">
        <f>IFERROR(B20/B18,"-")</f>
        <v>1.2619295663131032</v>
      </c>
      <c r="C13" s="128">
        <f t="shared" ref="C13:I13" si="3">IFERROR(C20/C18,"-")</f>
        <v>2.2265234706685515</v>
      </c>
      <c r="D13" s="128">
        <f t="shared" si="3"/>
        <v>2.4341664262252891</v>
      </c>
      <c r="E13" s="128">
        <f t="shared" si="3"/>
        <v>1.3864747025271174</v>
      </c>
      <c r="F13" s="128">
        <f t="shared" si="3"/>
        <v>1.4977726473075261</v>
      </c>
      <c r="G13" s="128">
        <f t="shared" si="3"/>
        <v>1.6725434060696156</v>
      </c>
      <c r="H13" s="128">
        <f>IFERROR(H20/H18,"-")</f>
        <v>0.67859188064221188</v>
      </c>
      <c r="I13" s="129" t="str">
        <f t="shared" si="3"/>
        <v>-</v>
      </c>
      <c r="O13" s="25"/>
      <c r="P13" s="25"/>
      <c r="Q13" s="25"/>
      <c r="R13" s="25"/>
      <c r="S13" s="25"/>
      <c r="T13" s="25"/>
      <c r="U13" s="25"/>
    </row>
    <row r="14" spans="1:21" x14ac:dyDescent="0.25">
      <c r="A14" s="41" t="s">
        <v>104</v>
      </c>
      <c r="B14" s="32">
        <f>IFERROR(VLOOKUP($A$14,BS_BCTC!$B:$J,CANSLIM!B8,FALSE), "-")</f>
        <v>9585788147566</v>
      </c>
      <c r="C14" s="33">
        <f>IFERROR(VLOOKUP($A$14,BS_BCTC!$B:$J,CANSLIM!C8,FALSE), "-")</f>
        <v>15776629628223</v>
      </c>
      <c r="D14" s="33">
        <f>IFERROR(VLOOKUP($A$14,BS_BCTC!$B:$J,CANSLIM!D8,FALSE), "-")</f>
        <v>26468952982185</v>
      </c>
      <c r="E14" s="33">
        <f>IFERROR(VLOOKUP($A$14,BS_BCTC!$B:$J,CANSLIM!E8,FALSE), "-")</f>
        <v>19774532442637</v>
      </c>
      <c r="F14" s="33">
        <f>IFERROR(VLOOKUP($A$14,BS_BCTC!$B:$J,CANSLIM!F8,FALSE), "-")</f>
        <v>21947804619512</v>
      </c>
      <c r="G14" s="33">
        <f>IFERROR(VLOOKUP($A$14,BS_BCTC!$B:$J,CANSLIM!G8,FALSE), "-")</f>
        <v>29823649331548</v>
      </c>
      <c r="H14" s="33">
        <f>IFERROR(VLOOKUP($A$14,BS_BCTC!$B:$J,CANSLIM!H8,FALSE), "-")</f>
        <v>47710682737676</v>
      </c>
      <c r="I14" s="43">
        <f>IFERROR(VLOOKUP($A$14,BS_BCTC!$B:$J,CANSLIM!I8,FALSE), "-")</f>
        <v>0</v>
      </c>
    </row>
    <row r="15" spans="1:21" x14ac:dyDescent="0.25">
      <c r="A15" s="39"/>
      <c r="B15" s="35" t="str">
        <f>IFERROR(IF(LEFT(A9,5)=LEFT(B9,5),(B14-A14)/A14,(B14-#REF!)/#REF!),"-")</f>
        <v>-</v>
      </c>
      <c r="C15" s="35">
        <f>IFERROR(IF(LEFT(B9,5)=LEFT(C9,5),(C14-B14)/B14,(C14-#REF!)/#REF!),"-")</f>
        <v>0.64583541648883236</v>
      </c>
      <c r="D15" s="35">
        <f>IFERROR(IF(LEFT(C9,5)=LEFT(D9,5),(D14-C14)/C14,(D14-#REF!)/#REF!),"-")</f>
        <v>0.67773178466675643</v>
      </c>
      <c r="E15" s="35">
        <f t="shared" ref="E15:G15" si="4">IFERROR(IF(LEFT(D9,5)=LEFT(E9,5),(E14-D14)/D14,(E14-A14)/A14),"-")</f>
        <v>-0.2529159556879223</v>
      </c>
      <c r="F15" s="35">
        <f t="shared" si="4"/>
        <v>0.10990258218136595</v>
      </c>
      <c r="G15" s="35">
        <f t="shared" si="4"/>
        <v>0.35884430577781934</v>
      </c>
      <c r="H15" s="35">
        <f>IFERROR(IF(LEFT(G9,5)=LEFT(H9,5),(H14-G14)/G14,(H14-D14)/D14),"-")</f>
        <v>0.5997600497269383</v>
      </c>
      <c r="I15" s="35">
        <f>IFERROR(IF(LEFT(H9,5)=LEFT(I9,5),(I14-H14)/H14,(I14-E14)/E14),"-")</f>
        <v>-1</v>
      </c>
    </row>
    <row r="16" spans="1:21" s="36" customFormat="1" x14ac:dyDescent="0.25">
      <c r="A16" s="38" t="s">
        <v>107</v>
      </c>
      <c r="B16" s="30">
        <f>IFERROR(VLOOKUP($A$16,BS_BCTC!$B:$J,CANSLIM!B8,FALSE), "-")</f>
        <v>9660538526037</v>
      </c>
      <c r="C16" s="31">
        <f>IFERROR(VLOOKUP($A$16,BS_BCTC!$B:$J,CANSLIM!C8,FALSE), "-")</f>
        <v>16052326153716</v>
      </c>
      <c r="D16" s="31">
        <f>IFERROR(VLOOKUP($A$16,BS_BCTC!$B:$J,CANSLIM!D8,FALSE), "-")</f>
        <v>26856861040153</v>
      </c>
      <c r="E16" s="31">
        <f>IFERROR(VLOOKUP($A$16,BS_BCTC!$B:$J,CANSLIM!E8,FALSE), "-")</f>
        <v>20225399473260</v>
      </c>
      <c r="F16" s="31">
        <f>IFERROR(VLOOKUP($A$16,BS_BCTC!$B:$J,CANSLIM!F8,FALSE), "-")</f>
        <v>22462317213015</v>
      </c>
      <c r="G16" s="31">
        <f>IFERROR(VLOOKUP($A$16,BS_BCTC!$B:$J,CANSLIM!G8,FALSE), "-")</f>
        <v>30367897671475</v>
      </c>
      <c r="H16" s="31">
        <f>IFERROR(VLOOKUP($A$16,BS_BCTC!$B:$J,CANSLIM!H8,FALSE), "-")</f>
        <v>48402380273658</v>
      </c>
      <c r="I16" s="42">
        <f>IFERROR(VLOOKUP($A$16,BS_BCTC!$B:$J,CANSLIM!I8,FALSE), "-")</f>
        <v>0</v>
      </c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</row>
    <row r="17" spans="1:21" x14ac:dyDescent="0.25">
      <c r="A17" s="39"/>
      <c r="B17" s="35" t="str">
        <f>IFERROR(IF(LEFT(A9,5)=LEFT(B9,5),(B16-A16)/A16,(B16-#REF!)/#REF!),"-")</f>
        <v>-</v>
      </c>
      <c r="C17" s="35">
        <f>IFERROR(IF(LEFT(B9,5)=LEFT(C9,5),(C16-B16)/B16,(C16-#REF!)/#REF!),"-")</f>
        <v>0.66163885278775181</v>
      </c>
      <c r="D17" s="35">
        <f>IFERROR(IF(LEFT(C9,5)=LEFT(D9,5),(D16-C16)/C16,(D16-#REF!)/#REF!),"-")</f>
        <v>0.67308219275969716</v>
      </c>
      <c r="E17" s="35">
        <f t="shared" ref="E17:H17" si="5">IFERROR(IF(LEFT(D9,5)=LEFT(E9,5),(E16-D16)/D16,(E16-A16)/A16),"-")</f>
        <v>-0.24691871313548047</v>
      </c>
      <c r="F17" s="35">
        <f t="shared" si="5"/>
        <v>0.11059943427631325</v>
      </c>
      <c r="G17" s="35">
        <f t="shared" si="5"/>
        <v>0.35194857162285059</v>
      </c>
      <c r="H17" s="35">
        <f t="shared" si="5"/>
        <v>0.59386668110130802</v>
      </c>
      <c r="I17" s="35">
        <f>IFERROR(IF(LEFT(H9,5)=LEFT(I9,5),(I16-H16)/H16,(I16-E16)/E16),"-")</f>
        <v>-1</v>
      </c>
    </row>
    <row r="18" spans="1:21" s="36" customFormat="1" x14ac:dyDescent="0.25">
      <c r="A18" s="38" t="s">
        <v>108</v>
      </c>
      <c r="B18" s="30">
        <f>VLOOKUP($A$18,BS_BCTC!$B:$J,CANSLIM!B8,FALSE)</f>
        <v>4270928091622</v>
      </c>
      <c r="C18" s="31">
        <f>VLOOKUP($A$18,BS_BCTC!$B:$J,CANSLIM!C8,FALSE)</f>
        <v>4975115259394</v>
      </c>
      <c r="D18" s="31">
        <f>VLOOKUP($A$18,BS_BCTC!$B:$J,CANSLIM!D8,FALSE)</f>
        <v>7820489081443</v>
      </c>
      <c r="E18" s="31">
        <f>VLOOKUP($A$18,BS_BCTC!$B:$J,CANSLIM!E8,FALSE)</f>
        <v>8475011049496</v>
      </c>
      <c r="F18" s="31">
        <f>VLOOKUP($A$18,BS_BCTC!$B:$J,CANSLIM!F8,FALSE)</f>
        <v>8992939064021</v>
      </c>
      <c r="G18" s="31">
        <f>VLOOKUP($A$18,BS_BCTC!$B:$J,CANSLIM!G8,FALSE)</f>
        <v>11362920281297</v>
      </c>
      <c r="H18" s="31">
        <f>VLOOKUP($A$18,BS_BCTC!$B:$J,CANSLIM!H8,FALSE)</f>
        <v>28835109255467</v>
      </c>
      <c r="I18" s="42">
        <f>VLOOKUP($A$18,BS_BCTC!$B:$J,CANSLIM!I8,FALSE)</f>
        <v>0</v>
      </c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</row>
    <row r="19" spans="1:21" x14ac:dyDescent="0.25">
      <c r="A19" s="40"/>
      <c r="B19" s="35" t="str">
        <f>IFERROR(IF(LEFT(A9,5)=LEFT(B9,5),(B18-A18)/A18,(B18-#REF!)/#REF!),"-")</f>
        <v>-</v>
      </c>
      <c r="C19" s="35">
        <f>IFERROR(IF(LEFT(B9,5)=LEFT(C9,5),(C18-B18)/B18,(C18-#REF!)/#REF!),"-")</f>
        <v>0.1648791908141366</v>
      </c>
      <c r="D19" s="35">
        <f>IFERROR(IF(LEFT(C9,5)=LEFT(D9,5),(D18-C18)/C18,(D18-#REF!)/#REF!),"-")</f>
        <v>0.57192118648434775</v>
      </c>
      <c r="E19" s="35">
        <f t="shared" ref="E19:H19" si="6">IFERROR(IF(LEFT(D9,5)=LEFT(E9,5),(E18-D18)/D18,(E18-A18)/A18),"-")</f>
        <v>8.3693227013908272E-2</v>
      </c>
      <c r="F19" s="35">
        <f t="shared" si="6"/>
        <v>6.1112370414643957E-2</v>
      </c>
      <c r="G19" s="35">
        <f t="shared" si="6"/>
        <v>0.26353800469502053</v>
      </c>
      <c r="H19" s="35">
        <f t="shared" si="6"/>
        <v>1.5376495250898361</v>
      </c>
      <c r="I19" s="35">
        <f>IFERROR(IF(LEFT(H9,5)=LEFT(I9,5),(I18-H18)/H18,(I18-E18)/E18),"-")</f>
        <v>-1</v>
      </c>
    </row>
    <row r="20" spans="1:21" s="36" customFormat="1" x14ac:dyDescent="0.25">
      <c r="A20" s="38" t="s">
        <v>105</v>
      </c>
      <c r="B20" s="30">
        <f>IFERROR(VLOOKUP($A$20,BS_BCTC!$B:$J,CANSLIM!B8,FALSE), "-")</f>
        <v>5389610434415</v>
      </c>
      <c r="C20" s="31">
        <f>IFERROR(VLOOKUP($A$20,BS_BCTC!$B:$J,CANSLIM!C8,FALSE), "-")</f>
        <v>11077210894322</v>
      </c>
      <c r="D20" s="31">
        <f>IFERROR(VLOOKUP($A$20,BS_BCTC!$B:$J,CANSLIM!D8,FALSE), "-")</f>
        <v>19036371958710</v>
      </c>
      <c r="E20" s="31">
        <f>IFERROR(VLOOKUP($A$20,BS_BCTC!$B:$J,CANSLIM!E8,FALSE), "-")</f>
        <v>11750388423764</v>
      </c>
      <c r="F20" s="31">
        <f>IFERROR(VLOOKUP($A$20,BS_BCTC!$B:$J,CANSLIM!F8,FALSE), "-")</f>
        <v>13469378148994</v>
      </c>
      <c r="G20" s="31">
        <f>IFERROR(VLOOKUP($A$20,BS_BCTC!$B:$J,CANSLIM!G8,FALSE), "-")</f>
        <v>19004977390178</v>
      </c>
      <c r="H20" s="31">
        <f>IFERROR(VLOOKUP($A$20,BS_BCTC!$B:$J,CANSLIM!H8,FALSE), "-")</f>
        <v>19567271018191</v>
      </c>
      <c r="I20" s="42">
        <f>IFERROR(VLOOKUP($A$20,BS_BCTC!$B:$J,CANSLIM!I8,FALSE), "-")</f>
        <v>0</v>
      </c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</row>
    <row r="21" spans="1:21" x14ac:dyDescent="0.25">
      <c r="A21" s="40"/>
      <c r="B21" s="34"/>
      <c r="C21" s="34"/>
      <c r="D21" s="34"/>
      <c r="E21" s="34"/>
      <c r="F21" s="34">
        <f>IFERROR(IF(LEFT(E9,5)=LEFT(F9,5),(F20-E20)/E20,(F20-B20)/B20),"-")</f>
        <v>0.14629216186194433</v>
      </c>
      <c r="G21" s="34">
        <f>IFERROR(IF(LEFT(F9,5)=LEFT(G9,5),(G20-F20)/F20,(G20-C20)/C20),"-")</f>
        <v>0.41097660040062373</v>
      </c>
      <c r="H21" s="34">
        <f>IFERROR(IF(LEFT(G9,5)=LEFT(H9,5),(H20-G20)/G20,(H20-D20)/D20),"-")</f>
        <v>2.9586650721489419E-2</v>
      </c>
      <c r="I21" s="34">
        <f>IFERROR(IF(LEFT(H9,5)=LEFT(I9,5),(I20-H20)/H20,(I20-E20)/E20),"-")</f>
        <v>-1</v>
      </c>
    </row>
    <row r="22" spans="1:21" s="36" customFormat="1" x14ac:dyDescent="0.25">
      <c r="A22" s="38" t="s">
        <v>113</v>
      </c>
      <c r="B22" s="30">
        <f>IFERROR(VLOOKUP($A$22,BS_BCTC!$B:$J,CANSLIM!B8,FALSE), "-")</f>
        <v>3480608000000</v>
      </c>
      <c r="C22" s="31">
        <f>IFERROR(VLOOKUP($A$22,BS_BCTC!$B:$J,CANSLIM!C8,FALSE), "-")</f>
        <v>6976829729230</v>
      </c>
      <c r="D22" s="31">
        <f>IFERROR(VLOOKUP($A$22,BS_BCTC!$B:$J,CANSLIM!D8,FALSE), "-")</f>
        <v>15221326144323</v>
      </c>
      <c r="E22" s="31">
        <f>IFERROR(VLOOKUP($A$22,BS_BCTC!$B:$J,CANSLIM!E8,FALSE), "-")</f>
        <v>10840339262524</v>
      </c>
      <c r="F22" s="31">
        <f>IFERROR(VLOOKUP($A$22,BS_BCTC!$B:$J,CANSLIM!F8,FALSE), "-")</f>
        <v>12544611173802</v>
      </c>
      <c r="G22" s="31">
        <f>IFERROR(VLOOKUP($A$22,BS_BCTC!$B:$J,CANSLIM!G8,FALSE), "-")</f>
        <v>18328645000000</v>
      </c>
      <c r="H22" s="31">
        <f>IFERROR(VLOOKUP($A$22,BS_BCTC!$B:$J,CANSLIM!H8,FALSE), "-")</f>
        <v>12924357800000</v>
      </c>
      <c r="I22" s="42">
        <f>IFERROR(VLOOKUP($A$22,BS_BCTC!$B:$J,CANSLIM!I8,FALSE), "-")</f>
        <v>0</v>
      </c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</row>
    <row r="23" spans="1:21" x14ac:dyDescent="0.25">
      <c r="A23" s="40"/>
      <c r="B23" s="35" t="str">
        <f>IFERROR(IF(LEFT(A9,5)=LEFT(B9,5),(B22-A22)/A22,(B22-#REF!)/#REF!),"-")</f>
        <v>-</v>
      </c>
      <c r="C23" s="35">
        <f>IFERROR(IF(LEFT(B9,5)=LEFT(C9,5),(C22-B22)/B22,(C22-#REF!)/#REF!),"-")</f>
        <v>1.004485920054772</v>
      </c>
      <c r="D23" s="35">
        <f>IFERROR(IF(LEFT(C9,5)=LEFT(D9,5),(D22-C22)/C22,(D22-#REF!)/#REF!),"-")</f>
        <v>1.1816966638231126</v>
      </c>
      <c r="E23" s="35">
        <f t="shared" ref="E23:H23" si="7">IFERROR(IF(LEFT(D9,5)=LEFT(E9,5),(E22-D22)/D22,(E22-A22)/A22),"-")</f>
        <v>-0.28781900080584955</v>
      </c>
      <c r="F23" s="35">
        <f t="shared" si="7"/>
        <v>0.15721573559693069</v>
      </c>
      <c r="G23" s="35">
        <f t="shared" si="7"/>
        <v>0.46107717059236558</v>
      </c>
      <c r="H23" s="35">
        <f t="shared" si="7"/>
        <v>-0.29485470420753962</v>
      </c>
      <c r="I23" s="35">
        <f>IFERROR(IF(LEFT(H9,5)=LEFT(I9,5),(I22-H22)/H22,(I22-E22)/E22),"-")</f>
        <v>-1</v>
      </c>
    </row>
    <row r="24" spans="1:21" s="36" customFormat="1" x14ac:dyDescent="0.25">
      <c r="A24" s="38" t="s">
        <v>115</v>
      </c>
      <c r="B24" s="30">
        <f>IFERROR(VLOOKUP($A$24,BS_BCTC!$B:$J,CANSLIM!B8,FALSE), "-")</f>
        <v>93352332232</v>
      </c>
      <c r="C24" s="31">
        <f>IFERROR(VLOOKUP($A$24,BS_BCTC!$B:$J,CANSLIM!C8,FALSE), "-")</f>
        <v>133593238926</v>
      </c>
      <c r="D24" s="31">
        <f>IFERROR(VLOOKUP($A$24,BS_BCTC!$B:$J,CANSLIM!D8,FALSE), "-")</f>
        <v>269066647085</v>
      </c>
      <c r="E24" s="31">
        <f>IFERROR(VLOOKUP($A$24,BS_BCTC!$B:$J,CANSLIM!E8,FALSE), "-")</f>
        <v>236011475836</v>
      </c>
      <c r="F24" s="31">
        <f>IFERROR(VLOOKUP($A$24,BS_BCTC!$B:$J,CANSLIM!F8,FALSE), "-")</f>
        <v>212440896236</v>
      </c>
      <c r="G24" s="31">
        <f>IFERROR(VLOOKUP($A$24,BS_BCTC!$B:$J,CANSLIM!G8,FALSE), "-")</f>
        <v>170421059451</v>
      </c>
      <c r="H24" s="31">
        <f>IFERROR(VLOOKUP($A$24,BS_BCTC!$B:$J,CANSLIM!H8,FALSE), "-")</f>
        <v>351801559208</v>
      </c>
      <c r="I24" s="42">
        <f>IFERROR(VLOOKUP($A$24,BS_BCTC!$B:$J,CANSLIM!I8,FALSE), "-")</f>
        <v>0</v>
      </c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</row>
    <row r="25" spans="1:21" x14ac:dyDescent="0.25">
      <c r="A25" s="40"/>
      <c r="B25" s="35" t="str">
        <f>IFERROR(IF(LEFT(A9,5)=LEFT(B9,5),(B24-A24)/A24,(B24-#REF!)/#REF!),"-")</f>
        <v>-</v>
      </c>
      <c r="C25" s="35">
        <f>IFERROR(IF(LEFT(B9,5)=LEFT(C9,5),(C24-B24)/B24,(C24-#REF!)/#REF!),"-")</f>
        <v>0.4310648243258986</v>
      </c>
      <c r="D25" s="35">
        <f>IFERROR(IF(LEFT(C9,5)=LEFT(D9,5),(D24-C24)/C24,(D24-#REF!)/#REF!),"-")</f>
        <v>1.0140738352338434</v>
      </c>
      <c r="E25" s="35">
        <f t="shared" ref="E25:H25" si="8">IFERROR(IF(LEFT(D9,5)=LEFT(E9,5),(E24-D24)/D24,(E24-A24)/A24),"-")</f>
        <v>-0.12285124004446989</v>
      </c>
      <c r="F25" s="35">
        <f t="shared" si="8"/>
        <v>-9.9870480943811221E-2</v>
      </c>
      <c r="G25" s="35">
        <f t="shared" si="8"/>
        <v>-0.19779542230098804</v>
      </c>
      <c r="H25" s="35">
        <f t="shared" si="8"/>
        <v>1.0643080165168852</v>
      </c>
      <c r="I25" s="35">
        <f>IFERROR(IF(LEFT(H9,5)=LEFT(I9,5),(I24-H24)/H24,(I24-E24)/E24),"-")</f>
        <v>-1</v>
      </c>
    </row>
    <row r="26" spans="1:21" s="27" customFormat="1" x14ac:dyDescent="0.25">
      <c r="A26" s="38" t="s">
        <v>114</v>
      </c>
      <c r="B26" s="30">
        <f>VLOOKUP($A$26,BS_BCTC!$B:$J,CANSLIM!B8,FALSE)</f>
        <v>717734957686</v>
      </c>
      <c r="C26" s="31">
        <f>VLOOKUP($A$26,BS_BCTC!$B:$J,CANSLIM!C8,FALSE)</f>
        <v>1335819175356</v>
      </c>
      <c r="D26" s="31">
        <f>VLOOKUP($A$26,BS_BCTC!$B:$J,CANSLIM!D8,FALSE)</f>
        <v>1931960557625</v>
      </c>
      <c r="E26" s="31">
        <f>VLOOKUP($A$26,BS_BCTC!$B:$J,CANSLIM!E8,FALSE)</f>
        <v>2586482525678</v>
      </c>
      <c r="F26" s="31">
        <f>VLOOKUP($A$26,BS_BCTC!$B:$J,CANSLIM!F8,FALSE)</f>
        <v>3104410540203</v>
      </c>
      <c r="G26" s="31">
        <f>VLOOKUP($A$26,BS_BCTC!$B:$J,CANSLIM!G8,FALSE)</f>
        <v>5474391757479</v>
      </c>
      <c r="H26" s="31">
        <f>VLOOKUP($A$26,BS_BCTC!$B:$J,CANSLIM!H8,FALSE)</f>
        <v>2141526068212</v>
      </c>
      <c r="I26" s="42">
        <f>VLOOKUP($A$26,BS_BCTC!$B:$J,CANSLIM!I8,FALSE)</f>
        <v>0</v>
      </c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</row>
    <row r="27" spans="1:21" x14ac:dyDescent="0.25">
      <c r="A27" s="40"/>
      <c r="B27" s="34" t="str">
        <f>IFERROR(IF(LEFT(A9,5)=LEFT(B9,5),(B26-A26)/A26,(B26-#REF!)/#REF!),"-")</f>
        <v>-</v>
      </c>
      <c r="C27" s="34">
        <f>IFERROR(IF(LEFT(B9,5)=LEFT(C9,5),(C26-B26)/B26,(C26-#REF!)/#REF!),"-")</f>
        <v>0.86115941692839215</v>
      </c>
      <c r="D27" s="34">
        <f>IFERROR(IF(LEFT(C9,5)=LEFT(D9,5),(D26-C26)/C26,(D26-#REF!)/#REF!),"-")</f>
        <v>0.44627401168285102</v>
      </c>
      <c r="E27" s="34">
        <f t="shared" ref="E27:H27" si="9">IFERROR(IF(LEFT(D9,5)=LEFT(E9,5),(E26-D26)/D26,(E26-A26)/A26),"-")</f>
        <v>0.33878640299862939</v>
      </c>
      <c r="F27" s="34">
        <f t="shared" si="9"/>
        <v>0.20024415760908126</v>
      </c>
      <c r="G27" s="34">
        <f t="shared" si="9"/>
        <v>0.7634239049842374</v>
      </c>
      <c r="H27" s="34">
        <f t="shared" si="9"/>
        <v>-0.60881022712956345</v>
      </c>
      <c r="I27" s="34">
        <f>IFERROR(IF(LEFT(H9,5)=LEFT(I9,5),(I26-H26)/H26,(I26-E26)/E26),"-")</f>
        <v>-1</v>
      </c>
    </row>
    <row r="28" spans="1:21" s="27" customFormat="1" x14ac:dyDescent="0.25">
      <c r="A28" s="38" t="s">
        <v>2929</v>
      </c>
      <c r="B28" s="30">
        <f>IFERROR(VLOOKUP($A$28,PL_BCTC!$B:$J,CANSLIM!B8,FALSE),"-")</f>
        <v>409626618086</v>
      </c>
      <c r="C28" s="30">
        <f>IFERROR(VLOOKUP($A$28,PL_BCTC!$B:$J,CANSLIM!C8,FALSE),"-")</f>
        <v>444302703082</v>
      </c>
      <c r="D28" s="30">
        <f>IFERROR(VLOOKUP($A$28,PL_BCTC!$B:$J,CANSLIM!D8,FALSE),"-")</f>
        <v>502596483643</v>
      </c>
      <c r="E28" s="30">
        <f>IFERROR(VLOOKUP($A$28,PL_BCTC!$B:$J,CANSLIM!E8,FALSE),"-")</f>
        <v>797116822049</v>
      </c>
      <c r="F28" s="30">
        <f>IFERROR(VLOOKUP($A$28,PL_BCTC!$B:$J,CANSLIM!F8,FALSE),"-")</f>
        <v>806321968053</v>
      </c>
      <c r="G28" s="30">
        <f>IFERROR(VLOOKUP($A$28,PL_BCTC!$B:$J,CANSLIM!G8,FALSE),"-")</f>
        <v>667319916483</v>
      </c>
      <c r="H28" s="30">
        <f>IFERROR(VLOOKUP($A$28,PL_BCTC!$B:$J,CANSLIM!H8,FALSE),"-")</f>
        <v>2518762411895</v>
      </c>
      <c r="I28" s="30">
        <f>IFERROR(VLOOKUP($A$28,PL_BCTC!$B:$J,CANSLIM!I8,FALSE),"-")</f>
        <v>3578662786915</v>
      </c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</row>
    <row r="29" spans="1:21" x14ac:dyDescent="0.25">
      <c r="A29" s="39"/>
      <c r="B29" s="34" t="str">
        <f>IFERROR(IF(LEFT(A9,5)=LEFT(B9,5),(B28-A28)/A28,(B28-#REF!)/#REF!),"-")</f>
        <v>-</v>
      </c>
      <c r="C29" s="34">
        <f>IFERROR(IF(LEFT(B9,5)=LEFT(C9,5),(C28-B28)/B28,(C28-#REF!)/#REF!),"-")</f>
        <v>8.4652909417912509E-2</v>
      </c>
      <c r="D29" s="34">
        <f>IFERROR(IF(LEFT(C9,5)=LEFT(D9,5),(D28-C28)/C28,(D28-#REF!)/#REF!),"-")</f>
        <v>0.13120284922111169</v>
      </c>
      <c r="E29" s="34">
        <f t="shared" ref="E29:H29" si="10">IFERROR(IF(LEFT(D9,5)=LEFT(E9,5),(E28-D28)/D28,(E28-A28)/A28),"-")</f>
        <v>0.5859976103915624</v>
      </c>
      <c r="F29" s="34">
        <f t="shared" si="10"/>
        <v>1.1548051363836536E-2</v>
      </c>
      <c r="G29" s="34">
        <f t="shared" si="10"/>
        <v>-0.17239025733807531</v>
      </c>
      <c r="H29" s="34">
        <f t="shared" si="10"/>
        <v>2.7744451344562342</v>
      </c>
      <c r="I29" s="34">
        <f>IFERROR(IF(LEFT(H9,5)=LEFT(I9,5),(I28-H28)/H28,(I28-E28)/E28),"-")</f>
        <v>3.489508548716858</v>
      </c>
    </row>
    <row r="30" spans="1:21" s="27" customFormat="1" x14ac:dyDescent="0.25">
      <c r="A30" s="41" t="s">
        <v>116</v>
      </c>
      <c r="B30" s="32">
        <f>VLOOKUP($A$30,BS_BCTC!$B:$J,CANSLIM!B8,FALSE)</f>
        <v>0</v>
      </c>
      <c r="C30" s="33">
        <f>VLOOKUP($A$30,BS_BCTC!$B:$J,CANSLIM!C8,FALSE)</f>
        <v>0</v>
      </c>
      <c r="D30" s="33">
        <f>VLOOKUP($A$30,BS_BCTC!$B:$J,CANSLIM!D8,FALSE)</f>
        <v>0</v>
      </c>
      <c r="E30" s="33">
        <f>VLOOKUP($A$30,BS_BCTC!$B:$J,CANSLIM!E8,FALSE)</f>
        <v>0</v>
      </c>
      <c r="F30" s="33">
        <f>VLOOKUP($A$30,BS_BCTC!$B:$J,CANSLIM!F8,FALSE)</f>
        <v>0</v>
      </c>
      <c r="G30" s="33">
        <f>VLOOKUP($A$30,BS_BCTC!$B:$J,CANSLIM!G8,FALSE)</f>
        <v>0</v>
      </c>
      <c r="H30" s="33">
        <f>VLOOKUP($A$30,BS_BCTC!$B:$J,CANSLIM!H8,FALSE)</f>
        <v>0</v>
      </c>
      <c r="I30" s="43">
        <f>VLOOKUP($A$30,BS_BCTC!$B:$J,CANSLIM!I8,FALSE)</f>
        <v>0</v>
      </c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</row>
    <row r="31" spans="1:21" x14ac:dyDescent="0.25">
      <c r="A31" s="39"/>
      <c r="B31" s="34" t="str">
        <f>IFERROR(IF(LEFT(A9,5)=LEFT(B9,5),(B30-A30)/A30,(B30-#REF!)/#REF!),"-")</f>
        <v>-</v>
      </c>
      <c r="C31" s="34" t="str">
        <f>IFERROR(IF(LEFT(B9,5)=LEFT(C9,5),(C30-B30)/B30,(C30-#REF!)/#REF!),"-")</f>
        <v>-</v>
      </c>
      <c r="D31" s="34" t="str">
        <f>IFERROR(IF(LEFT(C9,5)=LEFT(D9,5),(D30-C30)/C30,(D30-#REF!)/#REF!),"-")</f>
        <v>-</v>
      </c>
      <c r="E31" s="34" t="str">
        <f t="shared" ref="E31:H31" si="11">IFERROR(IF(LEFT(D9,5)=LEFT(E9,5),(E30-D30)/D30,(E30-A30)/A30),"-")</f>
        <v>-</v>
      </c>
      <c r="F31" s="34" t="str">
        <f t="shared" si="11"/>
        <v>-</v>
      </c>
      <c r="G31" s="34" t="str">
        <f t="shared" si="11"/>
        <v>-</v>
      </c>
      <c r="H31" s="34" t="str">
        <f t="shared" si="11"/>
        <v>-</v>
      </c>
      <c r="I31" s="34" t="str">
        <f>IFERROR(IF(LEFT(H9,5)=LEFT(I9,5),(I30-H30)/H30,(I30-E30)/E30),"-")</f>
        <v>-</v>
      </c>
    </row>
    <row r="32" spans="1:21" s="27" customFormat="1" x14ac:dyDescent="0.25">
      <c r="A32" s="41" t="s">
        <v>120</v>
      </c>
      <c r="B32" s="32">
        <f>IFERROR(VLOOKUP($A$32,PL_BCTC!$B:$J,CANSLIM!B8,FALSE), "-")</f>
        <v>1496490369809</v>
      </c>
      <c r="C32" s="33">
        <f>IFERROR(VLOOKUP($A$32,PL_BCTC!$B:$J,CANSLIM!C8,FALSE), "-")</f>
        <v>3092983686830</v>
      </c>
      <c r="D32" s="33">
        <f>IFERROR(VLOOKUP($A$32,PL_BCTC!$B:$J,CANSLIM!D8,FALSE), "-")</f>
        <v>3828459945194</v>
      </c>
      <c r="E32" s="33">
        <f>IFERROR(VLOOKUP($A$32,PL_BCTC!$B:$J,CANSLIM!E8,FALSE), "-")</f>
        <v>9518118459079</v>
      </c>
      <c r="F32" s="33">
        <f>IFERROR(VLOOKUP($A$32,PL_BCTC!$B:$J,CANSLIM!F8,FALSE), "-")</f>
        <v>8440762913975</v>
      </c>
      <c r="G32" s="33">
        <f>IFERROR(VLOOKUP($A$32,PL_BCTC!$B:$J,CANSLIM!G8,FALSE), "-")</f>
        <v>6373838274239</v>
      </c>
      <c r="H32" s="33">
        <f>IFERROR(VLOOKUP($A$32,PL_BCTC!$B:$J,CANSLIM!H8,FALSE), "-")</f>
        <v>6466321678945</v>
      </c>
      <c r="I32" s="43">
        <f>IFERROR(VLOOKUP($A$32,PL_BCTC!$B:$J,CANSLIM!I8,FALSE), "-")</f>
        <v>8260714445897</v>
      </c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</row>
    <row r="33" spans="1:21" x14ac:dyDescent="0.25">
      <c r="A33" s="39"/>
      <c r="B33" s="34" t="str">
        <f>IFERROR(IF(LEFT(A9,5)=LEFT(B9,5),(B32-A32)/A32,(B32-#REF!)/#REF!),"-")</f>
        <v>-</v>
      </c>
      <c r="C33" s="34">
        <f>IFERROR(IF(LEFT(B9,5)=LEFT(C9,5),(C32-B32)/B32,(C32-#REF!)/#REF!),"-")</f>
        <v>1.0668249854656691</v>
      </c>
      <c r="D33" s="34">
        <f>IFERROR(IF(LEFT(C9,5)=LEFT(D9,5),(D32-C32)/C32,(D32-#REF!)/#REF!),"-")</f>
        <v>0.23778859924016923</v>
      </c>
      <c r="E33" s="34">
        <f t="shared" ref="E33:G33" si="12">IFERROR(IF(LEFT(D9,5)=LEFT(E9,5),(E32-D32)/D32,(E32-A32)/A32),"-")</f>
        <v>1.4861481105548533</v>
      </c>
      <c r="F33" s="34">
        <f t="shared" si="12"/>
        <v>-0.11318997023790435</v>
      </c>
      <c r="G33" s="34">
        <f t="shared" si="12"/>
        <v>-0.24487414950535855</v>
      </c>
      <c r="H33" s="34">
        <f>IFERROR(IF(LEFT(G9,5)=LEFT(H9,5),(H32-G32)/G32,(H32-D32)/D32),"-")</f>
        <v>1.4509844888877729E-2</v>
      </c>
      <c r="I33" s="34">
        <f>IFERROR(IF(LEFT(H9,5)=LEFT(I9,5),(I32-H32)/H32,(I32-E32)/E32),"-")</f>
        <v>-0.13210636309980009</v>
      </c>
    </row>
    <row r="34" spans="1:21" x14ac:dyDescent="0.25">
      <c r="A34" s="41" t="s">
        <v>3137</v>
      </c>
      <c r="B34" s="221" t="str">
        <f>IFERROR(VLOOKUP($A$34,PL_BCTC!$B:$J,CANSLIM!B8,FALSE), "-")</f>
        <v>-</v>
      </c>
      <c r="C34" s="221" t="str">
        <f>IFERROR(VLOOKUP($A$34,PL_BCTC!$B:$J,CANSLIM!C8,FALSE), "-")</f>
        <v>-</v>
      </c>
      <c r="D34" s="221" t="str">
        <f>IFERROR(VLOOKUP($A$34,PL_BCTC!$B:$J,CANSLIM!D8,FALSE), "-")</f>
        <v>-</v>
      </c>
      <c r="E34" s="221" t="str">
        <f>IFERROR(VLOOKUP($A$34,PL_BCTC!$B:$J,CANSLIM!E8,FALSE), "-")</f>
        <v>-</v>
      </c>
      <c r="F34" s="221" t="str">
        <f>IFERROR(VLOOKUP($A$34,PL_BCTC!$B:$J,CANSLIM!F8,FALSE), "-")</f>
        <v>-</v>
      </c>
      <c r="G34" s="221" t="str">
        <f>IFERROR(VLOOKUP($A$34,PL_BCTC!$B:$J,CANSLIM!G8,FALSE), "-")</f>
        <v>-</v>
      </c>
      <c r="H34" s="221" t="str">
        <f>IFERROR(VLOOKUP($A$34,PL_BCTC!$B:$J,CANSLIM!H8,FALSE), "-")</f>
        <v>-</v>
      </c>
      <c r="I34" s="221" t="str">
        <f>IFERROR(VLOOKUP($A$34,PL_BCTC!$B:$J,CANSLIM!I8,FALSE), "-")</f>
        <v>-</v>
      </c>
    </row>
    <row r="35" spans="1:21" x14ac:dyDescent="0.25">
      <c r="A35" s="39"/>
      <c r="B35" s="37"/>
      <c r="C35" s="34"/>
      <c r="D35" s="34"/>
      <c r="E35" s="34"/>
      <c r="F35" s="34" t="str">
        <f>IFERROR(IF(F34=0,"-",(F34-B34)/B34),"-")</f>
        <v>-</v>
      </c>
      <c r="G35" s="34" t="str">
        <f>IFERROR(IF(G34=0,"-",(G34-C34)/C34),"-")</f>
        <v>-</v>
      </c>
      <c r="H35" s="34" t="str">
        <f>IFERROR(IF(H34=0,"-",(H34-D34)/D34),"-")</f>
        <v>-</v>
      </c>
      <c r="I35" s="34" t="str">
        <f>IFERROR(IF(I34=0,"-",(I34-E34)/E34),"-")</f>
        <v>-</v>
      </c>
    </row>
    <row r="36" spans="1:21" s="27" customFormat="1" x14ac:dyDescent="0.25">
      <c r="A36" s="41" t="s">
        <v>2928</v>
      </c>
      <c r="B36" s="32">
        <f>IFERROR(VLOOKUP($A$36,PL_BCTC!$B:$J,CANSLIM!B8,FALSE), "-")</f>
        <v>754213278856</v>
      </c>
      <c r="C36" s="33">
        <f>IFERROR(VLOOKUP($A$36,PL_BCTC!$B:$J,CANSLIM!C8,FALSE), "-")</f>
        <v>874067430178</v>
      </c>
      <c r="D36" s="33">
        <f>IFERROR(VLOOKUP($A$36,PL_BCTC!$B:$J,CANSLIM!D8,FALSE), "-")</f>
        <v>1002791184667</v>
      </c>
      <c r="E36" s="33">
        <f>IFERROR(VLOOKUP($A$36,PL_BCTC!$B:$J,CANSLIM!E8,FALSE), "-")</f>
        <v>1688544035347</v>
      </c>
      <c r="F36" s="33">
        <f>IFERROR(VLOOKUP($A$36,PL_BCTC!$B:$J,CANSLIM!F8,FALSE), "-")</f>
        <v>1696732735287</v>
      </c>
      <c r="G36" s="33">
        <f>IFERROR(VLOOKUP($A$36,PL_BCTC!$B:$J,CANSLIM!G8,FALSE), "-")</f>
        <v>1813765731968</v>
      </c>
      <c r="H36" s="33">
        <f>IFERROR(VLOOKUP($A$36,PL_BCTC!$B:$J,CANSLIM!H8,FALSE), "-")</f>
        <v>3564479045264</v>
      </c>
      <c r="I36" s="43">
        <f>IFERROR(VLOOKUP($A$36,PL_BCTC!$B:$J,CANSLIM!I8,FALSE), "-")</f>
        <v>4938908834559</v>
      </c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</row>
    <row r="37" spans="1:21" x14ac:dyDescent="0.25">
      <c r="A37" s="39"/>
      <c r="B37" s="34" t="str">
        <f>IFERROR(IF(LEFT(A9,5)=LEFT(B9,5),(B36-A36)/A36,(B36-#REF!)/#REF!),"-")</f>
        <v>-</v>
      </c>
      <c r="C37" s="34">
        <f>IFERROR(IF(LEFT(B9,5)=LEFT(C9,5),(C36-B36)/B36,(C36-#REF!)/#REF!),"-")</f>
        <v>0.15891280978743341</v>
      </c>
      <c r="D37" s="34">
        <f>IFERROR(IF(LEFT(C9,5)=LEFT(D9,5),(D36-C36)/C36,(D36-#REF!)/#REF!),"-")</f>
        <v>0.14726982157747942</v>
      </c>
      <c r="E37" s="34">
        <f t="shared" ref="E37:H37" si="13">IFERROR(IF(LEFT(D9,5)=LEFT(E9,5),(E36-D36)/D36,(E36-A36)/A36),"-")</f>
        <v>0.68384411547028112</v>
      </c>
      <c r="F37" s="34">
        <f t="shared" si="13"/>
        <v>4.8495625631209561E-3</v>
      </c>
      <c r="G37" s="34">
        <f t="shared" si="13"/>
        <v>6.8975504654953237E-2</v>
      </c>
      <c r="H37" s="34">
        <f t="shared" si="13"/>
        <v>0.96523673506413321</v>
      </c>
      <c r="I37" s="34">
        <f>IFERROR(IF(LEFT(H9,5)=LEFT(I9,5),(I36-H36)/H36,(I36-E36)/E36),"-")</f>
        <v>1.9249511597984721</v>
      </c>
    </row>
    <row r="38" spans="1:21" s="27" customFormat="1" x14ac:dyDescent="0.25">
      <c r="A38" s="41" t="s">
        <v>2925</v>
      </c>
      <c r="B38" s="32">
        <f>IFERROR(VLOOKUP($A$38,CF_BCTC!$B:$J,CANSLIM!B8,FALSE), "-")</f>
        <v>-19644180428726</v>
      </c>
      <c r="C38" s="33">
        <f>IFERROR(VLOOKUP($A$38,CF_BCTC!$B:$J,CANSLIM!C8,FALSE), "-")</f>
        <v>-521056548004151</v>
      </c>
      <c r="D38" s="33">
        <f>IFERROR(VLOOKUP($A$38,CF_BCTC!$B:$J,CANSLIM!D8,FALSE), "-")</f>
        <v>-368835197656291</v>
      </c>
      <c r="E38" s="33">
        <f>IFERROR(VLOOKUP($A$38,CF_BCTC!$B:$J,CANSLIM!E8,FALSE), "-")</f>
        <v>-305363228734710</v>
      </c>
      <c r="F38" s="33">
        <f>IFERROR(VLOOKUP($A$38,CF_BCTC!$B:$J,CANSLIM!F8,FALSE), "-")</f>
        <v>-415370709925905</v>
      </c>
      <c r="G38" s="33">
        <f>IFERROR(VLOOKUP($A$38,CF_BCTC!$B:$J,CANSLIM!G8,FALSE), "-")</f>
        <v>0</v>
      </c>
      <c r="H38" s="33">
        <f>IFERROR(VLOOKUP($A$38,CF_BCTC!$B:$J,CANSLIM!H8,FALSE), "-")</f>
        <v>0</v>
      </c>
      <c r="I38" s="43">
        <f>IFERROR(VLOOKUP($A$38,CF_BCTC!$B:$J,CANSLIM!I8,FALSE), "-")</f>
        <v>0</v>
      </c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</row>
    <row r="39" spans="1:21" x14ac:dyDescent="0.25">
      <c r="A39" s="39"/>
      <c r="B39" s="34" t="str">
        <f>IFERROR(IF(LEFT(A9,5)=LEFT(B9,5),(B38-A38)/A38,(B38-#REF!)/#REF!),"-")</f>
        <v>-</v>
      </c>
      <c r="C39" s="34">
        <f>IFERROR(IF(LEFT(B9,5)=LEFT(C9,5),(C38-B38)/B38,(C38-#REF!)/#REF!),"-")</f>
        <v>25.524728272308153</v>
      </c>
      <c r="D39" s="34">
        <f>IFERROR(IF(LEFT(C9,5)=LEFT(D9,5),(D38-C38)/C38,(D38-#REF!)/#REF!),"-")</f>
        <v>-0.29213978968487569</v>
      </c>
      <c r="E39" s="34">
        <f t="shared" ref="E39:H39" si="14">IFERROR(IF(LEFT(D9,5)=LEFT(E9,5),(E38-D38)/D38,(E38-A38)/A38),"-")</f>
        <v>-0.17208761345149348</v>
      </c>
      <c r="F39" s="34">
        <f t="shared" si="14"/>
        <v>0.36025123799947129</v>
      </c>
      <c r="G39" s="34">
        <f t="shared" si="14"/>
        <v>-1</v>
      </c>
      <c r="H39" s="34" t="str">
        <f t="shared" si="14"/>
        <v>-</v>
      </c>
      <c r="I39" s="34">
        <f>IFERROR(IF(LEFT(H9,5)=LEFT(I9,5),(I38-H38)/H38,(I38-E38)/E38),"-")</f>
        <v>-1</v>
      </c>
    </row>
    <row r="40" spans="1:21" s="27" customFormat="1" x14ac:dyDescent="0.25">
      <c r="A40" s="41" t="s">
        <v>124</v>
      </c>
      <c r="B40" s="32" t="str">
        <f>IFERROR(VLOOKUP($A$40, PL_BCTC!$B:$J, B8, FALSE), "-")</f>
        <v>-</v>
      </c>
      <c r="C40" s="33" t="str">
        <f>IFERROR(VLOOKUP($A$40, PL_BCTC!$B:$J, C8, FALSE), "-")</f>
        <v>-</v>
      </c>
      <c r="D40" s="33" t="str">
        <f>IFERROR(VLOOKUP($A$40, PL_BCTC!$B:$J, D8, FALSE), "-")</f>
        <v>-</v>
      </c>
      <c r="E40" s="33" t="str">
        <f>IFERROR(VLOOKUP($A$40, PL_BCTC!$B:$J, E8, FALSE), "-")</f>
        <v>-</v>
      </c>
      <c r="F40" s="33" t="str">
        <f>IFERROR(VLOOKUP($A$40, PL_BCTC!$B:$J, F8, FALSE), "-")</f>
        <v>-</v>
      </c>
      <c r="G40" s="33" t="str">
        <f>IFERROR(VLOOKUP($A$40, PL_BCTC!$B:$J, G8, FALSE), "-")</f>
        <v>-</v>
      </c>
      <c r="H40" s="33" t="str">
        <f>IFERROR(VLOOKUP($A$40, PL_BCTC!$B:$J, H8, FALSE), "-")</f>
        <v>-</v>
      </c>
      <c r="I40" s="43" t="str">
        <f>IFERROR(VLOOKUP($A$40, PL_BCTC!$B:$J, I8, FALSE), "-")</f>
        <v>-</v>
      </c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</row>
    <row r="41" spans="1:21" x14ac:dyDescent="0.25">
      <c r="A41" s="39"/>
      <c r="B41" s="34" t="str">
        <f>IFERROR(IF(LEFT(A9,5)=LEFT(B9,5),(B40-A40)/A40,(B40-#REF!)/#REF!),"-")</f>
        <v>-</v>
      </c>
      <c r="C41" s="34" t="str">
        <f>IFERROR(IF(LEFT(B9,5)=LEFT(C9,5),(C40-B40)/B40,(C40-#REF!)/#REF!),"-")</f>
        <v>-</v>
      </c>
      <c r="D41" s="34" t="str">
        <f>IFERROR(IF(LEFT(C9,5)=LEFT(D9,5),(D40-C40)/C40,(D40-#REF!)/#REF!),"-")</f>
        <v>-</v>
      </c>
      <c r="E41" s="34" t="str">
        <f t="shared" ref="E41:H41" si="15">IFERROR(IF(LEFT(D9,5)=LEFT(E9,5),(E40-D40)/D40,(E40-A40)/A40),"-")</f>
        <v>-</v>
      </c>
      <c r="F41" s="34" t="str">
        <f t="shared" si="15"/>
        <v>-</v>
      </c>
      <c r="G41" s="34" t="str">
        <f t="shared" si="15"/>
        <v>-</v>
      </c>
      <c r="H41" s="34" t="str">
        <f t="shared" si="15"/>
        <v>-</v>
      </c>
      <c r="I41" s="34" t="str">
        <f>IFERROR(IF(LEFT(H9,5)=LEFT(I9,5),(I40-H40)/H40,(I40-E40)/E40),"-")</f>
        <v>-</v>
      </c>
    </row>
    <row r="42" spans="1:21" x14ac:dyDescent="0.25">
      <c r="A42" s="41" t="s">
        <v>2926</v>
      </c>
      <c r="B42" s="32" t="str">
        <f>IFERROR(VLOOKUP($A$42,CF_BCTC!$B:$J,CANSLIM!B8,FALSE), "-")</f>
        <v>-</v>
      </c>
      <c r="C42" s="33" t="str">
        <f>IFERROR(VLOOKUP($A$42,CF_BCTC!$B:$J,CANSLIM!C8,FALSE), "-")</f>
        <v>-</v>
      </c>
      <c r="D42" s="33" t="str">
        <f>IFERROR(VLOOKUP($A$42,CF_BCTC!$B:$J,CANSLIM!D8,FALSE), "-")</f>
        <v>-</v>
      </c>
      <c r="E42" s="33" t="str">
        <f>IFERROR(VLOOKUP($A$42,CF_BCTC!$B:$J,CANSLIM!E8,FALSE), "-")</f>
        <v>-</v>
      </c>
      <c r="F42" s="33" t="str">
        <f>IFERROR(VLOOKUP($A$42,CF_BCTC!$B:$J,CANSLIM!F8,FALSE), "-")</f>
        <v>-</v>
      </c>
      <c r="G42" s="33" t="str">
        <f>IFERROR(VLOOKUP($A$42,CF_BCTC!$B:$J,CANSLIM!G8,FALSE), "-")</f>
        <v>-</v>
      </c>
      <c r="H42" s="33" t="str">
        <f>IFERROR(VLOOKUP($A$42,CF_BCTC!$B:$J,CANSLIM!H8,FALSE), "-")</f>
        <v>-</v>
      </c>
      <c r="I42" s="43" t="str">
        <f>IFERROR(VLOOKUP($A$42,CF_BCTC!$B:$J,CANSLIM!I8,FALSE), "-")</f>
        <v>-</v>
      </c>
    </row>
    <row r="43" spans="1:21" x14ac:dyDescent="0.25">
      <c r="A43" s="39"/>
      <c r="B43" s="34" t="str">
        <f>IFERROR(IF(LEFT(A9,5)=LEFT(B9,5),(B42-A42)/A42,(B42-#REF!)/#REF!),"-")</f>
        <v>-</v>
      </c>
      <c r="C43" s="34" t="str">
        <f>IFERROR(IF(LEFT(B9,5)=LEFT(C9,5),(C42-B42)/B42,(C42-#REF!)/#REF!),"-")</f>
        <v>-</v>
      </c>
      <c r="D43" s="34" t="str">
        <f>IFERROR(IF(LEFT(C9,5)=LEFT(D9,5),(D42-C42)/C42,(D42-#REF!)/#REF!),"-")</f>
        <v>-</v>
      </c>
      <c r="E43" s="34" t="str">
        <f t="shared" ref="E43:H43" si="16">IFERROR(IF(LEFT(D9,5)=LEFT(E9,5),(E42-D42)/D42,(E42-A42)/A42),"-")</f>
        <v>-</v>
      </c>
      <c r="F43" s="34" t="str">
        <f t="shared" si="16"/>
        <v>-</v>
      </c>
      <c r="G43" s="34" t="str">
        <f t="shared" si="16"/>
        <v>-</v>
      </c>
      <c r="H43" s="34" t="str">
        <f t="shared" si="16"/>
        <v>-</v>
      </c>
      <c r="I43" s="34" t="str">
        <f>IFERROR(IF(LEFT(H9,5)=LEFT(I9,5),(I42-H42)/H42,(I42-E42)/E42),"-")</f>
        <v>-</v>
      </c>
    </row>
    <row r="44" spans="1:21" x14ac:dyDescent="0.25">
      <c r="A44" s="41" t="s">
        <v>2927</v>
      </c>
      <c r="B44" s="32">
        <f>VLOOKUP($A$44,PL_BCTC!$B:$J,CANSLIM!B8,FALSE)</f>
        <v>3783</v>
      </c>
      <c r="C44" s="33">
        <f>VLOOKUP($A$44,PL_BCTC!$B:$J,CANSLIM!C8,FALSE)</f>
        <v>3776</v>
      </c>
      <c r="D44" s="33">
        <f>VLOOKUP($A$44,PL_BCTC!$B:$J,CANSLIM!D8,FALSE)</f>
        <v>4362</v>
      </c>
      <c r="E44" s="33">
        <f>VLOOKUP($A$44,PL_BCTC!$B:$J,CANSLIM!E8,FALSE)</f>
        <v>6227</v>
      </c>
      <c r="F44" s="33">
        <f>VLOOKUP($A$44,PL_BCTC!$B:$J,CANSLIM!F8,FALSE)</f>
        <v>2065</v>
      </c>
      <c r="G44" s="33">
        <f>VLOOKUP($A$44,PL_BCTC!$B:$J,CANSLIM!G8,FALSE)</f>
        <v>1626</v>
      </c>
      <c r="H44" s="33">
        <f>VLOOKUP($A$44,PL_BCTC!$B:$J,CANSLIM!H8,FALSE)</f>
        <v>5934</v>
      </c>
      <c r="I44" s="43">
        <f>VLOOKUP($A$44,PL_BCTC!$B:$J,CANSLIM!I8,FALSE)</f>
        <v>2742</v>
      </c>
    </row>
    <row r="45" spans="1:21" x14ac:dyDescent="0.25">
      <c r="A45" s="40"/>
      <c r="B45" s="34" t="str">
        <f>IFERROR(IF(LEFT(A9,5)=LEFT(B9,5),(B44-A44)/A44,(B44-#REF!)/#REF!),"-")</f>
        <v>-</v>
      </c>
      <c r="C45" s="34">
        <f>IFERROR(IF(LEFT(B9,5)=LEFT(C9,5),(C44-B44)/B44,(C44-#REF!)/#REF!),"-")</f>
        <v>-1.8503832936822627E-3</v>
      </c>
      <c r="D45" s="34">
        <f>IFERROR(IF(LEFT(C9,5)=LEFT(D9,5),(D44-C44)/C44,(D44-#REF!)/#REF!),"-")</f>
        <v>0.1551906779661017</v>
      </c>
      <c r="E45" s="34">
        <f t="shared" ref="E45:H45" si="17">IFERROR(IF(LEFT(D9,5)=LEFT(E9,5),(E44-D44)/D44,(E44-A44)/A44),"-")</f>
        <v>0.4275561668959193</v>
      </c>
      <c r="F45" s="34">
        <f t="shared" si="17"/>
        <v>-0.66837963706439696</v>
      </c>
      <c r="G45" s="34">
        <f t="shared" si="17"/>
        <v>-0.21259079903147698</v>
      </c>
      <c r="H45" s="34">
        <f t="shared" si="17"/>
        <v>2.6494464944649447</v>
      </c>
      <c r="I45" s="34">
        <f>IFERROR(IF(LEFT(H9,5)=LEFT(I9,5),(I44-H44)/H44,(I44-E44)/E44),"-")</f>
        <v>-0.55965954713345112</v>
      </c>
    </row>
  </sheetData>
  <mergeCells count="2">
    <mergeCell ref="B2:C2"/>
    <mergeCell ref="A1:C1"/>
  </mergeCells>
  <phoneticPr fontId="22" type="noConversion"/>
  <pageMargins left="0.7" right="0.7" top="0.75" bottom="0.75" header="0.3" footer="0.3"/>
  <pageSetup scale="46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E631E-6EFC-4232-AF8A-017EB216B2B5}">
  <sheetPr codeName="Sheet32">
    <tabColor rgb="FFD000B7"/>
  </sheetPr>
  <dimension ref="A3:E6"/>
  <sheetViews>
    <sheetView workbookViewId="0">
      <selection activeCell="V35" sqref="V35"/>
    </sheetView>
  </sheetViews>
  <sheetFormatPr defaultRowHeight="15" x14ac:dyDescent="0.2"/>
  <sheetData>
    <row r="3" spans="1:5" ht="15.75" x14ac:dyDescent="0.25">
      <c r="A3" s="212" t="str">
        <f>CANSLIM!A1</f>
        <v>CÔNG TY CỔ PHẦN CHỨNG KHOÁN VPS</v>
      </c>
      <c r="B3" s="213"/>
      <c r="C3" s="213"/>
      <c r="D3" s="213"/>
      <c r="E3" s="213"/>
    </row>
    <row r="4" spans="1:5" ht="15.75" x14ac:dyDescent="0.25">
      <c r="A4" s="214" t="str">
        <f>CANSLIM!A2</f>
        <v>NGÀNH NGHỀ</v>
      </c>
      <c r="B4" s="215"/>
      <c r="C4" s="216" t="str">
        <f>CANSLIM!B2</f>
        <v>MÔI GIỚI CHỨNG KHOÁN</v>
      </c>
      <c r="D4" s="217"/>
      <c r="E4" s="215"/>
    </row>
    <row r="5" spans="1:5" ht="15.75" x14ac:dyDescent="0.25">
      <c r="A5" s="214" t="str">
        <f>CANSLIM!D1</f>
        <v>MÃ CHỨNG KHOÁN</v>
      </c>
      <c r="B5" s="215"/>
      <c r="C5" s="218" t="str">
        <f>CANSLIM!E1</f>
        <v>VCK</v>
      </c>
      <c r="D5" s="219"/>
      <c r="E5" s="220"/>
    </row>
    <row r="6" spans="1:5" ht="15.75" x14ac:dyDescent="0.25">
      <c r="A6" s="214" t="str">
        <f>CANSLIM!D2</f>
        <v>YEAR</v>
      </c>
      <c r="B6" s="217"/>
      <c r="C6" s="214">
        <f>CANSLIM!E2</f>
        <v>2025</v>
      </c>
      <c r="D6" s="217"/>
      <c r="E6" s="21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17894-B322-463B-8EA0-AB0D4DAA1056}">
  <sheetPr codeName="Sheet23">
    <tabColor rgb="FF00E266"/>
  </sheetPr>
  <dimension ref="A1:BD2327"/>
  <sheetViews>
    <sheetView tabSelected="1" zoomScaleNormal="100" workbookViewId="0">
      <selection activeCell="M39" sqref="M39"/>
    </sheetView>
  </sheetViews>
  <sheetFormatPr defaultColWidth="9" defaultRowHeight="15" x14ac:dyDescent="0.2"/>
  <cols>
    <col min="1" max="1" width="10.6640625" style="81" customWidth="1"/>
    <col min="2" max="2" width="9.5546875" style="81" customWidth="1"/>
    <col min="3" max="6" width="9" style="81"/>
    <col min="7" max="7" width="9" style="81" customWidth="1"/>
    <col min="8" max="8" width="7.44140625" style="81" customWidth="1"/>
    <col min="9" max="10" width="9" style="81"/>
    <col min="11" max="11" width="8.33203125" style="81" customWidth="1"/>
    <col min="12" max="12" width="10.33203125" style="81" bestFit="1" customWidth="1"/>
    <col min="13" max="14" width="9" style="81"/>
    <col min="15" max="15" width="9.5546875" style="81" customWidth="1"/>
    <col min="16" max="16" width="12.6640625" style="81" customWidth="1"/>
    <col min="17" max="17" width="11.33203125" style="81" customWidth="1"/>
    <col min="18" max="18" width="13" style="81" customWidth="1"/>
    <col min="19" max="20" width="11.44140625" style="81" customWidth="1"/>
    <col min="21" max="21" width="8.88671875" style="81" customWidth="1"/>
    <col min="22" max="28" width="10.88671875" customWidth="1"/>
    <col min="29" max="31" width="8.88671875" customWidth="1"/>
    <col min="32" max="32" width="10.109375" customWidth="1"/>
    <col min="33" max="45" width="8.88671875" customWidth="1"/>
    <col min="46" max="16384" width="9" style="81"/>
  </cols>
  <sheetData>
    <row r="1" spans="1:56" ht="15.75" customHeight="1" x14ac:dyDescent="0.25">
      <c r="A1" s="286" t="s">
        <v>3690</v>
      </c>
      <c r="B1" s="286"/>
      <c r="C1" s="286"/>
      <c r="D1" s="286"/>
      <c r="E1" s="286"/>
      <c r="F1" s="286"/>
      <c r="G1" s="286"/>
      <c r="H1" s="286"/>
      <c r="I1" s="179"/>
      <c r="J1" s="179"/>
      <c r="K1" s="179"/>
      <c r="L1" s="285">
        <f ca="1">$X$1</f>
        <v>46217</v>
      </c>
      <c r="M1" s="285"/>
      <c r="N1" s="285"/>
      <c r="O1" s="134">
        <f t="array" ref="O1:Q3">VN30F!C3:E5</f>
        <v>0</v>
      </c>
      <c r="P1" s="134" t="str">
        <v>Tây</v>
      </c>
      <c r="Q1" s="192" t="str">
        <v>Tự Doanh</v>
      </c>
      <c r="R1" s="192" t="str" cm="1">
        <f t="array" ref="R1:T1">VN30F!J7:L7</f>
        <v>Chênh Lệch 
ta/tây</v>
      </c>
      <c r="S1" s="192" t="str">
        <v>Bên thứ 3</v>
      </c>
      <c r="T1" s="192" t="str">
        <v>Tổng Mở OI</v>
      </c>
      <c r="U1" s="90"/>
      <c r="W1" s="140">
        <f ca="1">X1-32</f>
        <v>46185</v>
      </c>
      <c r="X1" s="140">
        <f ca="1">TODAY()</f>
        <v>46217</v>
      </c>
      <c r="AT1"/>
      <c r="AU1"/>
      <c r="AV1"/>
      <c r="AW1"/>
      <c r="AX1"/>
      <c r="AY1"/>
      <c r="AZ1"/>
      <c r="BA1"/>
      <c r="BB1"/>
      <c r="BC1"/>
      <c r="BD1"/>
    </row>
    <row r="2" spans="1:56" ht="15.75" customHeight="1" x14ac:dyDescent="0.25">
      <c r="A2" s="286"/>
      <c r="B2" s="286"/>
      <c r="C2" s="286"/>
      <c r="D2" s="286"/>
      <c r="E2" s="286"/>
      <c r="F2" s="286"/>
      <c r="G2" s="286"/>
      <c r="H2" s="286"/>
      <c r="I2" s="179"/>
      <c r="J2" s="179"/>
      <c r="K2" s="179"/>
      <c r="L2" s="285"/>
      <c r="M2" s="285"/>
      <c r="N2" s="285"/>
      <c r="O2" s="134" t="str">
        <v>F1M</v>
      </c>
      <c r="P2" s="134">
        <v>0</v>
      </c>
      <c r="Q2" s="192">
        <v>0</v>
      </c>
      <c r="R2" s="193" cm="1">
        <f t="array" ref="R2:T3">VN30F!J9:L10</f>
        <v>0</v>
      </c>
      <c r="S2" s="192">
        <v>0</v>
      </c>
      <c r="T2" s="192">
        <v>0</v>
      </c>
      <c r="U2" s="90"/>
      <c r="W2" s="140"/>
      <c r="X2" s="140"/>
      <c r="AT2"/>
      <c r="AU2"/>
      <c r="AV2"/>
      <c r="AW2"/>
      <c r="AX2"/>
      <c r="AY2"/>
      <c r="AZ2"/>
      <c r="BA2"/>
      <c r="BB2"/>
      <c r="BC2"/>
      <c r="BD2"/>
    </row>
    <row r="3" spans="1:56" ht="15.75" customHeight="1" x14ac:dyDescent="0.25">
      <c r="A3" s="286"/>
      <c r="B3" s="286"/>
      <c r="C3" s="286"/>
      <c r="D3" s="286"/>
      <c r="E3" s="286"/>
      <c r="F3" s="286"/>
      <c r="G3" s="286"/>
      <c r="H3" s="286"/>
      <c r="I3" s="179"/>
      <c r="J3" s="179"/>
      <c r="K3" s="179"/>
      <c r="L3" s="285"/>
      <c r="M3" s="285"/>
      <c r="N3" s="285"/>
      <c r="O3" s="134" t="str">
        <v>F2M</v>
      </c>
      <c r="P3" s="134">
        <v>0</v>
      </c>
      <c r="Q3" s="192">
        <v>0</v>
      </c>
      <c r="R3" s="192">
        <v>0</v>
      </c>
      <c r="S3" s="192">
        <v>0</v>
      </c>
      <c r="T3" s="192">
        <v>0</v>
      </c>
      <c r="U3" s="90"/>
      <c r="X3" s="140"/>
      <c r="AT3"/>
      <c r="AU3"/>
      <c r="AV3"/>
      <c r="AW3"/>
      <c r="AX3"/>
      <c r="AY3"/>
      <c r="AZ3"/>
      <c r="BA3"/>
      <c r="BB3"/>
      <c r="BC3"/>
      <c r="BD3"/>
    </row>
    <row r="4" spans="1:56" ht="15.75" customHeight="1" x14ac:dyDescent="0.25">
      <c r="A4" s="184"/>
      <c r="B4" s="184"/>
      <c r="C4" s="184"/>
      <c r="D4" s="184"/>
      <c r="E4" s="184"/>
      <c r="F4" s="184"/>
      <c r="G4" s="184"/>
      <c r="H4" s="184"/>
      <c r="I4" s="184"/>
      <c r="J4" s="184"/>
      <c r="K4" s="184"/>
      <c r="L4" s="185"/>
      <c r="M4" s="185"/>
      <c r="N4" s="185"/>
      <c r="O4" s="179"/>
      <c r="P4" s="188"/>
      <c r="Q4" s="189"/>
      <c r="R4" s="90"/>
      <c r="S4" s="90"/>
      <c r="T4" s="90"/>
      <c r="U4" s="90"/>
      <c r="X4" s="140"/>
      <c r="AT4"/>
      <c r="AU4"/>
      <c r="AV4"/>
      <c r="AW4"/>
      <c r="AX4"/>
      <c r="AY4"/>
      <c r="AZ4"/>
      <c r="BA4"/>
      <c r="BB4"/>
      <c r="BC4"/>
      <c r="BD4"/>
    </row>
    <row r="5" spans="1:56" x14ac:dyDescent="0.2">
      <c r="A5" s="92"/>
      <c r="B5" s="93"/>
      <c r="C5" s="93"/>
      <c r="D5" s="93"/>
      <c r="E5" s="93"/>
      <c r="F5" s="93"/>
      <c r="G5" s="93"/>
      <c r="H5" s="93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0"/>
      <c r="AT5"/>
      <c r="AU5"/>
      <c r="AV5"/>
      <c r="AW5"/>
      <c r="AX5"/>
      <c r="AY5"/>
      <c r="AZ5"/>
      <c r="BA5"/>
      <c r="BB5"/>
      <c r="BC5"/>
      <c r="BD5"/>
    </row>
    <row r="6" spans="1:56" x14ac:dyDescent="0.2">
      <c r="A6" s="92"/>
      <c r="B6" s="93"/>
      <c r="C6" s="93"/>
      <c r="D6" s="93"/>
      <c r="E6" s="93"/>
      <c r="F6" s="93"/>
      <c r="G6" s="93"/>
      <c r="H6" s="93"/>
      <c r="I6" s="90"/>
      <c r="J6" s="90"/>
      <c r="K6" s="90"/>
      <c r="L6" s="90"/>
      <c r="M6" s="90"/>
      <c r="N6" s="90"/>
      <c r="O6" s="90"/>
      <c r="P6" s="90"/>
      <c r="Q6" s="90"/>
      <c r="R6" s="175"/>
      <c r="S6" s="90"/>
      <c r="T6" s="90"/>
      <c r="U6" s="90"/>
      <c r="W6" s="140" t="str" cm="1">
        <f t="array" aca="1" ref="W6:AE27" ca="1">laisuat_vietstock(W1,X1)</f>
        <v>ReportTime</v>
      </c>
      <c r="X6" t="str">
        <f ca="1"/>
        <v xml:space="preserve"> 1 tháng </v>
      </c>
      <c r="Y6" t="str">
        <f ca="1"/>
        <v xml:space="preserve"> 1 tuần </v>
      </c>
      <c r="Z6" t="str">
        <f ca="1"/>
        <v xml:space="preserve"> 12 tháng  </v>
      </c>
      <c r="AA6" t="str">
        <f ca="1"/>
        <v xml:space="preserve"> 2 tuần </v>
      </c>
      <c r="AB6" t="str">
        <f ca="1"/>
        <v xml:space="preserve"> 3 tháng  </v>
      </c>
      <c r="AC6" t="str">
        <f ca="1"/>
        <v xml:space="preserve"> 6 tháng  </v>
      </c>
      <c r="AD6" t="str">
        <f ca="1"/>
        <v>9 tháng</v>
      </c>
      <c r="AE6" t="str">
        <f ca="1"/>
        <v>Qua đêm</v>
      </c>
      <c r="AF6" t="str" cm="1">
        <f t="array" aca="1" ref="AF6:AH33" ca="1">tygia_vietstock(W1,X1)</f>
        <v>ReportTime</v>
      </c>
      <c r="AG6" t="str">
        <f ca="1"/>
        <v>Liên ngân hàng</v>
      </c>
      <c r="AH6" t="str">
        <f ca="1"/>
        <v>Tỷ giá trung tâm (từ 04/01/2016)</v>
      </c>
      <c r="AT6"/>
      <c r="AU6"/>
      <c r="AV6"/>
      <c r="AW6"/>
      <c r="AX6"/>
      <c r="AY6"/>
      <c r="AZ6"/>
      <c r="BA6"/>
      <c r="BB6"/>
      <c r="BC6"/>
      <c r="BD6"/>
    </row>
    <row r="7" spans="1:56" x14ac:dyDescent="0.2">
      <c r="A7" s="88"/>
      <c r="B7" s="89"/>
      <c r="C7" s="89"/>
      <c r="D7" s="89"/>
      <c r="E7" s="89"/>
      <c r="F7" s="89"/>
      <c r="G7" s="89"/>
      <c r="H7" s="89"/>
      <c r="I7" s="90"/>
      <c r="J7" s="90"/>
      <c r="K7" s="90"/>
      <c r="L7" s="90"/>
      <c r="M7" s="90"/>
      <c r="N7" s="90"/>
      <c r="O7" s="90"/>
      <c r="P7" s="90"/>
      <c r="Q7" s="90"/>
      <c r="R7" s="175"/>
      <c r="S7" s="90"/>
      <c r="T7" s="90"/>
      <c r="U7" s="90"/>
      <c r="W7" s="140">
        <f ca="1"/>
        <v>46213</v>
      </c>
      <c r="X7" s="148">
        <f ca="1"/>
        <v>6.5000000000000002E-2</v>
      </c>
      <c r="Y7" s="148">
        <f ca="1"/>
        <v>4.9200000000000001E-2</v>
      </c>
      <c r="Z7" s="148" t="str">
        <f ca="1"/>
        <v/>
      </c>
      <c r="AA7" s="148">
        <f ca="1"/>
        <v>5.5E-2</v>
      </c>
      <c r="AB7" s="148">
        <f ca="1"/>
        <v>7.1800000000000003E-2</v>
      </c>
      <c r="AC7" s="148">
        <f ca="1"/>
        <v>7.2000000000000008E-2</v>
      </c>
      <c r="AD7" s="148">
        <f ca="1"/>
        <v>9.2600000000000002E-2</v>
      </c>
      <c r="AE7">
        <f ca="1"/>
        <v>4.2800000000000005E-2</v>
      </c>
      <c r="AF7" s="140">
        <f ca="1"/>
        <v>46217</v>
      </c>
      <c r="AG7" t="str">
        <f ca="1"/>
        <v/>
      </c>
      <c r="AH7" s="23">
        <f ca="1"/>
        <v>25225</v>
      </c>
      <c r="AT7"/>
      <c r="AU7"/>
      <c r="AV7"/>
      <c r="AW7"/>
      <c r="AX7"/>
      <c r="AY7"/>
      <c r="AZ7"/>
      <c r="BA7"/>
      <c r="BB7"/>
      <c r="BC7"/>
      <c r="BD7"/>
    </row>
    <row r="8" spans="1:56" x14ac:dyDescent="0.2">
      <c r="A8" s="88"/>
      <c r="B8" s="89"/>
      <c r="C8" s="89"/>
      <c r="D8" s="89"/>
      <c r="E8" s="89"/>
      <c r="F8" s="89"/>
      <c r="G8" s="89"/>
      <c r="H8" s="89"/>
      <c r="I8" s="90"/>
      <c r="J8" s="90"/>
      <c r="K8" s="90"/>
      <c r="L8" s="90"/>
      <c r="M8" s="90"/>
      <c r="N8" s="90"/>
      <c r="O8" s="90"/>
      <c r="P8" s="90"/>
      <c r="Q8" s="90"/>
      <c r="R8" s="175"/>
      <c r="S8" s="90"/>
      <c r="T8" s="90"/>
      <c r="U8" s="90"/>
      <c r="W8" s="140">
        <f ca="1"/>
        <v>46212</v>
      </c>
      <c r="X8" s="148">
        <f ca="1"/>
        <v>7.4299999999999991E-2</v>
      </c>
      <c r="Y8" s="148">
        <f ca="1"/>
        <v>5.2300000000000006E-2</v>
      </c>
      <c r="Z8" s="148" t="str">
        <f ca="1"/>
        <v/>
      </c>
      <c r="AA8" s="148">
        <f ca="1"/>
        <v>6.0400000000000002E-2</v>
      </c>
      <c r="AB8" s="148">
        <f ca="1"/>
        <v>7.8E-2</v>
      </c>
      <c r="AC8" s="148">
        <f ca="1"/>
        <v>8.6400000000000005E-2</v>
      </c>
      <c r="AD8" s="148">
        <f ca="1"/>
        <v>9.2600000000000002E-2</v>
      </c>
      <c r="AE8">
        <f ca="1"/>
        <v>4.6799999999999994E-2</v>
      </c>
      <c r="AF8" s="140">
        <f ca="1"/>
        <v>46216</v>
      </c>
      <c r="AG8" t="str">
        <f ca="1"/>
        <v/>
      </c>
      <c r="AH8" s="23">
        <f ca="1"/>
        <v>25220</v>
      </c>
      <c r="AT8"/>
      <c r="AU8"/>
      <c r="AV8"/>
      <c r="AW8"/>
      <c r="AX8"/>
      <c r="AY8"/>
      <c r="AZ8"/>
      <c r="BA8"/>
      <c r="BB8"/>
      <c r="BC8"/>
      <c r="BD8"/>
    </row>
    <row r="9" spans="1:56" x14ac:dyDescent="0.2">
      <c r="A9" s="88"/>
      <c r="B9" s="89"/>
      <c r="C9" s="89"/>
      <c r="D9" s="89"/>
      <c r="E9" s="89"/>
      <c r="F9" s="89"/>
      <c r="G9" s="89"/>
      <c r="H9" s="89"/>
      <c r="I9" s="90"/>
      <c r="J9" s="90"/>
      <c r="K9" s="90"/>
      <c r="L9" s="90"/>
      <c r="M9" s="90"/>
      <c r="N9" s="90"/>
      <c r="O9" s="90"/>
      <c r="P9" s="90"/>
      <c r="Q9" s="90"/>
      <c r="R9" s="90"/>
      <c r="S9" s="90"/>
      <c r="T9" s="90"/>
      <c r="U9" s="90"/>
      <c r="W9" s="140">
        <f ca="1"/>
        <v>46211</v>
      </c>
      <c r="X9" s="148">
        <f ca="1"/>
        <v>7.5600000000000001E-2</v>
      </c>
      <c r="Y9" s="148">
        <f ca="1"/>
        <v>0.06</v>
      </c>
      <c r="Z9" s="148" t="str">
        <f ca="1"/>
        <v/>
      </c>
      <c r="AA9" s="148">
        <f ca="1"/>
        <v>6.7099999999999993E-2</v>
      </c>
      <c r="AB9" s="148">
        <f ca="1"/>
        <v>7.7899999999999997E-2</v>
      </c>
      <c r="AC9" s="148">
        <f ca="1"/>
        <v>8.7100000000000011E-2</v>
      </c>
      <c r="AD9" s="148">
        <f ca="1"/>
        <v>9.2600000000000002E-2</v>
      </c>
      <c r="AE9">
        <f ca="1"/>
        <v>5.28E-2</v>
      </c>
      <c r="AF9" s="140">
        <f ca="1"/>
        <v>46214</v>
      </c>
      <c r="AG9" t="str">
        <f ca="1"/>
        <v/>
      </c>
      <c r="AH9" s="23">
        <f ca="1"/>
        <v>25214</v>
      </c>
      <c r="AT9"/>
      <c r="AU9"/>
      <c r="AV9"/>
      <c r="AW9"/>
      <c r="AX9"/>
      <c r="AY9"/>
      <c r="AZ9"/>
      <c r="BA9"/>
      <c r="BB9"/>
      <c r="BC9"/>
      <c r="BD9"/>
    </row>
    <row r="10" spans="1:56" x14ac:dyDescent="0.2">
      <c r="A10" s="88"/>
      <c r="B10" s="89"/>
      <c r="C10" s="89"/>
      <c r="D10" s="89"/>
      <c r="E10" s="89"/>
      <c r="F10" s="89"/>
      <c r="G10" s="89"/>
      <c r="H10" s="89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0"/>
      <c r="U10" s="90"/>
      <c r="W10" s="140">
        <f ca="1"/>
        <v>46210</v>
      </c>
      <c r="X10" s="148">
        <f ca="1"/>
        <v>7.4900000000000008E-2</v>
      </c>
      <c r="Y10" s="148">
        <f ca="1"/>
        <v>6.3500000000000001E-2</v>
      </c>
      <c r="Z10" s="148" t="str">
        <f ca="1"/>
        <v/>
      </c>
      <c r="AA10" s="148">
        <f ca="1"/>
        <v>6.4699999999999994E-2</v>
      </c>
      <c r="AB10" s="148">
        <f ca="1"/>
        <v>0.08</v>
      </c>
      <c r="AC10" s="148">
        <f ca="1"/>
        <v>0.09</v>
      </c>
      <c r="AD10" s="148">
        <f ca="1"/>
        <v>9.2600000000000002E-2</v>
      </c>
      <c r="AE10">
        <f ca="1"/>
        <v>5.8400000000000001E-2</v>
      </c>
      <c r="AF10" s="140">
        <f ca="1"/>
        <v>46213</v>
      </c>
      <c r="AG10" t="str">
        <f ca="1"/>
        <v/>
      </c>
      <c r="AH10" s="23">
        <f ca="1"/>
        <v>25214</v>
      </c>
      <c r="AT10"/>
      <c r="AU10"/>
      <c r="AV10"/>
      <c r="AW10"/>
      <c r="AX10"/>
      <c r="AY10"/>
      <c r="AZ10"/>
      <c r="BA10"/>
      <c r="BB10"/>
      <c r="BC10"/>
      <c r="BD10"/>
    </row>
    <row r="11" spans="1:56" x14ac:dyDescent="0.2">
      <c r="A11" s="88"/>
      <c r="B11" s="89"/>
      <c r="C11" s="89"/>
      <c r="D11" s="89"/>
      <c r="E11" s="89"/>
      <c r="F11" s="89"/>
      <c r="G11" s="89"/>
      <c r="H11" s="89"/>
      <c r="I11" s="90"/>
      <c r="J11" s="90"/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0"/>
      <c r="W11" s="140">
        <f ca="1"/>
        <v>46209</v>
      </c>
      <c r="X11" s="148">
        <f ca="1"/>
        <v>7.4900000000000008E-2</v>
      </c>
      <c r="Y11" s="148">
        <f ca="1"/>
        <v>6.3099999999999989E-2</v>
      </c>
      <c r="Z11" s="148" t="str">
        <f ca="1"/>
        <v/>
      </c>
      <c r="AA11" s="148">
        <f ca="1"/>
        <v>6.3600000000000004E-2</v>
      </c>
      <c r="AB11" s="148">
        <f ca="1"/>
        <v>7.9699999999999993E-2</v>
      </c>
      <c r="AC11" s="148">
        <f ca="1"/>
        <v>0.09</v>
      </c>
      <c r="AD11" s="148">
        <f ca="1"/>
        <v>9.2600000000000002E-2</v>
      </c>
      <c r="AE11">
        <f ca="1"/>
        <v>6.0100000000000001E-2</v>
      </c>
      <c r="AF11" s="140">
        <f ca="1"/>
        <v>46212</v>
      </c>
      <c r="AG11" t="str">
        <f ca="1"/>
        <v/>
      </c>
      <c r="AH11" s="23">
        <f ca="1"/>
        <v>25211</v>
      </c>
      <c r="AT11"/>
      <c r="AU11"/>
      <c r="AV11"/>
      <c r="AW11"/>
      <c r="AX11"/>
      <c r="AY11"/>
      <c r="AZ11"/>
      <c r="BA11"/>
      <c r="BB11"/>
      <c r="BC11"/>
      <c r="BD11"/>
    </row>
    <row r="12" spans="1:56" x14ac:dyDescent="0.2">
      <c r="A12" s="88"/>
      <c r="B12" s="89"/>
      <c r="C12" s="89"/>
      <c r="D12" s="89"/>
      <c r="E12" s="89"/>
      <c r="F12" s="89"/>
      <c r="G12" s="89"/>
      <c r="H12" s="89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90"/>
      <c r="T12" s="90"/>
      <c r="U12" s="90"/>
      <c r="W12" s="140">
        <f ca="1"/>
        <v>46206</v>
      </c>
      <c r="X12" s="148">
        <f ca="1"/>
        <v>7.3800000000000004E-2</v>
      </c>
      <c r="Y12" s="148">
        <f ca="1"/>
        <v>6.1699999999999998E-2</v>
      </c>
      <c r="Z12" s="148" t="str">
        <f ca="1"/>
        <v/>
      </c>
      <c r="AA12" s="148">
        <f ca="1"/>
        <v>6.1200000000000004E-2</v>
      </c>
      <c r="AB12" s="148">
        <f ca="1"/>
        <v>7.9000000000000001E-2</v>
      </c>
      <c r="AC12" s="148">
        <f ca="1"/>
        <v>0.09</v>
      </c>
      <c r="AD12" s="148">
        <f ca="1"/>
        <v>9.2600000000000002E-2</v>
      </c>
      <c r="AE12">
        <f ca="1"/>
        <v>5.67E-2</v>
      </c>
      <c r="AF12" s="140">
        <f ca="1"/>
        <v>46211</v>
      </c>
      <c r="AG12" t="str">
        <f ca="1"/>
        <v/>
      </c>
      <c r="AH12" s="23">
        <f ca="1"/>
        <v>25206</v>
      </c>
      <c r="AT12"/>
      <c r="AU12"/>
      <c r="AV12"/>
      <c r="AW12"/>
      <c r="AX12"/>
      <c r="AY12"/>
      <c r="AZ12"/>
      <c r="BA12"/>
      <c r="BB12"/>
      <c r="BC12"/>
      <c r="BD12"/>
    </row>
    <row r="13" spans="1:56" x14ac:dyDescent="0.2">
      <c r="A13" s="88"/>
      <c r="B13" s="89"/>
      <c r="C13" s="89"/>
      <c r="D13" s="89"/>
      <c r="E13" s="89"/>
      <c r="F13" s="89"/>
      <c r="G13" s="89"/>
      <c r="H13" s="89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W13" s="140">
        <f ca="1"/>
        <v>46205</v>
      </c>
      <c r="X13" s="148">
        <f ca="1"/>
        <v>7.8799999999999995E-2</v>
      </c>
      <c r="Y13" s="148">
        <f ca="1"/>
        <v>6.9199999999999998E-2</v>
      </c>
      <c r="Z13" s="148" t="str">
        <f ca="1"/>
        <v/>
      </c>
      <c r="AA13" s="148">
        <f ca="1"/>
        <v>7.0699999999999999E-2</v>
      </c>
      <c r="AB13" s="148">
        <f ca="1"/>
        <v>7.6999999999999999E-2</v>
      </c>
      <c r="AC13" s="148">
        <f ca="1"/>
        <v>8.6199999999999999E-2</v>
      </c>
      <c r="AD13" s="148">
        <f ca="1"/>
        <v>9.2600000000000002E-2</v>
      </c>
      <c r="AE13">
        <f ca="1"/>
        <v>6.6199999999999995E-2</v>
      </c>
      <c r="AF13" s="140">
        <f ca="1"/>
        <v>46210</v>
      </c>
      <c r="AG13" t="str">
        <f ca="1"/>
        <v/>
      </c>
      <c r="AH13" s="23">
        <f ca="1"/>
        <v>25202</v>
      </c>
      <c r="AT13"/>
      <c r="AU13"/>
      <c r="AV13"/>
      <c r="AW13"/>
      <c r="AX13"/>
      <c r="AY13"/>
      <c r="AZ13"/>
      <c r="BA13"/>
      <c r="BB13"/>
      <c r="BC13"/>
      <c r="BD13"/>
    </row>
    <row r="14" spans="1:56" x14ac:dyDescent="0.2">
      <c r="A14" s="88"/>
      <c r="B14" s="89"/>
      <c r="C14" s="89"/>
      <c r="D14" s="89"/>
      <c r="E14" s="89"/>
      <c r="F14" s="89"/>
      <c r="G14" s="89"/>
      <c r="H14" s="89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0"/>
      <c r="U14" s="90"/>
      <c r="W14" s="140">
        <f ca="1"/>
        <v>46204</v>
      </c>
      <c r="X14" s="148">
        <f ca="1"/>
        <v>7.5700000000000003E-2</v>
      </c>
      <c r="Y14" s="148">
        <f ca="1"/>
        <v>6.3899999999999998E-2</v>
      </c>
      <c r="Z14" s="148" t="str">
        <f ca="1"/>
        <v/>
      </c>
      <c r="AA14" s="148">
        <f ca="1"/>
        <v>7.2000000000000008E-2</v>
      </c>
      <c r="AB14" s="148">
        <f ca="1"/>
        <v>7.7600000000000002E-2</v>
      </c>
      <c r="AC14" s="148">
        <f ca="1"/>
        <v>8.6199999999999999E-2</v>
      </c>
      <c r="AD14" s="148">
        <f ca="1"/>
        <v>9.2600000000000002E-2</v>
      </c>
      <c r="AE14">
        <f ca="1"/>
        <v>5.9500000000000004E-2</v>
      </c>
      <c r="AF14" s="140">
        <f ca="1"/>
        <v>46209</v>
      </c>
      <c r="AG14" t="str">
        <f ca="1"/>
        <v/>
      </c>
      <c r="AH14" s="23">
        <f ca="1"/>
        <v>25202</v>
      </c>
      <c r="AT14"/>
      <c r="AU14"/>
      <c r="AV14"/>
      <c r="AW14"/>
      <c r="AX14"/>
      <c r="AY14"/>
      <c r="AZ14"/>
      <c r="BA14"/>
      <c r="BB14"/>
      <c r="BC14"/>
      <c r="BD14"/>
    </row>
    <row r="15" spans="1:56" x14ac:dyDescent="0.2">
      <c r="A15" s="88"/>
      <c r="B15" s="89"/>
      <c r="C15" s="89"/>
      <c r="D15" s="89"/>
      <c r="E15" s="89"/>
      <c r="F15" s="89"/>
      <c r="G15" s="89"/>
      <c r="H15" s="89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W15" s="140">
        <f ca="1"/>
        <v>46203</v>
      </c>
      <c r="X15" s="148">
        <f ca="1"/>
        <v>8.199999999999999E-2</v>
      </c>
      <c r="Y15" s="148">
        <f ca="1"/>
        <v>7.2599999999999998E-2</v>
      </c>
      <c r="Z15" s="148" t="str">
        <f ca="1"/>
        <v/>
      </c>
      <c r="AA15" s="148">
        <f ca="1"/>
        <v>6.8400000000000002E-2</v>
      </c>
      <c r="AB15" s="148">
        <f ca="1"/>
        <v>7.9899999999999999E-2</v>
      </c>
      <c r="AC15" s="148">
        <f ca="1"/>
        <v>7.3200000000000001E-2</v>
      </c>
      <c r="AD15" s="148">
        <f ca="1"/>
        <v>8.7799999999999989E-2</v>
      </c>
      <c r="AE15">
        <f ca="1"/>
        <v>0.1249</v>
      </c>
      <c r="AF15" s="140">
        <f ca="1"/>
        <v>46207</v>
      </c>
      <c r="AG15" t="str">
        <f ca="1"/>
        <v/>
      </c>
      <c r="AH15" s="23">
        <f ca="1"/>
        <v>25203</v>
      </c>
      <c r="AT15"/>
      <c r="AU15"/>
      <c r="AV15"/>
      <c r="AW15"/>
      <c r="AX15"/>
      <c r="AY15"/>
      <c r="AZ15"/>
      <c r="BA15"/>
      <c r="BB15"/>
      <c r="BC15"/>
      <c r="BD15"/>
    </row>
    <row r="16" spans="1:56" x14ac:dyDescent="0.2"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W16" s="140">
        <f ca="1"/>
        <v>46202</v>
      </c>
      <c r="X16" s="148">
        <f ca="1"/>
        <v>8.1500000000000003E-2</v>
      </c>
      <c r="Y16" s="148">
        <f ca="1"/>
        <v>7.9600000000000004E-2</v>
      </c>
      <c r="Z16" s="148" t="str">
        <f ca="1"/>
        <v/>
      </c>
      <c r="AA16" s="148">
        <f ca="1"/>
        <v>8.4700000000000011E-2</v>
      </c>
      <c r="AB16" s="148">
        <f ca="1"/>
        <v>7.46E-2</v>
      </c>
      <c r="AC16" s="148">
        <f ca="1"/>
        <v>8.5800000000000001E-2</v>
      </c>
      <c r="AD16" s="148">
        <f ca="1"/>
        <v>8.7799999999999989E-2</v>
      </c>
      <c r="AE16">
        <f ca="1"/>
        <v>3.73E-2</v>
      </c>
      <c r="AF16" s="140">
        <f ca="1"/>
        <v>46206</v>
      </c>
      <c r="AG16" t="str">
        <f ca="1"/>
        <v/>
      </c>
      <c r="AH16" s="23">
        <f ca="1"/>
        <v>25203</v>
      </c>
      <c r="AT16"/>
      <c r="AU16"/>
      <c r="AV16"/>
      <c r="AW16"/>
      <c r="AX16"/>
      <c r="AY16"/>
      <c r="AZ16"/>
      <c r="BA16"/>
      <c r="BB16"/>
      <c r="BC16"/>
      <c r="BD16"/>
    </row>
    <row r="17" spans="9:56" x14ac:dyDescent="0.2">
      <c r="I17" s="90"/>
      <c r="J17" s="90"/>
      <c r="K17" s="90"/>
      <c r="L17" s="90"/>
      <c r="M17" s="90"/>
      <c r="N17" s="90"/>
      <c r="O17" s="90"/>
      <c r="P17" s="90"/>
      <c r="Q17" s="90"/>
      <c r="R17" s="90"/>
      <c r="S17" s="90"/>
      <c r="T17" s="90"/>
      <c r="U17" s="90"/>
      <c r="W17" s="140">
        <f ca="1"/>
        <v>46199</v>
      </c>
      <c r="X17" s="148">
        <f ca="1"/>
        <v>7.5700000000000003E-2</v>
      </c>
      <c r="Y17" s="148">
        <f ca="1"/>
        <v>7.3499999999999996E-2</v>
      </c>
      <c r="Z17" s="148" t="str">
        <f ca="1"/>
        <v/>
      </c>
      <c r="AA17" s="148">
        <f ca="1"/>
        <v>7.7199999999999991E-2</v>
      </c>
      <c r="AB17" s="148">
        <f ca="1"/>
        <v>8.1900000000000001E-2</v>
      </c>
      <c r="AC17" s="148">
        <f ca="1"/>
        <v>8.5999999999999993E-2</v>
      </c>
      <c r="AD17" s="148">
        <f ca="1"/>
        <v>8.0600000000000005E-2</v>
      </c>
      <c r="AE17">
        <f ca="1"/>
        <v>2.9100000000000001E-2</v>
      </c>
      <c r="AF17" s="140">
        <f ca="1"/>
        <v>46205</v>
      </c>
      <c r="AG17" t="str">
        <f ca="1"/>
        <v/>
      </c>
      <c r="AH17" s="23">
        <f ca="1"/>
        <v>25205</v>
      </c>
      <c r="AT17"/>
      <c r="AU17"/>
      <c r="AV17"/>
      <c r="AW17"/>
      <c r="AX17"/>
      <c r="AY17"/>
      <c r="AZ17"/>
      <c r="BA17"/>
      <c r="BB17"/>
      <c r="BC17"/>
      <c r="BD17"/>
    </row>
    <row r="18" spans="9:56" x14ac:dyDescent="0.2"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W18" s="140">
        <f ca="1"/>
        <v>46198</v>
      </c>
      <c r="X18" s="148">
        <f ca="1"/>
        <v>7.8799999999999995E-2</v>
      </c>
      <c r="Y18" s="148">
        <f ca="1"/>
        <v>7.4999999999999997E-2</v>
      </c>
      <c r="Z18" s="148" t="str">
        <f ca="1"/>
        <v/>
      </c>
      <c r="AA18" s="148">
        <f ca="1"/>
        <v>7.8100000000000003E-2</v>
      </c>
      <c r="AB18" s="148">
        <f ca="1"/>
        <v>7.9000000000000001E-2</v>
      </c>
      <c r="AC18" s="148">
        <f ca="1"/>
        <v>7.7499999999999999E-2</v>
      </c>
      <c r="AD18" s="148">
        <f ca="1"/>
        <v>8.0600000000000005E-2</v>
      </c>
      <c r="AE18">
        <f ca="1"/>
        <v>3.1600000000000003E-2</v>
      </c>
      <c r="AF18" s="140">
        <f ca="1"/>
        <v>46204</v>
      </c>
      <c r="AG18" t="str">
        <f ca="1"/>
        <v/>
      </c>
      <c r="AH18" s="23">
        <f ca="1"/>
        <v>25206</v>
      </c>
      <c r="AT18"/>
      <c r="AU18"/>
      <c r="AV18"/>
      <c r="AW18"/>
      <c r="AX18"/>
      <c r="AY18"/>
      <c r="AZ18"/>
      <c r="BA18"/>
      <c r="BB18"/>
      <c r="BC18"/>
      <c r="BD18"/>
    </row>
    <row r="19" spans="9:56" x14ac:dyDescent="0.2"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W19" s="140">
        <f ca="1"/>
        <v>46197</v>
      </c>
      <c r="X19" s="148">
        <f ca="1"/>
        <v>7.980000000000001E-2</v>
      </c>
      <c r="Y19" s="148">
        <f ca="1"/>
        <v>7.5199999999999989E-2</v>
      </c>
      <c r="Z19" s="148" t="str">
        <f ca="1"/>
        <v/>
      </c>
      <c r="AA19" s="148">
        <f ca="1"/>
        <v>7.7800000000000008E-2</v>
      </c>
      <c r="AB19" s="148">
        <f ca="1"/>
        <v>8.0100000000000005E-2</v>
      </c>
      <c r="AC19" s="148">
        <f ca="1"/>
        <v>7.9500000000000001E-2</v>
      </c>
      <c r="AD19" s="148">
        <f ca="1"/>
        <v>8.0600000000000005E-2</v>
      </c>
      <c r="AE19">
        <f ca="1"/>
        <v>3.7900000000000003E-2</v>
      </c>
      <c r="AF19" s="140">
        <f ca="1"/>
        <v>46203</v>
      </c>
      <c r="AG19" t="str">
        <f ca="1"/>
        <v/>
      </c>
      <c r="AH19" s="23">
        <f ca="1"/>
        <v>25206</v>
      </c>
      <c r="AT19"/>
      <c r="AU19"/>
      <c r="AV19"/>
      <c r="AW19"/>
      <c r="AX19"/>
      <c r="AY19"/>
      <c r="AZ19"/>
      <c r="BA19"/>
      <c r="BB19"/>
      <c r="BC19"/>
      <c r="BD19"/>
    </row>
    <row r="20" spans="9:56" x14ac:dyDescent="0.2"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W20" s="140">
        <f ca="1"/>
        <v>46196</v>
      </c>
      <c r="X20" s="148">
        <f ca="1"/>
        <v>7.8899999999999998E-2</v>
      </c>
      <c r="Y20" s="148">
        <f ca="1"/>
        <v>6.9800000000000001E-2</v>
      </c>
      <c r="Z20" s="148" t="str">
        <f ca="1"/>
        <v/>
      </c>
      <c r="AA20" s="148">
        <f ca="1"/>
        <v>7.7499999999999999E-2</v>
      </c>
      <c r="AB20" s="148">
        <f ca="1"/>
        <v>7.7899999999999997E-2</v>
      </c>
      <c r="AC20" s="148">
        <f ca="1"/>
        <v>0.08</v>
      </c>
      <c r="AD20" s="148">
        <f ca="1"/>
        <v>8.2299999999999998E-2</v>
      </c>
      <c r="AE20">
        <f ca="1"/>
        <v>5.21E-2</v>
      </c>
      <c r="AF20" s="140">
        <f ca="1"/>
        <v>46202</v>
      </c>
      <c r="AG20" t="str">
        <f ca="1"/>
        <v/>
      </c>
      <c r="AH20" s="23">
        <f ca="1"/>
        <v>25201</v>
      </c>
      <c r="AT20"/>
      <c r="AU20"/>
      <c r="AV20"/>
      <c r="AW20"/>
      <c r="AX20"/>
      <c r="AY20"/>
      <c r="AZ20"/>
      <c r="BA20"/>
      <c r="BB20"/>
      <c r="BC20"/>
      <c r="BD20"/>
    </row>
    <row r="21" spans="9:56" ht="15.75" x14ac:dyDescent="0.25">
      <c r="I21" s="276" t="s">
        <v>3025</v>
      </c>
      <c r="J21" s="277"/>
      <c r="K21" s="277"/>
      <c r="L21" s="277"/>
      <c r="M21" s="277"/>
      <c r="N21" s="277"/>
      <c r="O21" s="278"/>
      <c r="P21" s="279" t="s">
        <v>3030</v>
      </c>
      <c r="Q21" s="280"/>
      <c r="R21" s="280"/>
      <c r="S21" s="280"/>
      <c r="T21" s="280"/>
      <c r="U21" s="281"/>
      <c r="W21" s="140">
        <f ca="1"/>
        <v>46195</v>
      </c>
      <c r="X21" s="148">
        <f ca="1"/>
        <v>8.0500000000000002E-2</v>
      </c>
      <c r="Y21" s="148">
        <f ca="1"/>
        <v>6.7500000000000004E-2</v>
      </c>
      <c r="Z21" s="148" t="str">
        <f ca="1"/>
        <v/>
      </c>
      <c r="AA21" s="148">
        <f ca="1"/>
        <v>7.6200000000000004E-2</v>
      </c>
      <c r="AB21" s="148">
        <f ca="1"/>
        <v>7.9399999999999998E-2</v>
      </c>
      <c r="AC21" s="148">
        <f ca="1"/>
        <v>0.08</v>
      </c>
      <c r="AD21" s="148">
        <f ca="1"/>
        <v>8.2299999999999998E-2</v>
      </c>
      <c r="AE21">
        <f ca="1"/>
        <v>6.2E-2</v>
      </c>
      <c r="AF21" s="140">
        <f ca="1"/>
        <v>46200</v>
      </c>
      <c r="AG21" t="str">
        <f ca="1"/>
        <v/>
      </c>
      <c r="AH21" s="23">
        <f ca="1"/>
        <v>25195</v>
      </c>
      <c r="AT21"/>
      <c r="AU21"/>
      <c r="AV21"/>
      <c r="AW21"/>
      <c r="AX21"/>
      <c r="AY21"/>
      <c r="AZ21"/>
      <c r="BA21"/>
      <c r="BB21"/>
      <c r="BC21"/>
      <c r="BD21"/>
    </row>
    <row r="22" spans="9:56" ht="15.75" x14ac:dyDescent="0.25">
      <c r="I22" s="122" t="s">
        <v>2999</v>
      </c>
      <c r="J22" s="279" t="s">
        <v>2996</v>
      </c>
      <c r="K22" s="281"/>
      <c r="L22" s="134" t="s">
        <v>2995</v>
      </c>
      <c r="M22" s="134" t="s">
        <v>2998</v>
      </c>
      <c r="N22" s="134" t="s">
        <v>2997</v>
      </c>
      <c r="O22" s="134" t="s">
        <v>2946</v>
      </c>
      <c r="P22" s="279" t="s">
        <v>3027</v>
      </c>
      <c r="Q22" s="281"/>
      <c r="R22" s="133" t="s">
        <v>3026</v>
      </c>
      <c r="S22" s="134" t="s">
        <v>3028</v>
      </c>
      <c r="T22" s="134" t="s">
        <v>3029</v>
      </c>
      <c r="U22" s="134" t="s">
        <v>2946</v>
      </c>
      <c r="V22" s="148"/>
      <c r="W22" s="140">
        <f ca="1"/>
        <v>46192</v>
      </c>
      <c r="X22" s="148">
        <f ca="1"/>
        <v>8.1699999999999995E-2</v>
      </c>
      <c r="Y22" s="148">
        <f ca="1"/>
        <v>5.2999999999999999E-2</v>
      </c>
      <c r="Z22" s="148" t="str">
        <f ca="1"/>
        <v/>
      </c>
      <c r="AA22" s="148">
        <f ca="1"/>
        <v>7.5399999999999995E-2</v>
      </c>
      <c r="AB22" s="148">
        <f ca="1"/>
        <v>7.8299999999999995E-2</v>
      </c>
      <c r="AC22" s="148">
        <f ca="1"/>
        <v>7.5700000000000003E-2</v>
      </c>
      <c r="AD22" s="148">
        <f ca="1"/>
        <v>8.2299999999999998E-2</v>
      </c>
      <c r="AE22">
        <f ca="1"/>
        <v>4.41E-2</v>
      </c>
      <c r="AF22" s="140">
        <f ca="1"/>
        <v>46199</v>
      </c>
      <c r="AG22" t="str">
        <f ca="1"/>
        <v/>
      </c>
      <c r="AH22" s="23">
        <f ca="1"/>
        <v>25195</v>
      </c>
      <c r="AT22"/>
      <c r="AU22"/>
      <c r="AV22"/>
      <c r="AW22"/>
      <c r="AX22"/>
      <c r="AY22"/>
      <c r="AZ22"/>
      <c r="BA22"/>
      <c r="BB22"/>
      <c r="BC22"/>
      <c r="BD22"/>
    </row>
    <row r="23" spans="9:56" x14ac:dyDescent="0.2">
      <c r="I23" s="282" t="s">
        <v>3000</v>
      </c>
      <c r="J23" s="96" t="str">
        <f>B41</f>
        <v>Dow Jones</v>
      </c>
      <c r="K23" s="97"/>
      <c r="L23" s="91">
        <f t="shared" ref="L23:N25" si="0">C41</f>
        <v>52538.91</v>
      </c>
      <c r="M23" s="91">
        <f t="shared" si="0"/>
        <v>40.270000000000003</v>
      </c>
      <c r="N23" s="114">
        <f t="shared" si="0"/>
        <v>8.0000000000000004E-4</v>
      </c>
      <c r="O23" s="91" t="str">
        <f>IF(N23&gt;0,"tăng","giảm")</f>
        <v>tăng</v>
      </c>
      <c r="P23" s="96" t="str">
        <f t="shared" ref="P23:P28" si="1">C71</f>
        <v>Gold Spot US Dollar</v>
      </c>
      <c r="Q23" s="91"/>
      <c r="R23" s="91" t="str">
        <f>IF(ISNUMBER(SEARCH("$",B71 )), B71, B71 * 1)</f>
        <v>4,084.84 $</v>
      </c>
      <c r="S23" s="91">
        <f t="shared" ref="S23:S28" si="2">F71</f>
        <v>83.71</v>
      </c>
      <c r="T23" s="114">
        <f t="shared" ref="T23:T28" si="3">E71</f>
        <v>2.0899999999999998E-2</v>
      </c>
      <c r="U23" s="91" t="str">
        <f t="shared" ref="U23:U28" si="4">IF(T23&gt;0,"tăng",IF(T23=0,"không đổi","giảm"))</f>
        <v>tăng</v>
      </c>
      <c r="V23" s="148"/>
      <c r="W23" s="140">
        <f ca="1"/>
        <v>46191</v>
      </c>
      <c r="X23" s="148">
        <f ca="1"/>
        <v>8.2799999999999999E-2</v>
      </c>
      <c r="Y23" s="148">
        <f ca="1"/>
        <v>5.1200000000000002E-2</v>
      </c>
      <c r="Z23" s="148" t="str">
        <f ca="1"/>
        <v/>
      </c>
      <c r="AA23" s="148">
        <f ca="1"/>
        <v>7.4999999999999997E-2</v>
      </c>
      <c r="AB23" s="148">
        <f ca="1"/>
        <v>7.8899999999999998E-2</v>
      </c>
      <c r="AC23" s="148">
        <f ca="1"/>
        <v>0.08</v>
      </c>
      <c r="AD23" s="148">
        <f ca="1"/>
        <v>8.2299999999999998E-2</v>
      </c>
      <c r="AE23">
        <f ca="1"/>
        <v>4.0300000000000002E-2</v>
      </c>
      <c r="AF23" s="140">
        <f ca="1"/>
        <v>46198</v>
      </c>
      <c r="AG23" t="str">
        <f ca="1"/>
        <v/>
      </c>
      <c r="AH23" s="23">
        <f ca="1"/>
        <v>25197</v>
      </c>
      <c r="AT23"/>
      <c r="AU23"/>
      <c r="AV23"/>
      <c r="AW23"/>
      <c r="AX23"/>
      <c r="AY23"/>
      <c r="AZ23"/>
      <c r="BA23"/>
      <c r="BB23"/>
      <c r="BC23"/>
      <c r="BD23"/>
    </row>
    <row r="24" spans="9:56" x14ac:dyDescent="0.2">
      <c r="I24" s="283"/>
      <c r="J24" s="96" t="str">
        <f>B42</f>
        <v>Nasdaq</v>
      </c>
      <c r="K24" s="97"/>
      <c r="L24" s="91">
        <f t="shared" si="0"/>
        <v>26017.439999999999</v>
      </c>
      <c r="M24" s="91">
        <f t="shared" si="0"/>
        <v>144.26</v>
      </c>
      <c r="N24" s="114">
        <f t="shared" si="0"/>
        <v>5.6000000000000008E-3</v>
      </c>
      <c r="O24" s="91" t="str">
        <f t="shared" ref="O24:O35" si="5">IF(N24&gt;0,"tăng","giảm")</f>
        <v>tăng</v>
      </c>
      <c r="P24" s="96" t="str">
        <f t="shared" si="1"/>
        <v>Silver Spot US Dollar</v>
      </c>
      <c r="Q24" s="91"/>
      <c r="R24" s="91" t="str">
        <f>B72</f>
        <v>59.39 $</v>
      </c>
      <c r="S24" s="91">
        <f t="shared" si="2"/>
        <v>1.73</v>
      </c>
      <c r="T24" s="114">
        <f t="shared" si="3"/>
        <v>0.03</v>
      </c>
      <c r="U24" s="91" t="str">
        <f t="shared" si="4"/>
        <v>tăng</v>
      </c>
      <c r="V24" s="148"/>
      <c r="W24" s="140">
        <f ca="1"/>
        <v>46190</v>
      </c>
      <c r="X24" s="148">
        <f ca="1"/>
        <v>7.8799999999999995E-2</v>
      </c>
      <c r="Y24" s="148">
        <f ca="1"/>
        <v>5.0199999999999995E-2</v>
      </c>
      <c r="Z24" s="148" t="str">
        <f ca="1"/>
        <v/>
      </c>
      <c r="AA24" s="148">
        <f ca="1"/>
        <v>6.4199999999999993E-2</v>
      </c>
      <c r="AB24" s="148">
        <f ca="1"/>
        <v>7.9699999999999993E-2</v>
      </c>
      <c r="AC24" s="148">
        <f ca="1"/>
        <v>0.08</v>
      </c>
      <c r="AD24" s="148">
        <f ca="1"/>
        <v>8.2299999999999998E-2</v>
      </c>
      <c r="AE24">
        <f ca="1"/>
        <v>3.7000000000000005E-2</v>
      </c>
      <c r="AF24" s="140">
        <f ca="1"/>
        <v>46197</v>
      </c>
      <c r="AG24" t="str">
        <f ca="1"/>
        <v/>
      </c>
      <c r="AH24" s="23">
        <f ca="1"/>
        <v>25192</v>
      </c>
      <c r="AT24"/>
      <c r="AU24"/>
      <c r="AV24"/>
      <c r="AW24"/>
      <c r="AX24"/>
      <c r="AY24"/>
      <c r="AZ24"/>
      <c r="BA24"/>
      <c r="BB24"/>
      <c r="BC24"/>
      <c r="BD24"/>
    </row>
    <row r="25" spans="9:56" x14ac:dyDescent="0.2">
      <c r="I25" s="283"/>
      <c r="J25" s="96" t="str">
        <f>B43</f>
        <v>S&amp;P 500</v>
      </c>
      <c r="K25" s="97"/>
      <c r="L25" s="91">
        <f t="shared" si="0"/>
        <v>7538.44</v>
      </c>
      <c r="M25" s="91">
        <f t="shared" si="0"/>
        <v>23.1</v>
      </c>
      <c r="N25" s="114">
        <f t="shared" si="0"/>
        <v>3.0999999999999999E-3</v>
      </c>
      <c r="O25" s="91" t="str">
        <f t="shared" si="5"/>
        <v>tăng</v>
      </c>
      <c r="P25" s="96" t="str">
        <f t="shared" si="1"/>
        <v>Vàng Miếng SJC</v>
      </c>
      <c r="Q25" s="136"/>
      <c r="R25" s="132">
        <f>IF(ISNUMBER(SEARCH("$",B73 )), "", B73 * 1)</f>
        <v>147500</v>
      </c>
      <c r="S25" s="91">
        <f t="shared" si="2"/>
        <v>-900</v>
      </c>
      <c r="T25" s="114">
        <f t="shared" si="3"/>
        <v>-6.0999999999999995E-3</v>
      </c>
      <c r="U25" s="91" t="str">
        <f t="shared" si="4"/>
        <v>giảm</v>
      </c>
      <c r="V25" s="148"/>
      <c r="W25" s="140">
        <f ca="1"/>
        <v>46189</v>
      </c>
      <c r="X25" s="148">
        <f ca="1"/>
        <v>8.09E-2</v>
      </c>
      <c r="Y25" s="148">
        <f ca="1"/>
        <v>5.2000000000000005E-2</v>
      </c>
      <c r="Z25" s="148" t="str">
        <f ca="1"/>
        <v/>
      </c>
      <c r="AA25" s="148">
        <f ca="1"/>
        <v>6.4399999999999999E-2</v>
      </c>
      <c r="AB25" s="148">
        <f ca="1"/>
        <v>7.8E-2</v>
      </c>
      <c r="AC25" s="148">
        <f ca="1"/>
        <v>0.08</v>
      </c>
      <c r="AD25" s="148">
        <f ca="1"/>
        <v>8.2299999999999998E-2</v>
      </c>
      <c r="AE25">
        <f ca="1"/>
        <v>3.85E-2</v>
      </c>
      <c r="AF25" s="140">
        <f ca="1"/>
        <v>46196</v>
      </c>
      <c r="AG25" t="str">
        <f ca="1"/>
        <v/>
      </c>
      <c r="AH25" s="23">
        <f ca="1"/>
        <v>25189</v>
      </c>
      <c r="AT25"/>
      <c r="AU25"/>
      <c r="AV25"/>
      <c r="AW25"/>
      <c r="AX25"/>
      <c r="AY25"/>
      <c r="AZ25"/>
      <c r="BA25"/>
      <c r="BB25"/>
      <c r="BC25"/>
      <c r="BD25"/>
    </row>
    <row r="26" spans="9:56" x14ac:dyDescent="0.2">
      <c r="I26" s="283"/>
      <c r="J26" s="96" t="str">
        <f>B38</f>
        <v>Dow Jones Futures</v>
      </c>
      <c r="K26" s="97"/>
      <c r="L26" s="91">
        <f t="shared" ref="L26:N28" si="6">C38</f>
        <v>52567.7</v>
      </c>
      <c r="M26" s="91">
        <f t="shared" si="6"/>
        <v>68.900000000000006</v>
      </c>
      <c r="N26" s="114">
        <f t="shared" si="6"/>
        <v>1.2999999999999999E-3</v>
      </c>
      <c r="O26" s="91" t="str">
        <f t="shared" si="5"/>
        <v>tăng</v>
      </c>
      <c r="P26" s="96" t="str">
        <f t="shared" si="1"/>
        <v>Vàng Nhẫn SJC</v>
      </c>
      <c r="Q26" s="136"/>
      <c r="R26" s="132">
        <f>IF(ISNUMBER(SEARCH("$",B74 )), "", B74 * 1)</f>
        <v>147000</v>
      </c>
      <c r="S26" s="91">
        <f t="shared" si="2"/>
        <v>-900</v>
      </c>
      <c r="T26" s="114">
        <f t="shared" si="3"/>
        <v>-6.0999999999999995E-3</v>
      </c>
      <c r="U26" s="91" t="str">
        <f t="shared" si="4"/>
        <v>giảm</v>
      </c>
      <c r="V26" s="148"/>
      <c r="W26" s="140">
        <f ca="1"/>
        <v>46188</v>
      </c>
      <c r="X26" s="148">
        <f ca="1"/>
        <v>7.5600000000000001E-2</v>
      </c>
      <c r="Y26" s="148">
        <f ca="1"/>
        <v>4.82E-2</v>
      </c>
      <c r="Z26" s="148" t="str">
        <f ca="1"/>
        <v/>
      </c>
      <c r="AA26" s="148">
        <f ca="1"/>
        <v>5.9500000000000004E-2</v>
      </c>
      <c r="AB26" s="148">
        <f ca="1"/>
        <v>8.0399999999999985E-2</v>
      </c>
      <c r="AC26" s="148">
        <f ca="1"/>
        <v>7.9199999999999993E-2</v>
      </c>
      <c r="AD26" s="148">
        <f ca="1"/>
        <v>8.2299999999999998E-2</v>
      </c>
      <c r="AE26">
        <f ca="1"/>
        <v>3.5200000000000002E-2</v>
      </c>
      <c r="AF26" s="140">
        <f ca="1"/>
        <v>46195</v>
      </c>
      <c r="AG26" t="str">
        <f ca="1"/>
        <v/>
      </c>
      <c r="AH26" s="23">
        <f ca="1"/>
        <v>25183</v>
      </c>
      <c r="AT26"/>
      <c r="AU26"/>
      <c r="AV26"/>
      <c r="AW26"/>
      <c r="AX26"/>
      <c r="AY26"/>
      <c r="AZ26"/>
      <c r="BA26"/>
      <c r="BB26"/>
      <c r="BC26"/>
      <c r="BD26"/>
    </row>
    <row r="27" spans="9:56" x14ac:dyDescent="0.2">
      <c r="I27" s="283"/>
      <c r="J27" s="96" t="str">
        <f>B39</f>
        <v>S&amp;P 500 Futures</v>
      </c>
      <c r="K27" s="97"/>
      <c r="L27" s="91">
        <f t="shared" si="6"/>
        <v>7537.4</v>
      </c>
      <c r="M27" s="91">
        <f t="shared" si="6"/>
        <v>21.6</v>
      </c>
      <c r="N27" s="114">
        <f t="shared" si="6"/>
        <v>2.8999999999999998E-3</v>
      </c>
      <c r="O27" s="91" t="str">
        <f t="shared" si="5"/>
        <v>tăng</v>
      </c>
      <c r="P27" s="96" t="str">
        <f t="shared" si="1"/>
        <v>Vàng Nhẫn DOJI</v>
      </c>
      <c r="Q27" s="136"/>
      <c r="R27" s="132">
        <f>IF(ISNUMBER(SEARCH("$",B75 )), "", B75 * 1)</f>
        <v>146500</v>
      </c>
      <c r="S27" s="91">
        <f t="shared" si="2"/>
        <v>-300</v>
      </c>
      <c r="T27" s="114">
        <f t="shared" si="3"/>
        <v>-2E-3</v>
      </c>
      <c r="U27" s="91" t="str">
        <f t="shared" si="4"/>
        <v>giảm</v>
      </c>
      <c r="W27" s="140">
        <f ca="1"/>
        <v>46185</v>
      </c>
      <c r="X27" s="148">
        <f ca="1"/>
        <v>6.7599999999999993E-2</v>
      </c>
      <c r="Y27" s="148">
        <f ca="1"/>
        <v>4.3099999999999999E-2</v>
      </c>
      <c r="Z27" s="148" t="str">
        <f ca="1"/>
        <v/>
      </c>
      <c r="AA27" s="148">
        <f ca="1"/>
        <v>5.74E-2</v>
      </c>
      <c r="AB27" s="148">
        <f ca="1"/>
        <v>7.3800000000000004E-2</v>
      </c>
      <c r="AC27" s="148">
        <f ca="1"/>
        <v>8.3800000000000013E-2</v>
      </c>
      <c r="AD27" s="148">
        <f ca="1"/>
        <v>8.2299999999999998E-2</v>
      </c>
      <c r="AE27">
        <f ca="1"/>
        <v>3.5099999999999999E-2</v>
      </c>
      <c r="AF27" s="140">
        <f ca="1"/>
        <v>46193</v>
      </c>
      <c r="AG27" t="str">
        <f ca="1"/>
        <v/>
      </c>
      <c r="AH27" s="23">
        <f ca="1"/>
        <v>25181</v>
      </c>
      <c r="AT27"/>
      <c r="AU27"/>
      <c r="AV27"/>
      <c r="AW27"/>
      <c r="AX27"/>
      <c r="AY27"/>
      <c r="AZ27"/>
      <c r="BA27"/>
      <c r="BB27"/>
      <c r="BC27"/>
      <c r="BD27"/>
    </row>
    <row r="28" spans="9:56" x14ac:dyDescent="0.2">
      <c r="I28" s="284"/>
      <c r="J28" s="96" t="str">
        <f>B40</f>
        <v>US Tech Futures</v>
      </c>
      <c r="K28" s="97"/>
      <c r="L28" s="91">
        <f t="shared" si="6"/>
        <v>29560.1</v>
      </c>
      <c r="M28" s="91">
        <f t="shared" si="6"/>
        <v>296</v>
      </c>
      <c r="N28" s="114">
        <f t="shared" si="6"/>
        <v>1.01E-2</v>
      </c>
      <c r="O28" s="91" t="str">
        <f t="shared" si="5"/>
        <v>tăng</v>
      </c>
      <c r="P28" s="96" t="str">
        <f t="shared" si="1"/>
        <v>Vàng Nữ trang DOJI</v>
      </c>
      <c r="Q28" s="91"/>
      <c r="R28" s="132">
        <f>IF(ISNUMBER(SEARCH("$",B76 )), "", B76 * 1)</f>
        <v>141000</v>
      </c>
      <c r="S28" s="91" t="str">
        <f t="shared" si="2"/>
        <v/>
      </c>
      <c r="T28" s="114">
        <f t="shared" si="3"/>
        <v>-6.9999999999999993E-3</v>
      </c>
      <c r="U28" s="91" t="str">
        <f t="shared" si="4"/>
        <v>giảm</v>
      </c>
      <c r="W28" s="140"/>
      <c r="X28" s="148"/>
      <c r="Y28" s="148"/>
      <c r="Z28" s="148"/>
      <c r="AA28" s="148"/>
      <c r="AB28" s="148"/>
      <c r="AC28" s="148"/>
      <c r="AD28" s="148"/>
      <c r="AF28" s="140">
        <f ca="1"/>
        <v>46192</v>
      </c>
      <c r="AG28" t="str">
        <f ca="1"/>
        <v/>
      </c>
      <c r="AH28" s="23">
        <f ca="1"/>
        <v>25181</v>
      </c>
      <c r="AT28"/>
      <c r="AU28"/>
      <c r="AV28"/>
      <c r="AW28"/>
      <c r="AX28"/>
      <c r="AY28"/>
      <c r="AZ28"/>
      <c r="BA28"/>
      <c r="BB28"/>
      <c r="BC28"/>
      <c r="BD28"/>
    </row>
    <row r="29" spans="9:56" ht="15.75" x14ac:dyDescent="0.25">
      <c r="I29" s="282" t="s">
        <v>3001</v>
      </c>
      <c r="J29" s="96" t="str">
        <f>B45</f>
        <v>Shanghai</v>
      </c>
      <c r="K29" s="97"/>
      <c r="L29" s="91">
        <f t="shared" ref="L29:N30" si="7">C45</f>
        <v>3967.13</v>
      </c>
      <c r="M29" s="91">
        <f t="shared" si="7"/>
        <v>53.33</v>
      </c>
      <c r="N29" s="114">
        <f t="shared" si="7"/>
        <v>1.3600000000000001E-2</v>
      </c>
      <c r="O29" s="91" t="str">
        <f t="shared" si="5"/>
        <v>tăng</v>
      </c>
      <c r="P29" s="279" t="s">
        <v>3035</v>
      </c>
      <c r="Q29" s="280"/>
      <c r="R29" s="280"/>
      <c r="S29" s="280"/>
      <c r="T29" s="280"/>
      <c r="U29" s="281"/>
      <c r="W29" s="140"/>
      <c r="X29" s="148"/>
      <c r="Y29" s="148"/>
      <c r="Z29" s="148"/>
      <c r="AA29" s="148"/>
      <c r="AB29" s="148"/>
      <c r="AC29" s="148"/>
      <c r="AD29" s="148"/>
      <c r="AF29" s="140">
        <f ca="1"/>
        <v>46190</v>
      </c>
      <c r="AG29" t="str">
        <f ca="1"/>
        <v/>
      </c>
      <c r="AH29" s="23">
        <f ca="1"/>
        <v>25175</v>
      </c>
      <c r="AT29"/>
      <c r="AU29"/>
      <c r="AV29"/>
      <c r="AW29"/>
      <c r="AX29"/>
      <c r="AY29"/>
      <c r="AZ29"/>
      <c r="BA29"/>
      <c r="BB29"/>
      <c r="BC29"/>
      <c r="BD29"/>
    </row>
    <row r="30" spans="9:56" ht="15.75" x14ac:dyDescent="0.25">
      <c r="I30" s="283"/>
      <c r="J30" s="96" t="str">
        <f>B46</f>
        <v>Nikkei 225</v>
      </c>
      <c r="K30" s="97"/>
      <c r="L30" s="91">
        <f t="shared" si="7"/>
        <v>67750</v>
      </c>
      <c r="M30" s="91">
        <f t="shared" si="7"/>
        <v>507.27</v>
      </c>
      <c r="N30" s="114">
        <f t="shared" si="7"/>
        <v>7.4999999999999997E-3</v>
      </c>
      <c r="O30" s="91" t="str">
        <f t="shared" si="5"/>
        <v>tăng</v>
      </c>
      <c r="P30" s="137" t="str">
        <f>A62</f>
        <v>Mua kỳ hạn</v>
      </c>
      <c r="Q30" s="137" t="s">
        <v>3045</v>
      </c>
      <c r="R30" s="137" t="s">
        <v>3044</v>
      </c>
      <c r="S30" s="137" t="s">
        <v>3046</v>
      </c>
      <c r="T30" s="137" t="s">
        <v>3047</v>
      </c>
      <c r="U30" s="137" t="s">
        <v>2959</v>
      </c>
      <c r="W30" s="140"/>
      <c r="X30" s="148"/>
      <c r="Y30" s="148"/>
      <c r="Z30" s="148"/>
      <c r="AA30" s="148"/>
      <c r="AB30" s="148"/>
      <c r="AC30" s="148"/>
      <c r="AD30" s="148"/>
      <c r="AF30" s="140">
        <f ca="1"/>
        <v>46189</v>
      </c>
      <c r="AG30" t="str">
        <f ca="1"/>
        <v/>
      </c>
      <c r="AH30" s="23">
        <f ca="1"/>
        <v>25165</v>
      </c>
      <c r="AT30"/>
      <c r="AU30"/>
      <c r="AV30"/>
      <c r="AW30"/>
      <c r="AX30"/>
      <c r="AY30"/>
      <c r="AZ30"/>
      <c r="BA30"/>
      <c r="BB30"/>
      <c r="BC30"/>
      <c r="BD30"/>
    </row>
    <row r="31" spans="9:56" x14ac:dyDescent="0.2">
      <c r="I31" s="283"/>
      <c r="J31" s="96" t="str">
        <f>B44</f>
        <v>Hang Seng</v>
      </c>
      <c r="K31" s="97"/>
      <c r="L31" s="91">
        <f>C44</f>
        <v>24340.73</v>
      </c>
      <c r="M31" s="91">
        <f>D44</f>
        <v>127.01</v>
      </c>
      <c r="N31" s="114">
        <f>E44</f>
        <v>5.1999999999999998E-3</v>
      </c>
      <c r="O31" s="91" t="str">
        <f t="shared" si="5"/>
        <v>tăng</v>
      </c>
      <c r="P31" s="91" t="str">
        <f>A63</f>
        <v>- Kỳ hạn 7</v>
      </c>
      <c r="Q31" s="91" t="str">
        <f>B63</f>
        <v>-</v>
      </c>
      <c r="R31" s="138" t="str">
        <f>SUBSTITUTE(SUBSTITUTE(SUBSTITUTE(C63, ",", "temporary"), ".", ","), "temporary", ".")</f>
        <v>-</v>
      </c>
      <c r="S31" s="114">
        <f>VALUE(SUBSTITUTE(D63, ",", ".")/100)</f>
        <v>0.04</v>
      </c>
      <c r="T31" s="139">
        <v>0.04</v>
      </c>
      <c r="U31" s="114">
        <f>S31-T31</f>
        <v>0</v>
      </c>
      <c r="W31" s="140"/>
      <c r="X31" s="148"/>
      <c r="Y31" s="148"/>
      <c r="Z31" s="148"/>
      <c r="AA31" s="148"/>
      <c r="AB31" s="148"/>
      <c r="AC31" s="148"/>
      <c r="AD31" s="148"/>
      <c r="AF31" s="140">
        <f ca="1"/>
        <v>46188</v>
      </c>
      <c r="AG31" t="str">
        <f ca="1"/>
        <v/>
      </c>
      <c r="AH31" s="23">
        <f ca="1"/>
        <v>25165</v>
      </c>
      <c r="AT31"/>
      <c r="AU31"/>
      <c r="AV31"/>
      <c r="AW31"/>
      <c r="AX31"/>
      <c r="AY31"/>
      <c r="AZ31"/>
      <c r="BA31"/>
      <c r="BB31"/>
      <c r="BC31"/>
      <c r="BD31"/>
    </row>
    <row r="32" spans="9:56" x14ac:dyDescent="0.2">
      <c r="I32" s="284"/>
      <c r="J32" s="96" t="str">
        <f>B50</f>
        <v>DAX</v>
      </c>
      <c r="K32" s="97"/>
      <c r="L32" s="91">
        <f>C50</f>
        <v>25083.43</v>
      </c>
      <c r="M32" s="91">
        <f>D50</f>
        <v>-3.75</v>
      </c>
      <c r="N32" s="114">
        <f>E50</f>
        <v>-1E-4</v>
      </c>
      <c r="O32" s="91" t="str">
        <f t="shared" si="5"/>
        <v>giảm</v>
      </c>
      <c r="P32" s="91" t="str">
        <f>A64</f>
        <v>- Kỳ hạn 14</v>
      </c>
      <c r="Q32" s="91" t="str">
        <f>B64</f>
        <v>-</v>
      </c>
      <c r="R32" s="91" t="str">
        <f>SUBSTITUTE(SUBSTITUTE(SUBSTITUTE(C64, ",", "temporary"), ".", ","), "temporary", ".")</f>
        <v>-</v>
      </c>
      <c r="S32" s="139">
        <f>VALUE(SUBSTITUTE(D64,",",".")/100)</f>
        <v>0.04</v>
      </c>
      <c r="T32" s="139">
        <f>T31</f>
        <v>0.04</v>
      </c>
      <c r="U32" s="114">
        <f>S32-T32</f>
        <v>0</v>
      </c>
      <c r="W32" s="140"/>
      <c r="X32" s="148"/>
      <c r="Y32" s="148"/>
      <c r="Z32" s="148"/>
      <c r="AA32" s="148"/>
      <c r="AB32" s="148"/>
      <c r="AC32" s="148"/>
      <c r="AD32" s="148"/>
      <c r="AF32" s="140">
        <f ca="1"/>
        <v>46186</v>
      </c>
      <c r="AG32" t="str">
        <f ca="1"/>
        <v/>
      </c>
      <c r="AH32" s="23">
        <f ca="1"/>
        <v>25155</v>
      </c>
      <c r="AT32"/>
      <c r="AU32"/>
      <c r="AV32"/>
      <c r="AW32"/>
      <c r="AX32"/>
      <c r="AY32"/>
      <c r="AZ32"/>
      <c r="BA32"/>
      <c r="BB32"/>
      <c r="BC32"/>
      <c r="BD32"/>
    </row>
    <row r="33" spans="1:56" x14ac:dyDescent="0.2">
      <c r="I33" s="282" t="s">
        <v>3006</v>
      </c>
      <c r="J33" s="96" t="str">
        <f>B47</f>
        <v>KOSPI</v>
      </c>
      <c r="K33" s="97"/>
      <c r="L33" s="91">
        <f t="shared" ref="L33:N35" si="8">C47</f>
        <v>6856.83</v>
      </c>
      <c r="M33" s="91">
        <f t="shared" si="8"/>
        <v>49.9</v>
      </c>
      <c r="N33" s="114">
        <f t="shared" si="8"/>
        <v>7.3000000000000001E-3</v>
      </c>
      <c r="O33" s="91" t="str">
        <f t="shared" si="5"/>
        <v>tăng</v>
      </c>
      <c r="P33" s="90"/>
      <c r="Q33" s="90"/>
      <c r="R33" s="90"/>
      <c r="S33" s="90"/>
      <c r="T33" s="90"/>
      <c r="U33" s="90"/>
      <c r="W33" s="140"/>
      <c r="X33" s="148"/>
      <c r="Y33" s="148"/>
      <c r="Z33" s="148"/>
      <c r="AA33" s="148"/>
      <c r="AB33" s="148"/>
      <c r="AC33" s="148"/>
      <c r="AD33" s="148"/>
      <c r="AF33" s="140">
        <f ca="1"/>
        <v>46185</v>
      </c>
      <c r="AG33" t="str">
        <f ca="1"/>
        <v/>
      </c>
      <c r="AH33" s="23">
        <f ca="1"/>
        <v>25155</v>
      </c>
      <c r="AT33"/>
      <c r="AU33"/>
      <c r="AV33"/>
      <c r="AW33"/>
      <c r="AX33"/>
      <c r="AY33"/>
      <c r="AZ33"/>
      <c r="BA33"/>
      <c r="BB33"/>
      <c r="BC33"/>
      <c r="BD33"/>
    </row>
    <row r="34" spans="1:56" ht="15.75" x14ac:dyDescent="0.25">
      <c r="I34" s="283"/>
      <c r="J34" s="96" t="str">
        <f>B48</f>
        <v>Taiwan Weighted</v>
      </c>
      <c r="K34" s="97"/>
      <c r="L34" s="91">
        <f t="shared" si="8"/>
        <v>45380.52</v>
      </c>
      <c r="M34" s="91">
        <f t="shared" si="8"/>
        <v>25.91</v>
      </c>
      <c r="N34" s="114">
        <f t="shared" si="8"/>
        <v>5.9999999999999995E-4</v>
      </c>
      <c r="O34" s="91" t="str">
        <f t="shared" si="5"/>
        <v>tăng</v>
      </c>
      <c r="P34" s="134" t="s">
        <v>3050</v>
      </c>
      <c r="Q34" s="147" t="s">
        <v>3121</v>
      </c>
      <c r="R34" s="90"/>
      <c r="S34" s="90"/>
      <c r="T34" s="90"/>
      <c r="U34" s="90"/>
      <c r="W34" s="140"/>
      <c r="X34" s="148"/>
      <c r="Y34" s="148"/>
      <c r="Z34" s="148"/>
      <c r="AA34" s="148"/>
      <c r="AB34" s="148"/>
      <c r="AC34" s="148"/>
      <c r="AD34" s="148"/>
      <c r="AF34" s="140"/>
      <c r="AT34"/>
      <c r="AU34"/>
      <c r="AV34"/>
      <c r="AW34"/>
      <c r="AX34"/>
      <c r="AY34"/>
      <c r="AZ34"/>
      <c r="BA34"/>
      <c r="BB34"/>
      <c r="BC34"/>
      <c r="BD34"/>
    </row>
    <row r="35" spans="1:56" ht="15.75" x14ac:dyDescent="0.25">
      <c r="I35" s="284"/>
      <c r="J35" s="96" t="str">
        <f>B49</f>
        <v>FTSE 100</v>
      </c>
      <c r="K35" s="97"/>
      <c r="L35" s="91">
        <f t="shared" si="8"/>
        <v>10535.47</v>
      </c>
      <c r="M35" s="91">
        <f t="shared" si="8"/>
        <v>37.18</v>
      </c>
      <c r="N35" s="114">
        <f t="shared" si="8"/>
        <v>3.4999999999999996E-3</v>
      </c>
      <c r="O35" s="91" t="str">
        <f t="shared" si="5"/>
        <v>tăng</v>
      </c>
      <c r="P35" s="134" t="s">
        <v>3049</v>
      </c>
      <c r="Q35" s="145" t="s">
        <v>3121</v>
      </c>
      <c r="R35" s="90"/>
      <c r="S35" s="90"/>
      <c r="T35" s="90"/>
      <c r="U35" s="90"/>
      <c r="W35" s="140"/>
      <c r="X35" s="148"/>
      <c r="Y35" s="148"/>
      <c r="Z35" s="148"/>
      <c r="AA35" s="148"/>
      <c r="AB35" s="148"/>
      <c r="AC35" s="148"/>
      <c r="AD35" s="148"/>
      <c r="AF35" s="140"/>
      <c r="AT35"/>
      <c r="AU35"/>
      <c r="AV35"/>
      <c r="AW35"/>
      <c r="AX35"/>
      <c r="AY35"/>
      <c r="AZ35"/>
      <c r="BA35"/>
      <c r="BB35"/>
      <c r="BC35"/>
      <c r="BD35"/>
    </row>
    <row r="36" spans="1:56" customFormat="1" x14ac:dyDescent="0.2">
      <c r="A36" s="90"/>
      <c r="B36" s="90"/>
      <c r="C36" s="90"/>
      <c r="D36" s="90"/>
      <c r="E36" s="90"/>
      <c r="F36" s="92"/>
      <c r="G36" s="92"/>
      <c r="H36" s="92"/>
      <c r="I36" s="92"/>
      <c r="J36" s="92"/>
      <c r="K36" s="92"/>
      <c r="L36" s="90"/>
      <c r="M36" s="90"/>
      <c r="N36" s="90"/>
      <c r="O36" s="92"/>
      <c r="P36" s="92"/>
      <c r="Q36" s="92"/>
      <c r="R36" s="92"/>
      <c r="S36" s="92"/>
      <c r="T36" s="92"/>
      <c r="U36" s="90"/>
      <c r="W36" s="140"/>
      <c r="X36" s="148"/>
      <c r="Y36" s="148"/>
      <c r="Z36" s="148"/>
      <c r="AA36" s="148"/>
      <c r="AB36" s="148"/>
      <c r="AC36" s="148"/>
      <c r="AD36" s="148"/>
      <c r="AF36" s="140"/>
    </row>
    <row r="37" spans="1:56" customFormat="1" x14ac:dyDescent="0.2">
      <c r="A37" s="140" t="str" cm="1">
        <f t="array" ref="A37:E58">get_index_stock_world()</f>
        <v/>
      </c>
      <c r="B37" s="140" t="str">
        <v>name</v>
      </c>
      <c r="C37" s="140" t="str">
        <v>last_price</v>
      </c>
      <c r="D37" s="140" t="str">
        <v>change_price</v>
      </c>
      <c r="E37" s="140" t="str">
        <v>change_percent</v>
      </c>
      <c r="F37" s="140"/>
      <c r="G37" s="140"/>
      <c r="H37" s="140"/>
      <c r="I37" s="140"/>
      <c r="J37" s="140"/>
      <c r="K37" s="140"/>
      <c r="L37" t="s">
        <v>3004</v>
      </c>
      <c r="M37" t="s">
        <v>3016</v>
      </c>
      <c r="N37" t="s">
        <v>3031</v>
      </c>
      <c r="O37" s="140"/>
      <c r="P37" s="140"/>
      <c r="Q37" s="140"/>
      <c r="R37" s="140"/>
      <c r="S37" s="140"/>
      <c r="T37" s="140"/>
      <c r="W37" s="140"/>
      <c r="X37" s="148"/>
      <c r="Y37" s="148"/>
      <c r="Z37" s="148"/>
      <c r="AA37" s="148"/>
      <c r="AB37" s="148"/>
      <c r="AC37" s="148"/>
      <c r="AD37" s="148"/>
      <c r="AF37" s="140"/>
    </row>
    <row r="38" spans="1:56" customFormat="1" x14ac:dyDescent="0.2">
      <c r="A38" s="149">
        <v>0</v>
      </c>
      <c r="B38" t="str">
        <v>Dow Jones Futures</v>
      </c>
      <c r="C38">
        <v>52567.7</v>
      </c>
      <c r="D38">
        <v>68.900000000000006</v>
      </c>
      <c r="E38" s="100">
        <v>1.2999999999999999E-3</v>
      </c>
      <c r="F38" s="140"/>
      <c r="G38" s="140"/>
      <c r="H38" s="140"/>
      <c r="I38" s="140"/>
      <c r="J38" s="140"/>
      <c r="K38" s="140"/>
      <c r="L38" t="s">
        <v>3017</v>
      </c>
      <c r="M38" s="148" cm="1">
        <f t="array" ref="M38:N38">'NGÂN HÀNG'!E16:F16</f>
        <v>6.2999999999999992E-3</v>
      </c>
      <c r="N38" s="100">
        <v>0.97610638241678682</v>
      </c>
      <c r="O38" s="140"/>
      <c r="P38" s="140"/>
      <c r="Q38" s="140"/>
      <c r="S38" s="140"/>
      <c r="T38" s="140"/>
      <c r="W38" s="140"/>
      <c r="X38" s="148"/>
      <c r="Y38" s="148"/>
      <c r="Z38" s="148"/>
      <c r="AA38" s="148"/>
      <c r="AB38" s="148"/>
      <c r="AC38" s="148"/>
      <c r="AD38" s="148"/>
      <c r="AF38" s="140"/>
    </row>
    <row r="39" spans="1:56" customFormat="1" x14ac:dyDescent="0.2">
      <c r="A39" s="149">
        <v>1</v>
      </c>
      <c r="B39" t="str">
        <v>S&amp;P 500 Futures</v>
      </c>
      <c r="C39">
        <v>7537.4</v>
      </c>
      <c r="D39">
        <v>21.6</v>
      </c>
      <c r="E39" s="100">
        <v>2.8999999999999998E-3</v>
      </c>
      <c r="F39" s="140"/>
      <c r="G39" s="140"/>
      <c r="H39" s="140"/>
      <c r="I39" s="140"/>
      <c r="J39" s="140"/>
      <c r="K39" s="140"/>
      <c r="L39" t="s">
        <v>3189</v>
      </c>
      <c r="M39" s="85" cm="1">
        <f t="array" ref="M39:N39">VINGROUP!E16:F16</f>
        <v>-1.29E-2</v>
      </c>
      <c r="N39" s="100">
        <v>0.84937769123800111</v>
      </c>
      <c r="O39" s="140"/>
      <c r="P39" s="140"/>
      <c r="Q39" s="140"/>
      <c r="R39" s="140"/>
      <c r="S39" s="140"/>
      <c r="T39" s="140"/>
      <c r="W39" s="140"/>
      <c r="X39" s="148"/>
      <c r="Y39" s="148"/>
      <c r="Z39" s="148"/>
      <c r="AA39" s="148"/>
      <c r="AB39" s="148"/>
      <c r="AC39" s="148"/>
      <c r="AD39" s="148"/>
      <c r="AF39" s="140"/>
    </row>
    <row r="40" spans="1:56" customFormat="1" x14ac:dyDescent="0.2">
      <c r="A40" s="149">
        <v>2</v>
      </c>
      <c r="B40" t="str">
        <v>US Tech Futures</v>
      </c>
      <c r="C40">
        <v>29560.1</v>
      </c>
      <c r="D40">
        <v>296</v>
      </c>
      <c r="E40" s="100">
        <v>1.01E-2</v>
      </c>
      <c r="F40" s="140"/>
      <c r="G40" s="140"/>
      <c r="H40" s="140"/>
      <c r="I40" s="140"/>
      <c r="J40" s="140"/>
      <c r="K40" s="140"/>
      <c r="L40" t="s">
        <v>3032</v>
      </c>
      <c r="M40" s="148" cm="1">
        <f t="array" ref="M40:N40">'CHỨNG KHOÁN'!E16:F16</f>
        <v>5.4499999999999991E-3</v>
      </c>
      <c r="N40" s="100">
        <v>0.65057002990416057</v>
      </c>
      <c r="O40" s="140"/>
      <c r="P40" s="140"/>
      <c r="Q40" s="140"/>
      <c r="R40" s="140"/>
      <c r="S40" s="140"/>
      <c r="T40" s="140"/>
      <c r="W40" s="140"/>
      <c r="X40" s="148"/>
      <c r="Y40" s="148"/>
      <c r="Z40" s="148"/>
      <c r="AA40" s="148"/>
      <c r="AB40" s="148"/>
      <c r="AC40" s="148"/>
      <c r="AD40" s="148"/>
      <c r="AF40" s="140"/>
    </row>
    <row r="41" spans="1:56" customFormat="1" x14ac:dyDescent="0.2">
      <c r="A41" s="149">
        <v>3</v>
      </c>
      <c r="B41" t="str">
        <v>Dow Jones</v>
      </c>
      <c r="C41">
        <v>52538.91</v>
      </c>
      <c r="D41">
        <v>40.270000000000003</v>
      </c>
      <c r="E41" s="100">
        <v>8.0000000000000004E-4</v>
      </c>
      <c r="F41" s="140"/>
      <c r="G41" s="140"/>
      <c r="H41" s="140"/>
      <c r="I41" s="140"/>
      <c r="J41" s="140"/>
      <c r="K41" s="140"/>
      <c r="L41" t="s">
        <v>3075</v>
      </c>
      <c r="M41" s="148" cm="1">
        <f t="array" ref="M41:N41">' DẦU -KHÍ ĐỐT'!F16:G16</f>
        <v>3.8050000000000007E-2</v>
      </c>
      <c r="N41" s="100">
        <v>1.7706643929901884</v>
      </c>
      <c r="O41" s="140"/>
      <c r="P41" s="140"/>
      <c r="Q41" s="140"/>
      <c r="R41" s="140"/>
      <c r="S41" s="140"/>
      <c r="T41" s="140"/>
      <c r="W41" s="140"/>
      <c r="X41" s="148"/>
      <c r="Y41" s="148"/>
      <c r="Z41" s="148"/>
      <c r="AA41" s="148"/>
      <c r="AB41" s="148"/>
      <c r="AC41" s="148"/>
      <c r="AD41" s="148"/>
      <c r="AF41" s="140"/>
    </row>
    <row r="42" spans="1:56" customFormat="1" x14ac:dyDescent="0.2">
      <c r="A42" s="149">
        <v>4</v>
      </c>
      <c r="B42" t="str">
        <v>Nasdaq</v>
      </c>
      <c r="C42">
        <v>26017.439999999999</v>
      </c>
      <c r="D42">
        <v>144.26</v>
      </c>
      <c r="E42" s="100">
        <v>5.6000000000000008E-3</v>
      </c>
      <c r="F42" s="140"/>
      <c r="G42" s="140"/>
      <c r="H42" s="140"/>
      <c r="I42" s="140"/>
      <c r="J42" s="140"/>
      <c r="K42" s="140"/>
      <c r="L42" t="s">
        <v>3010</v>
      </c>
      <c r="M42" s="148" cm="1">
        <f t="array" ref="M42:N42">'CÔNG NGHỆ'!F16:G16</f>
        <v>-4.5299999999999993E-3</v>
      </c>
      <c r="N42" s="100">
        <v>0.65380361921014474</v>
      </c>
      <c r="O42" s="140"/>
      <c r="P42" s="140"/>
      <c r="Q42" s="140"/>
      <c r="R42" s="140"/>
      <c r="S42" s="140"/>
      <c r="T42" s="140"/>
      <c r="W42" s="140"/>
      <c r="X42" s="148"/>
      <c r="Y42" s="148"/>
      <c r="Z42" s="148"/>
      <c r="AA42" s="148"/>
      <c r="AB42" s="148"/>
      <c r="AC42" s="148"/>
      <c r="AD42" s="148"/>
      <c r="AF42" s="140"/>
    </row>
    <row r="43" spans="1:56" customFormat="1" x14ac:dyDescent="0.2">
      <c r="A43" s="149">
        <v>5</v>
      </c>
      <c r="B43" t="str">
        <v>S&amp;P 500</v>
      </c>
      <c r="C43">
        <v>7538.44</v>
      </c>
      <c r="D43">
        <v>23.1</v>
      </c>
      <c r="E43" s="100">
        <v>3.0999999999999999E-3</v>
      </c>
      <c r="F43" s="140"/>
      <c r="G43" s="140"/>
      <c r="H43" s="140"/>
      <c r="I43" s="140"/>
      <c r="J43" s="140"/>
      <c r="K43" s="140"/>
      <c r="L43" t="s">
        <v>3076</v>
      </c>
      <c r="M43" s="148" cm="1">
        <f t="array" ref="M43:N43">'BẢO HIỂM - DV TÀI CHÍNH'!F16:G16</f>
        <v>1.7909090909090911E-3</v>
      </c>
      <c r="N43" s="100">
        <v>0.85420253311892524</v>
      </c>
      <c r="O43" s="140"/>
      <c r="P43" s="140"/>
      <c r="Q43" s="140"/>
      <c r="R43" s="140"/>
      <c r="S43" s="140"/>
      <c r="T43" s="140"/>
      <c r="W43" s="140"/>
      <c r="X43" s="148"/>
      <c r="Y43" s="148"/>
      <c r="Z43" s="148"/>
      <c r="AA43" s="148"/>
      <c r="AB43" s="148"/>
      <c r="AC43" s="148"/>
      <c r="AD43" s="148"/>
      <c r="AF43" s="140"/>
    </row>
    <row r="44" spans="1:56" customFormat="1" x14ac:dyDescent="0.2">
      <c r="A44" s="149">
        <v>6</v>
      </c>
      <c r="B44" t="str">
        <v>Hang Seng</v>
      </c>
      <c r="C44">
        <v>24340.73</v>
      </c>
      <c r="D44">
        <v>127.01</v>
      </c>
      <c r="E44" s="100">
        <v>5.1999999999999998E-3</v>
      </c>
      <c r="F44" s="140"/>
      <c r="G44" s="140"/>
      <c r="H44" s="140"/>
      <c r="I44" s="140"/>
      <c r="J44" s="140"/>
      <c r="K44" s="140"/>
      <c r="L44" t="s">
        <v>3187</v>
      </c>
      <c r="M44" s="148" cm="1">
        <f t="array" ref="M44:N44">'BÁN LẺ'!F16:G16</f>
        <v>1.685E-2</v>
      </c>
      <c r="N44" s="100">
        <v>0.91124736238784176</v>
      </c>
      <c r="O44" s="140"/>
      <c r="P44" s="140"/>
      <c r="Q44" s="140"/>
      <c r="R44" s="140"/>
      <c r="S44" s="140"/>
      <c r="T44" s="140"/>
      <c r="W44" s="140"/>
      <c r="X44" s="148"/>
      <c r="Y44" s="148"/>
      <c r="Z44" s="148"/>
      <c r="AA44" s="148"/>
      <c r="AB44" s="148"/>
      <c r="AC44" s="148"/>
      <c r="AD44" s="148"/>
      <c r="AF44" s="140"/>
    </row>
    <row r="45" spans="1:56" customFormat="1" x14ac:dyDescent="0.2">
      <c r="A45">
        <v>7</v>
      </c>
      <c r="B45" t="str">
        <v>Shanghai</v>
      </c>
      <c r="C45">
        <v>3967.13</v>
      </c>
      <c r="D45">
        <v>53.33</v>
      </c>
      <c r="E45" s="100">
        <v>1.3600000000000001E-2</v>
      </c>
      <c r="F45" s="140"/>
      <c r="G45" s="140"/>
      <c r="H45" s="140"/>
      <c r="I45" s="140"/>
      <c r="J45" s="140"/>
      <c r="K45" s="140"/>
      <c r="L45" t="s">
        <v>3011</v>
      </c>
      <c r="M45" s="148" cm="1">
        <f t="array" ref="M45:N45">'DỆT MAY'!F16:G16</f>
        <v>-2.1818181818181813E-4</v>
      </c>
      <c r="N45" s="100">
        <v>0.79300602919739471</v>
      </c>
      <c r="O45" s="140"/>
      <c r="P45" s="140"/>
      <c r="Q45" s="140"/>
      <c r="R45" s="140"/>
      <c r="S45" s="140"/>
      <c r="T45" s="140"/>
      <c r="W45" s="140"/>
      <c r="X45" s="148"/>
      <c r="Y45" s="148"/>
      <c r="Z45" s="148"/>
      <c r="AA45" s="148"/>
      <c r="AB45" s="148"/>
      <c r="AC45" s="148"/>
      <c r="AD45" s="148"/>
      <c r="AF45" s="140"/>
    </row>
    <row r="46" spans="1:56" customFormat="1" x14ac:dyDescent="0.2">
      <c r="A46">
        <v>8</v>
      </c>
      <c r="B46" t="str">
        <v>Nikkei 225</v>
      </c>
      <c r="C46">
        <v>67750</v>
      </c>
      <c r="D46">
        <v>507.27</v>
      </c>
      <c r="E46" s="100">
        <v>7.4999999999999997E-3</v>
      </c>
      <c r="F46" s="140"/>
      <c r="G46" s="140"/>
      <c r="H46" s="140"/>
      <c r="I46" s="140"/>
      <c r="J46" s="140"/>
      <c r="K46" s="140"/>
      <c r="L46" t="s">
        <v>3077</v>
      </c>
      <c r="M46" s="148" cm="1">
        <f t="array" ref="M46:N46">'NĂNG LƯỢNG - TB ĐIỆN'!F16:G16</f>
        <v>3.1312500000000008E-3</v>
      </c>
      <c r="N46" s="100">
        <v>0.81248237796640987</v>
      </c>
      <c r="O46" s="140"/>
      <c r="P46" s="140"/>
      <c r="Q46" s="140"/>
      <c r="R46" s="140"/>
      <c r="S46" s="140"/>
      <c r="T46" s="140"/>
      <c r="W46" s="140"/>
      <c r="X46" s="148"/>
      <c r="Y46" s="148"/>
      <c r="Z46" s="148"/>
      <c r="AA46" s="148"/>
      <c r="AB46" s="148"/>
      <c r="AC46" s="148"/>
      <c r="AD46" s="148"/>
      <c r="AF46" s="140"/>
    </row>
    <row r="47" spans="1:56" customFormat="1" x14ac:dyDescent="0.2">
      <c r="A47">
        <v>9</v>
      </c>
      <c r="B47" t="str">
        <v>KOSPI</v>
      </c>
      <c r="C47">
        <v>6856.83</v>
      </c>
      <c r="D47">
        <v>49.9</v>
      </c>
      <c r="E47" s="100">
        <v>7.3000000000000001E-3</v>
      </c>
      <c r="F47" s="140"/>
      <c r="G47" s="140"/>
      <c r="H47" s="140"/>
      <c r="I47" s="140"/>
      <c r="J47" s="140"/>
      <c r="K47" s="140"/>
      <c r="L47" t="s">
        <v>3012</v>
      </c>
      <c r="M47" s="148" cm="1">
        <f t="array" ref="M47:N47">THÉP!F16:G16</f>
        <v>-8.0111111111111112E-3</v>
      </c>
      <c r="N47" s="100">
        <v>1.4041901066309435</v>
      </c>
      <c r="O47" s="140"/>
      <c r="P47" s="140"/>
      <c r="Q47" s="140"/>
      <c r="R47" s="140"/>
      <c r="S47" s="140"/>
      <c r="T47" s="140"/>
      <c r="W47" s="140"/>
      <c r="X47" s="148"/>
      <c r="Y47" s="148"/>
      <c r="Z47" s="148"/>
      <c r="AA47" s="148"/>
      <c r="AB47" s="148"/>
      <c r="AC47" s="148"/>
      <c r="AD47" s="148"/>
      <c r="AF47" s="140"/>
    </row>
    <row r="48" spans="1:56" customFormat="1" x14ac:dyDescent="0.2">
      <c r="A48">
        <v>10</v>
      </c>
      <c r="B48" t="str">
        <v>Taiwan Weighted</v>
      </c>
      <c r="C48" s="23">
        <v>45380.52</v>
      </c>
      <c r="D48" s="23">
        <v>25.91</v>
      </c>
      <c r="E48" s="100">
        <v>5.9999999999999995E-4</v>
      </c>
      <c r="F48" s="140"/>
      <c r="G48" s="140"/>
      <c r="H48" s="140"/>
      <c r="I48" s="140"/>
      <c r="J48" s="140"/>
      <c r="K48" s="140"/>
      <c r="L48" t="s">
        <v>3073</v>
      </c>
      <c r="M48" s="148" cm="1">
        <f t="array" ref="M48:N48">'HÓA CHẤT -NHỰA'!F16:G16</f>
        <v>1.1714285714285714E-2</v>
      </c>
      <c r="N48" s="100">
        <v>1.0479929307722398</v>
      </c>
      <c r="O48" s="140"/>
      <c r="P48" s="140"/>
      <c r="Q48" s="140"/>
      <c r="R48" s="140"/>
      <c r="S48" s="140"/>
      <c r="T48" s="140"/>
      <c r="W48" s="140"/>
      <c r="X48" s="148"/>
      <c r="Y48" s="148"/>
      <c r="Z48" s="148"/>
      <c r="AA48" s="148"/>
      <c r="AB48" s="148"/>
      <c r="AC48" s="148"/>
      <c r="AD48" s="148"/>
      <c r="AF48" s="140"/>
    </row>
    <row r="49" spans="1:32" customFormat="1" x14ac:dyDescent="0.2">
      <c r="A49">
        <v>11</v>
      </c>
      <c r="B49" t="str">
        <v>FTSE 100</v>
      </c>
      <c r="C49">
        <v>10535.47</v>
      </c>
      <c r="D49">
        <v>37.18</v>
      </c>
      <c r="E49" s="100">
        <v>3.4999999999999996E-3</v>
      </c>
      <c r="F49" s="140"/>
      <c r="G49" s="140"/>
      <c r="H49" s="140"/>
      <c r="I49" s="140"/>
      <c r="J49" s="140"/>
      <c r="K49" s="140"/>
      <c r="L49" t="s">
        <v>3078</v>
      </c>
      <c r="M49" s="148" cm="1">
        <f t="array" ref="M49:N49">'Y TẾ - DƯỢC'!F16:G16</f>
        <v>5.4000000000000003E-3</v>
      </c>
      <c r="N49" s="100">
        <v>2.1000216743194469</v>
      </c>
      <c r="O49" s="140"/>
      <c r="P49" s="140"/>
      <c r="Q49" s="140"/>
      <c r="R49" s="140"/>
      <c r="S49" s="140"/>
      <c r="T49" s="140"/>
      <c r="AF49" s="140"/>
    </row>
    <row r="50" spans="1:32" customFormat="1" x14ac:dyDescent="0.2">
      <c r="A50">
        <v>12</v>
      </c>
      <c r="B50" t="str">
        <v>DAX</v>
      </c>
      <c r="C50">
        <v>25083.43</v>
      </c>
      <c r="D50">
        <v>-3.75</v>
      </c>
      <c r="E50" s="100">
        <v>-1E-4</v>
      </c>
      <c r="F50" s="140"/>
      <c r="G50" s="140"/>
      <c r="H50" s="140"/>
      <c r="I50" s="140"/>
      <c r="J50" s="140"/>
      <c r="K50" s="140"/>
      <c r="L50" t="s">
        <v>3009</v>
      </c>
      <c r="M50" s="148" cm="1">
        <f t="array" ref="M50:N50">BĐS!F16:G16</f>
        <v>2.9619047619047611E-3</v>
      </c>
      <c r="N50" s="100">
        <v>0.97276475009240704</v>
      </c>
      <c r="O50" s="140"/>
      <c r="P50" s="140"/>
      <c r="Q50" s="140"/>
      <c r="R50" s="140"/>
      <c r="S50" s="140"/>
      <c r="T50" s="140"/>
      <c r="X50" s="140"/>
      <c r="AF50" s="140"/>
    </row>
    <row r="51" spans="1:32" customFormat="1" x14ac:dyDescent="0.2">
      <c r="A51">
        <v>13</v>
      </c>
      <c r="B51" t="str">
        <v>CAC 40</v>
      </c>
      <c r="C51">
        <v>8363.15</v>
      </c>
      <c r="D51">
        <v>-1.5</v>
      </c>
      <c r="E51" s="100">
        <v>-2.0000000000000001E-4</v>
      </c>
      <c r="F51" s="140"/>
      <c r="G51" s="140"/>
      <c r="H51" s="140"/>
      <c r="I51" s="140"/>
      <c r="J51" s="140"/>
      <c r="K51" s="140"/>
      <c r="L51" t="s">
        <v>2994</v>
      </c>
      <c r="M51" s="148" cm="1">
        <f t="array" ref="M51:N51">'THỰC PHẨM-THỦY SẢN'!F16:G16</f>
        <v>3.3952380952380948E-3</v>
      </c>
      <c r="N51" s="100">
        <v>1.1177338327867608</v>
      </c>
      <c r="O51" s="140"/>
      <c r="P51" s="140"/>
      <c r="Q51" s="140"/>
      <c r="R51" s="140"/>
      <c r="S51" s="140"/>
      <c r="T51" s="140"/>
      <c r="AF51" s="140"/>
    </row>
    <row r="52" spans="1:32" customFormat="1" x14ac:dyDescent="0.2">
      <c r="A52">
        <v>14</v>
      </c>
      <c r="B52" t="str">
        <v>FTSE Straits Times Singapore</v>
      </c>
      <c r="C52">
        <v>5495.61</v>
      </c>
      <c r="D52">
        <v>25.27</v>
      </c>
      <c r="E52" s="100">
        <v>4.5999999999999999E-3</v>
      </c>
      <c r="F52" s="140"/>
      <c r="G52" s="140"/>
      <c r="H52" s="140"/>
      <c r="I52" s="140"/>
      <c r="J52" s="140"/>
      <c r="K52" s="140"/>
      <c r="L52" t="s">
        <v>212</v>
      </c>
      <c r="M52" s="148" cm="1">
        <f t="array" ref="M52:N52">'VẬN TẢI - Logistics'!F16:G16</f>
        <v>6.3722222222222218E-3</v>
      </c>
      <c r="N52" s="100">
        <v>1.2226236264102159</v>
      </c>
      <c r="O52" s="140"/>
      <c r="P52" s="140"/>
      <c r="Q52" s="140"/>
      <c r="R52" s="140"/>
      <c r="S52" s="140"/>
      <c r="T52" s="140"/>
      <c r="AF52" s="140"/>
    </row>
    <row r="53" spans="1:32" customFormat="1" ht="17.25" customHeight="1" x14ac:dyDescent="0.2">
      <c r="A53" s="23">
        <v>15</v>
      </c>
      <c r="B53" s="23" t="str">
        <v>Nifty 50</v>
      </c>
      <c r="C53" s="23">
        <v>24052.05</v>
      </c>
      <c r="D53">
        <v>-158.94999999999999</v>
      </c>
      <c r="E53" s="100">
        <v>-6.6E-3</v>
      </c>
      <c r="F53" s="140"/>
      <c r="G53" s="140"/>
      <c r="H53" s="140"/>
      <c r="I53" s="140"/>
      <c r="J53" s="140"/>
      <c r="K53" s="140"/>
      <c r="L53" t="s">
        <v>3079</v>
      </c>
      <c r="M53" s="148" cm="1">
        <f t="array" ref="M53:N53">'VLXD-NỘI THẤT'!F16:G16</f>
        <v>-1.6764705882352951E-3</v>
      </c>
      <c r="N53" s="100">
        <v>1.4173831754858845</v>
      </c>
      <c r="O53" s="140"/>
      <c r="P53" s="140"/>
      <c r="Q53" s="140"/>
      <c r="R53" s="140"/>
      <c r="S53" s="140"/>
      <c r="T53" s="140"/>
      <c r="U53" s="140"/>
      <c r="AF53" s="140"/>
    </row>
    <row r="54" spans="1:32" customFormat="1" ht="13.5" customHeight="1" x14ac:dyDescent="0.2">
      <c r="A54" s="23">
        <v>16</v>
      </c>
      <c r="B54" s="23" t="str">
        <v>S&amp;P/ASX 200</v>
      </c>
      <c r="C54" s="23">
        <v>8808.5</v>
      </c>
      <c r="D54">
        <v>0</v>
      </c>
      <c r="E54" s="100">
        <v>0</v>
      </c>
      <c r="G54" s="140"/>
      <c r="H54" s="140"/>
      <c r="I54" s="140"/>
      <c r="J54" s="140"/>
      <c r="K54" s="140"/>
      <c r="L54" t="s">
        <v>3163</v>
      </c>
      <c r="M54" s="148" cm="1">
        <f t="array" ref="M54:N54">ĐTC!F16:G16</f>
        <v>4.6545454545454529E-3</v>
      </c>
      <c r="N54" s="100">
        <v>0.98786990666915253</v>
      </c>
      <c r="O54" s="140"/>
      <c r="P54" s="140"/>
      <c r="Q54" s="140"/>
      <c r="R54" s="140"/>
      <c r="S54" s="140"/>
      <c r="T54" s="140"/>
      <c r="U54" s="140"/>
      <c r="AF54" s="140"/>
    </row>
    <row r="55" spans="1:32" customFormat="1" x14ac:dyDescent="0.2">
      <c r="A55" s="149">
        <v>17</v>
      </c>
      <c r="B55" t="str">
        <v>IDX Composite</v>
      </c>
      <c r="C55" s="23">
        <v>6036.44</v>
      </c>
      <c r="D55">
        <v>-1.4</v>
      </c>
      <c r="E55" s="100">
        <v>-2.0000000000000001E-4</v>
      </c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AF55" s="140"/>
    </row>
    <row r="56" spans="1:32" customFormat="1" x14ac:dyDescent="0.2">
      <c r="A56" s="149">
        <v>18</v>
      </c>
      <c r="B56" t="str">
        <v>US Dollar Index</v>
      </c>
      <c r="C56" s="23">
        <v>100.7</v>
      </c>
      <c r="D56">
        <v>-0.54</v>
      </c>
      <c r="E56" s="100">
        <v>-5.3E-3</v>
      </c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AF56" s="140"/>
    </row>
    <row r="57" spans="1:32" customFormat="1" x14ac:dyDescent="0.2">
      <c r="A57" s="149">
        <v>19</v>
      </c>
      <c r="B57" t="str">
        <v>Space Exploration Technologies Corp</v>
      </c>
      <c r="C57" s="23">
        <v>141.62</v>
      </c>
      <c r="D57">
        <v>2.48</v>
      </c>
      <c r="E57" s="100">
        <v>1.78E-2</v>
      </c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AF57" s="140"/>
    </row>
    <row r="58" spans="1:32" customFormat="1" x14ac:dyDescent="0.2">
      <c r="A58" s="149">
        <v>20</v>
      </c>
      <c r="B58" t="str">
        <v>VinFast Auto Ltd. Ordinary Shares (VFS)</v>
      </c>
      <c r="C58" s="23">
        <v>3.13</v>
      </c>
      <c r="D58">
        <v>0.05</v>
      </c>
      <c r="E58" s="100">
        <v>1.6200000000000003E-2</v>
      </c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AF58" s="140"/>
    </row>
    <row r="59" spans="1:32" customFormat="1" ht="15.75" customHeight="1" thickBot="1" x14ac:dyDescent="0.25">
      <c r="A59" s="149"/>
      <c r="C59" s="23"/>
      <c r="E59" s="10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AF59" s="140"/>
    </row>
    <row r="60" spans="1:32" customFormat="1" ht="25.5" x14ac:dyDescent="0.2">
      <c r="A60" s="270" t="s">
        <v>3036</v>
      </c>
      <c r="B60" s="270" t="s">
        <v>3037</v>
      </c>
      <c r="C60" s="203" t="s">
        <v>3038</v>
      </c>
      <c r="D60" s="272" t="s">
        <v>3040</v>
      </c>
      <c r="E60" s="273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AF60" s="140"/>
    </row>
    <row r="61" spans="1:32" customFormat="1" ht="15" customHeight="1" thickBot="1" x14ac:dyDescent="0.25">
      <c r="A61" s="271"/>
      <c r="B61" s="271"/>
      <c r="C61" s="204" t="s">
        <v>3039</v>
      </c>
      <c r="D61" s="274" t="s">
        <v>3041</v>
      </c>
      <c r="E61" s="275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W61" s="140"/>
      <c r="AF61" s="140"/>
    </row>
    <row r="62" spans="1:32" customFormat="1" ht="15" customHeight="1" thickBot="1" x14ac:dyDescent="0.25">
      <c r="A62" s="205" t="s">
        <v>3042</v>
      </c>
      <c r="B62" s="182"/>
      <c r="C62" s="182"/>
      <c r="D62" s="266"/>
      <c r="E62" s="267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W62" s="140"/>
      <c r="AF62" s="140"/>
    </row>
    <row r="63" spans="1:32" customFormat="1" ht="15" customHeight="1" thickBot="1" x14ac:dyDescent="0.25">
      <c r="A63" s="206" t="s">
        <v>3048</v>
      </c>
      <c r="B63" s="207" t="s">
        <v>3121</v>
      </c>
      <c r="C63" s="207" t="s">
        <v>3121</v>
      </c>
      <c r="D63" s="268">
        <v>4</v>
      </c>
      <c r="E63" s="269"/>
      <c r="K63" s="140"/>
      <c r="L63" s="140"/>
      <c r="M63" s="140"/>
      <c r="N63" s="140"/>
      <c r="O63" s="140"/>
      <c r="P63" s="140"/>
      <c r="Q63" s="140"/>
      <c r="R63" s="140"/>
      <c r="S63" s="140"/>
      <c r="U63" s="140"/>
      <c r="W63" s="140"/>
    </row>
    <row r="64" spans="1:32" customFormat="1" ht="15" customHeight="1" thickBot="1" x14ac:dyDescent="0.25">
      <c r="A64" s="206" t="s">
        <v>3119</v>
      </c>
      <c r="B64" s="207" t="s">
        <v>3121</v>
      </c>
      <c r="C64" s="207" t="s">
        <v>3121</v>
      </c>
      <c r="D64" s="268">
        <v>4</v>
      </c>
      <c r="E64" s="269"/>
      <c r="K64" s="140"/>
      <c r="L64" s="140"/>
      <c r="M64" s="140"/>
      <c r="N64" s="140"/>
      <c r="O64" s="140"/>
      <c r="P64" s="140"/>
      <c r="Q64" s="140"/>
      <c r="R64" s="140"/>
      <c r="S64" s="140"/>
      <c r="U64" s="140"/>
      <c r="W64" s="140"/>
    </row>
    <row r="65" spans="1:23" customFormat="1" ht="15" customHeight="1" thickBot="1" x14ac:dyDescent="0.25">
      <c r="A65" s="208" t="s">
        <v>3043</v>
      </c>
      <c r="B65" s="182"/>
      <c r="C65" s="209" t="s">
        <v>3121</v>
      </c>
      <c r="D65" s="266"/>
      <c r="E65" s="267"/>
      <c r="K65" s="140"/>
      <c r="L65" s="140"/>
      <c r="M65" s="140"/>
      <c r="N65" s="140"/>
      <c r="O65" s="140"/>
      <c r="P65" s="140"/>
      <c r="Q65" s="140"/>
      <c r="R65" s="140"/>
      <c r="S65" s="140"/>
      <c r="U65" s="140"/>
      <c r="W65" s="140"/>
    </row>
    <row r="66" spans="1:23" customFormat="1" ht="15" customHeight="1" thickBot="1" x14ac:dyDescent="0.25">
      <c r="A66" s="205" t="s">
        <v>3120</v>
      </c>
      <c r="B66" s="182"/>
      <c r="C66" s="182"/>
      <c r="D66" s="266"/>
      <c r="E66" s="267"/>
      <c r="K66" s="140"/>
      <c r="L66" s="140"/>
      <c r="M66" s="140"/>
      <c r="N66" s="140"/>
      <c r="O66" s="140"/>
      <c r="P66" s="140"/>
      <c r="Q66" s="140"/>
      <c r="R66" s="140"/>
      <c r="S66" s="140"/>
      <c r="U66" s="140"/>
      <c r="W66" s="140"/>
    </row>
    <row r="67" spans="1:23" customFormat="1" ht="15" customHeight="1" thickBot="1" x14ac:dyDescent="0.25">
      <c r="A67" s="206" t="s">
        <v>3048</v>
      </c>
      <c r="B67" s="207" t="s">
        <v>3121</v>
      </c>
      <c r="C67" s="207" t="s">
        <v>3121</v>
      </c>
      <c r="D67" s="268">
        <v>4</v>
      </c>
      <c r="E67" s="269"/>
      <c r="K67" s="140"/>
      <c r="L67" s="140"/>
      <c r="M67" s="140"/>
      <c r="N67" s="140"/>
      <c r="O67" s="140"/>
      <c r="P67" s="140"/>
      <c r="Q67" s="140"/>
      <c r="R67" s="140"/>
      <c r="S67" s="140"/>
      <c r="U67" s="140"/>
      <c r="W67" s="140"/>
    </row>
    <row r="68" spans="1:23" customFormat="1" ht="15.75" thickBot="1" x14ac:dyDescent="0.25">
      <c r="A68" s="208" t="s">
        <v>3043</v>
      </c>
      <c r="B68" s="182"/>
      <c r="C68" s="209" t="s">
        <v>3121</v>
      </c>
      <c r="D68" s="266"/>
      <c r="E68" s="267"/>
      <c r="K68" s="140"/>
      <c r="L68" s="140"/>
      <c r="M68" s="140"/>
      <c r="N68" s="140"/>
      <c r="O68" s="140"/>
      <c r="P68" s="140"/>
      <c r="Q68" s="140"/>
      <c r="R68" s="140"/>
      <c r="S68" s="140"/>
      <c r="U68" s="140"/>
      <c r="W68" s="140"/>
    </row>
    <row r="69" spans="1:23" customFormat="1" x14ac:dyDescent="0.2">
      <c r="K69" s="140"/>
      <c r="L69" s="140"/>
      <c r="M69" s="140"/>
      <c r="N69" s="140"/>
      <c r="O69" s="140"/>
      <c r="P69" s="140"/>
      <c r="Q69" s="140"/>
      <c r="R69" s="140"/>
      <c r="S69" s="140"/>
      <c r="U69" s="140"/>
      <c r="W69" s="140"/>
    </row>
    <row r="70" spans="1:23" customFormat="1" x14ac:dyDescent="0.2">
      <c r="A70" t="str" cm="1">
        <f t="array" ref="A70:H87">gia_vang_24money()</f>
        <v/>
      </c>
      <c r="B70" t="str">
        <v>Last</v>
      </c>
      <c r="C70" t="str">
        <v>footer</v>
      </c>
      <c r="D70" t="str">
        <v>text</v>
      </c>
      <c r="E70" t="str">
        <v>Percent</v>
      </c>
      <c r="F70" t="str">
        <v>change</v>
      </c>
      <c r="G70" t="str">
        <v>symbol</v>
      </c>
      <c r="H70" t="str">
        <v>extra_name</v>
      </c>
      <c r="K70" s="140"/>
      <c r="L70" s="140"/>
      <c r="M70" s="140"/>
      <c r="N70" s="140"/>
      <c r="O70" s="140"/>
      <c r="P70" s="140"/>
      <c r="Q70" s="140"/>
      <c r="R70" s="140"/>
      <c r="S70" s="140"/>
      <c r="U70" s="140"/>
      <c r="W70" s="140"/>
    </row>
    <row r="71" spans="1:23" customFormat="1" x14ac:dyDescent="0.2">
      <c r="A71">
        <v>0</v>
      </c>
      <c r="B71" t="str">
        <v>4,084.84 $</v>
      </c>
      <c r="C71" t="str">
        <v>Gold Spot US Dollar</v>
      </c>
      <c r="D71" t="str">
        <v>XAU/USD</v>
      </c>
      <c r="E71">
        <v>2.0899999999999998E-2</v>
      </c>
      <c r="F71">
        <v>83.71</v>
      </c>
      <c r="G71" t="str">
        <v>USD_XAU</v>
      </c>
      <c r="H71" t="str">
        <v>giá vàng thế giới</v>
      </c>
      <c r="K71" s="140"/>
      <c r="L71" s="140"/>
      <c r="M71" s="140"/>
      <c r="N71" s="140"/>
      <c r="O71" s="140"/>
      <c r="P71" s="140"/>
      <c r="Q71" s="140"/>
      <c r="R71" s="140"/>
      <c r="S71" s="140"/>
      <c r="U71" s="140"/>
      <c r="W71" s="140"/>
    </row>
    <row r="72" spans="1:23" customFormat="1" x14ac:dyDescent="0.2">
      <c r="A72">
        <v>1</v>
      </c>
      <c r="B72" t="str">
        <v>59.39 $</v>
      </c>
      <c r="C72" t="str">
        <v>Silver Spot US Dollar</v>
      </c>
      <c r="D72" t="str">
        <v>XAG/USD</v>
      </c>
      <c r="E72">
        <v>0.03</v>
      </c>
      <c r="F72">
        <v>1.73</v>
      </c>
      <c r="G72" t="str">
        <v>USD_XAG</v>
      </c>
      <c r="H72" t="str">
        <v>giá bạc thế giới</v>
      </c>
      <c r="K72" s="140"/>
      <c r="L72" s="140"/>
      <c r="M72" s="140"/>
      <c r="N72" s="140"/>
      <c r="O72" s="140"/>
      <c r="P72" s="140"/>
      <c r="Q72" s="140"/>
      <c r="R72" s="140"/>
      <c r="S72" s="140"/>
      <c r="U72" s="140"/>
      <c r="W72" s="140"/>
    </row>
    <row r="73" spans="1:23" customFormat="1" x14ac:dyDescent="0.2">
      <c r="A73">
        <v>2</v>
      </c>
      <c r="B73" t="str">
        <v>147,500</v>
      </c>
      <c r="C73" t="str">
        <v>Vàng Miếng SJC</v>
      </c>
      <c r="D73" t="str">
        <v>Vàng Miếng SJC</v>
      </c>
      <c r="E73">
        <v>-6.0999999999999995E-3</v>
      </c>
      <c r="F73">
        <v>-900</v>
      </c>
      <c r="G73" t="str">
        <v>SJC_VANG_MIENG</v>
      </c>
      <c r="H73" t="str">
        <v/>
      </c>
      <c r="K73" s="140"/>
      <c r="L73" s="140"/>
      <c r="M73" s="140"/>
      <c r="N73" s="140"/>
      <c r="O73" s="140"/>
      <c r="P73" s="140"/>
      <c r="Q73" s="140"/>
      <c r="R73" s="140"/>
      <c r="S73" s="140"/>
      <c r="U73" s="140"/>
      <c r="W73" s="140"/>
    </row>
    <row r="74" spans="1:23" customFormat="1" x14ac:dyDescent="0.2">
      <c r="A74">
        <v>3</v>
      </c>
      <c r="B74" t="str">
        <v>147,000</v>
      </c>
      <c r="C74" t="str">
        <v>Vàng Nhẫn SJC</v>
      </c>
      <c r="D74" t="str">
        <v>Vàng Nhẫn SJC</v>
      </c>
      <c r="E74">
        <v>-6.0999999999999995E-3</v>
      </c>
      <c r="F74">
        <v>-900</v>
      </c>
      <c r="G74" t="str">
        <v>SJC_VANG_NHAN</v>
      </c>
      <c r="H74" t="str">
        <v/>
      </c>
      <c r="K74" s="140"/>
      <c r="L74" s="140"/>
      <c r="M74" s="140"/>
      <c r="N74" s="140"/>
      <c r="O74" s="140"/>
      <c r="P74" s="140"/>
      <c r="Q74" s="140"/>
      <c r="R74" s="140"/>
      <c r="S74" s="140"/>
      <c r="U74" s="140"/>
      <c r="W74" s="140"/>
    </row>
    <row r="75" spans="1:23" customFormat="1" x14ac:dyDescent="0.2">
      <c r="A75">
        <v>4</v>
      </c>
      <c r="B75" t="str">
        <v>146,500</v>
      </c>
      <c r="C75" t="str">
        <v>Vàng Nhẫn DOJI</v>
      </c>
      <c r="D75" t="str">
        <v>Nhẫn DOJI</v>
      </c>
      <c r="E75">
        <v>-2E-3</v>
      </c>
      <c r="F75">
        <v>-300</v>
      </c>
      <c r="G75" t="str">
        <v>DOJI_VANG_NHAN</v>
      </c>
      <c r="H75" t="str">
        <v/>
      </c>
      <c r="K75" s="140"/>
      <c r="L75" s="140"/>
      <c r="M75" s="140"/>
      <c r="N75" s="140"/>
      <c r="O75" s="140"/>
      <c r="P75" s="140"/>
      <c r="Q75" s="140"/>
      <c r="R75" s="140"/>
      <c r="S75" s="140"/>
      <c r="U75" s="140"/>
      <c r="W75" s="140"/>
    </row>
    <row r="76" spans="1:23" customFormat="1" x14ac:dyDescent="0.2">
      <c r="A76">
        <v>5</v>
      </c>
      <c r="B76" t="str">
        <v>141,000</v>
      </c>
      <c r="C76" t="str">
        <v>Vàng Nữ trang DOJI</v>
      </c>
      <c r="D76" t="str">
        <v>Nữ trang DOJI</v>
      </c>
      <c r="E76">
        <v>-6.9999999999999993E-3</v>
      </c>
      <c r="F76" t="str">
        <v/>
      </c>
      <c r="G76" t="str">
        <v>DOJI_TRANG_SUC</v>
      </c>
      <c r="H76" t="str">
        <v/>
      </c>
      <c r="K76" s="140"/>
      <c r="L76" s="140"/>
      <c r="M76" s="140"/>
      <c r="N76" s="140"/>
      <c r="O76" s="140"/>
      <c r="P76" s="140"/>
      <c r="Q76" s="140"/>
      <c r="R76" s="140"/>
      <c r="S76" s="140"/>
      <c r="U76" s="140"/>
      <c r="W76" s="140"/>
    </row>
    <row r="77" spans="1:23" customFormat="1" x14ac:dyDescent="0.2">
      <c r="A77">
        <v>6</v>
      </c>
      <c r="B77" t="str">
        <v>147,000</v>
      </c>
      <c r="C77" t="str">
        <v>Vàng Nhẫn PNJ</v>
      </c>
      <c r="D77" t="str">
        <v>Nhẫn PNJ</v>
      </c>
      <c r="E77">
        <v>7.000000000000001E-4</v>
      </c>
      <c r="F77">
        <v>100</v>
      </c>
      <c r="G77" t="str">
        <v>PNJ_VANG_NHAN</v>
      </c>
      <c r="H77" t="str">
        <v/>
      </c>
      <c r="K77" s="140"/>
      <c r="L77" s="140"/>
      <c r="M77" s="140"/>
      <c r="N77" s="140"/>
      <c r="O77" s="140"/>
      <c r="P77" s="140"/>
      <c r="Q77" s="140"/>
      <c r="R77" s="140"/>
      <c r="S77" s="140"/>
      <c r="U77" s="140"/>
    </row>
    <row r="78" spans="1:23" customFormat="1" x14ac:dyDescent="0.2">
      <c r="A78">
        <v>7</v>
      </c>
      <c r="B78" t="str">
        <v>145,000</v>
      </c>
      <c r="C78" t="str">
        <v>Vàng Nữ trang PNJ</v>
      </c>
      <c r="D78" t="str">
        <v>Nữ trang PNJ</v>
      </c>
      <c r="E78">
        <v>0</v>
      </c>
      <c r="F78">
        <v>0</v>
      </c>
      <c r="G78" t="str">
        <v>PNJ_TRANG_SUC</v>
      </c>
      <c r="H78" t="str">
        <v/>
      </c>
      <c r="K78" s="140"/>
      <c r="L78" s="140"/>
      <c r="M78" s="140"/>
      <c r="N78" s="140"/>
      <c r="O78" s="140"/>
      <c r="P78" s="140"/>
      <c r="Q78" s="140"/>
      <c r="R78" s="140"/>
      <c r="S78" s="140"/>
      <c r="U78" s="140"/>
    </row>
    <row r="79" spans="1:23" customFormat="1" x14ac:dyDescent="0.2">
      <c r="A79">
        <v>8</v>
      </c>
      <c r="B79" t="str">
        <v>146,500</v>
      </c>
      <c r="C79" t="str">
        <v>Vàng Miếng Bảo Tín Minh Châu</v>
      </c>
      <c r="D79" t="str">
        <v>Miếng BTMC</v>
      </c>
      <c r="E79">
        <v>-3.4000000000000002E-3</v>
      </c>
      <c r="F79">
        <v>-500</v>
      </c>
      <c r="G79" t="str">
        <v>BTMC_VANG_MIENG</v>
      </c>
      <c r="H79" t="str">
        <v/>
      </c>
      <c r="K79" s="140"/>
      <c r="L79" s="140"/>
      <c r="M79" s="140"/>
      <c r="N79" s="140"/>
      <c r="O79" s="140"/>
      <c r="P79" s="140"/>
      <c r="Q79" s="140"/>
      <c r="R79" s="140"/>
      <c r="S79" s="140"/>
      <c r="U79" s="140"/>
    </row>
    <row r="80" spans="1:23" customFormat="1" x14ac:dyDescent="0.2">
      <c r="A80">
        <v>9</v>
      </c>
      <c r="B80" t="str">
        <v>145,500</v>
      </c>
      <c r="C80" t="str">
        <v>Vàng Trang sức Bảo Tín Minh Châu</v>
      </c>
      <c r="D80" t="str">
        <v>Trang sức BTMC</v>
      </c>
      <c r="E80">
        <v>-3.4000000000000002E-3</v>
      </c>
      <c r="F80">
        <v>-500</v>
      </c>
      <c r="G80" t="str">
        <v>BTMC_TRANG_SUC</v>
      </c>
      <c r="H80" t="str">
        <v/>
      </c>
      <c r="K80" s="140"/>
      <c r="L80" s="140"/>
      <c r="M80" s="140"/>
      <c r="N80" s="140"/>
      <c r="O80" s="140"/>
      <c r="P80" s="140"/>
      <c r="Q80" s="140"/>
      <c r="R80" s="140"/>
      <c r="S80" s="140"/>
      <c r="U80" s="140"/>
    </row>
    <row r="81" spans="1:21" customFormat="1" x14ac:dyDescent="0.2">
      <c r="A81">
        <v>10</v>
      </c>
      <c r="B81" t="str">
        <v>146,500</v>
      </c>
      <c r="C81" t="str">
        <v>Vàng Nhẫn Bảo Tín Mạnh Hải</v>
      </c>
      <c r="D81" t="str">
        <v>Nhẫn BTMH</v>
      </c>
      <c r="E81">
        <v>-2E-3</v>
      </c>
      <c r="F81">
        <v>-300</v>
      </c>
      <c r="G81" t="str">
        <v>BTMH_VANG_NHAN</v>
      </c>
      <c r="H81" t="str">
        <v/>
      </c>
      <c r="K81" s="140"/>
      <c r="L81" s="140"/>
      <c r="M81" s="140"/>
      <c r="N81" s="140"/>
      <c r="O81" s="140"/>
      <c r="P81" s="140"/>
      <c r="Q81" s="140"/>
      <c r="R81" s="140"/>
      <c r="S81" s="140"/>
      <c r="U81" s="140"/>
    </row>
    <row r="82" spans="1:21" customFormat="1" x14ac:dyDescent="0.2">
      <c r="A82">
        <v>11</v>
      </c>
      <c r="B82" t="str">
        <v>145,500</v>
      </c>
      <c r="C82" t="str">
        <v>Vàng Trang sức Bảo Tín Mạnh Hải</v>
      </c>
      <c r="D82" t="str">
        <v>Trang sức BTMH</v>
      </c>
      <c r="E82">
        <v>-3.4000000000000002E-3</v>
      </c>
      <c r="F82">
        <v>-500</v>
      </c>
      <c r="G82" t="str">
        <v>BTMH_TRANG_SUC</v>
      </c>
      <c r="H82" t="str">
        <v/>
      </c>
      <c r="K82" s="140"/>
      <c r="L82" s="140"/>
      <c r="M82" s="140"/>
      <c r="N82" s="140"/>
      <c r="O82" s="140"/>
      <c r="P82" s="140"/>
      <c r="Q82" s="140"/>
      <c r="R82" s="140"/>
      <c r="S82" s="140"/>
      <c r="U82" s="140"/>
    </row>
    <row r="83" spans="1:21" customFormat="1" x14ac:dyDescent="0.2">
      <c r="A83">
        <v>12</v>
      </c>
      <c r="B83" t="str">
        <v>143,000</v>
      </c>
      <c r="C83" t="str">
        <v>Vàng Nhẫn Ngọc Hải</v>
      </c>
      <c r="D83" t="str">
        <v>Nhẫn Ngọc Hải</v>
      </c>
      <c r="E83">
        <v>-6.8999999999999999E-3</v>
      </c>
      <c r="F83" t="str">
        <v/>
      </c>
      <c r="G83" t="str">
        <v>NGOCHAI_VANG_NHAN</v>
      </c>
      <c r="H83" t="str">
        <v/>
      </c>
      <c r="K83" s="140"/>
      <c r="L83" s="140"/>
      <c r="M83" s="140"/>
      <c r="N83" s="140"/>
      <c r="O83" s="140"/>
      <c r="P83" s="140"/>
      <c r="Q83" s="140"/>
      <c r="R83" s="140"/>
      <c r="S83" s="140"/>
      <c r="U83" s="140"/>
    </row>
    <row r="84" spans="1:21" customFormat="1" x14ac:dyDescent="0.2">
      <c r="A84">
        <v>13</v>
      </c>
      <c r="B84" t="str">
        <v>143,000</v>
      </c>
      <c r="C84" t="str">
        <v>Vàng Trang sức Ngọc Hải</v>
      </c>
      <c r="D84" t="str">
        <v>Trang sức Ngọc Hải</v>
      </c>
      <c r="E84">
        <v>-6.8999999999999999E-3</v>
      </c>
      <c r="F84" t="str">
        <v/>
      </c>
      <c r="G84" t="str">
        <v>NGOCHAI_TRANG_SUC</v>
      </c>
      <c r="H84" t="str">
        <v/>
      </c>
      <c r="K84" s="140"/>
      <c r="L84" s="140"/>
      <c r="M84" s="140"/>
      <c r="N84" s="140"/>
      <c r="O84" s="140"/>
      <c r="P84" s="140"/>
      <c r="Q84" s="140"/>
      <c r="R84" s="140"/>
      <c r="S84" s="140"/>
      <c r="U84" s="140"/>
    </row>
    <row r="85" spans="1:21" customFormat="1" x14ac:dyDescent="0.2">
      <c r="A85">
        <v>14</v>
      </c>
      <c r="B85" t="str">
        <v>147,500</v>
      </c>
      <c r="C85" t="str">
        <v>Vàng Nhẫn Mi Hồng</v>
      </c>
      <c r="D85" t="str">
        <v>Nhẫn Mi Hồng</v>
      </c>
      <c r="E85">
        <v>2E-3</v>
      </c>
      <c r="F85">
        <v>300</v>
      </c>
      <c r="G85" t="str">
        <v>MIHONG_VANG_NHAN</v>
      </c>
      <c r="H85" t="str">
        <v/>
      </c>
      <c r="K85" s="140"/>
      <c r="L85" s="140"/>
      <c r="M85" s="140"/>
      <c r="N85" s="140"/>
      <c r="O85" s="140"/>
      <c r="P85" s="140"/>
      <c r="Q85" s="140"/>
      <c r="R85" s="140"/>
      <c r="S85" s="140"/>
      <c r="U85" s="140"/>
    </row>
    <row r="86" spans="1:21" customFormat="1" x14ac:dyDescent="0.2">
      <c r="A86">
        <v>15</v>
      </c>
      <c r="B86" t="str">
        <v>60,346</v>
      </c>
      <c r="C86" t="str">
        <v>Bạc Phú Quý (1Kg)</v>
      </c>
      <c r="D86" t="str">
        <v>Bạc Phú Quý (1Kg)</v>
      </c>
      <c r="E86">
        <v>-9.1999999999999998E-3</v>
      </c>
      <c r="F86">
        <v>-559</v>
      </c>
      <c r="G86" t="str">
        <v>BAC_PHU_QUY</v>
      </c>
      <c r="H86" t="str">
        <v/>
      </c>
      <c r="K86" s="140"/>
      <c r="L86" s="140"/>
      <c r="M86" s="140"/>
      <c r="N86" s="140"/>
      <c r="O86" s="140"/>
      <c r="P86" s="140"/>
      <c r="Q86" s="140"/>
      <c r="R86" s="140"/>
      <c r="S86" s="140"/>
      <c r="U86" s="140"/>
    </row>
    <row r="87" spans="1:21" customFormat="1" x14ac:dyDescent="0.2">
      <c r="A87">
        <v>16</v>
      </c>
      <c r="B87" t="str">
        <v>2,263</v>
      </c>
      <c r="C87" t="str">
        <v>Bạc Phú Quý (1L)</v>
      </c>
      <c r="D87" t="str">
        <v>Bạc Phú Quý (1L)</v>
      </c>
      <c r="E87">
        <v>-9.1999999999999998E-3</v>
      </c>
      <c r="F87">
        <v>-21</v>
      </c>
      <c r="G87" t="str">
        <v>BAC_PHU_QUY_1L</v>
      </c>
      <c r="H87" t="str">
        <v/>
      </c>
      <c r="K87" s="140"/>
      <c r="L87" s="140"/>
      <c r="M87" s="140"/>
      <c r="N87" s="140"/>
      <c r="O87" s="140"/>
      <c r="P87" s="140"/>
      <c r="Q87" s="140"/>
      <c r="R87" s="140"/>
      <c r="S87" s="140"/>
      <c r="U87" s="140"/>
    </row>
    <row r="88" spans="1:21" customFormat="1" x14ac:dyDescent="0.2">
      <c r="K88" s="140"/>
      <c r="L88" s="140"/>
      <c r="M88" s="140"/>
      <c r="N88" s="140"/>
      <c r="O88" s="140"/>
      <c r="P88" s="140"/>
      <c r="Q88" s="140"/>
      <c r="R88" s="140"/>
      <c r="S88" s="140"/>
      <c r="U88" s="140"/>
    </row>
    <row r="89" spans="1:21" customFormat="1" x14ac:dyDescent="0.2">
      <c r="K89" s="140"/>
      <c r="L89" s="140"/>
      <c r="M89" s="140"/>
      <c r="N89" s="140"/>
      <c r="O89" s="140"/>
      <c r="P89" s="140"/>
      <c r="Q89" s="140"/>
      <c r="R89" s="140"/>
      <c r="S89" s="140"/>
      <c r="U89" s="140"/>
    </row>
    <row r="90" spans="1:21" customFormat="1" x14ac:dyDescent="0.2">
      <c r="K90" s="140"/>
      <c r="L90" s="140"/>
      <c r="M90" s="140"/>
      <c r="N90" s="140"/>
      <c r="O90" s="140"/>
      <c r="P90" s="140"/>
      <c r="Q90" s="140"/>
      <c r="R90" s="140"/>
      <c r="S90" s="140"/>
      <c r="U90" s="140"/>
    </row>
    <row r="91" spans="1:21" customFormat="1" x14ac:dyDescent="0.2">
      <c r="K91" s="140"/>
      <c r="L91" s="140"/>
      <c r="M91" s="140"/>
      <c r="N91" s="140"/>
      <c r="O91" s="140"/>
      <c r="P91" s="140"/>
      <c r="Q91" s="140"/>
      <c r="R91" s="140"/>
      <c r="S91" s="140"/>
      <c r="U91" s="140"/>
    </row>
    <row r="92" spans="1:21" customFormat="1" x14ac:dyDescent="0.2">
      <c r="K92" s="140"/>
      <c r="L92" s="140"/>
      <c r="M92" s="140"/>
      <c r="N92" s="140"/>
      <c r="O92" s="140"/>
      <c r="P92" s="140"/>
      <c r="Q92" s="140"/>
      <c r="R92" s="140"/>
      <c r="S92" s="140"/>
      <c r="U92" s="140"/>
    </row>
    <row r="93" spans="1:21" customFormat="1" x14ac:dyDescent="0.2">
      <c r="K93" s="140"/>
      <c r="L93" s="140"/>
      <c r="M93" s="140"/>
      <c r="N93" s="140"/>
      <c r="O93" s="140"/>
      <c r="P93" s="140"/>
      <c r="Q93" s="140"/>
      <c r="R93" s="140"/>
      <c r="S93" s="140"/>
      <c r="U93" s="140"/>
    </row>
    <row r="94" spans="1:21" customFormat="1" x14ac:dyDescent="0.2">
      <c r="K94" s="140"/>
      <c r="L94" s="140"/>
      <c r="M94" s="140"/>
      <c r="N94" s="140"/>
      <c r="O94" s="140"/>
      <c r="P94" s="140"/>
      <c r="Q94" s="140"/>
      <c r="R94" s="140"/>
      <c r="S94" s="140"/>
      <c r="U94" s="140"/>
    </row>
    <row r="95" spans="1:21" customFormat="1" x14ac:dyDescent="0.2">
      <c r="K95" s="140"/>
      <c r="L95" s="140"/>
      <c r="M95" s="140"/>
      <c r="N95" s="140"/>
      <c r="O95" s="140"/>
      <c r="P95" s="140"/>
      <c r="Q95" s="140"/>
      <c r="R95" s="140"/>
      <c r="S95" s="140"/>
      <c r="U95" s="140"/>
    </row>
    <row r="96" spans="1:21" customFormat="1" x14ac:dyDescent="0.2">
      <c r="K96" s="140"/>
      <c r="L96" s="140"/>
      <c r="M96" s="140"/>
      <c r="N96" s="140"/>
      <c r="O96" s="140"/>
      <c r="P96" s="140"/>
      <c r="Q96" s="140"/>
      <c r="R96" s="140"/>
      <c r="S96" s="140"/>
      <c r="U96" s="140"/>
    </row>
    <row r="97" spans="11:21" customFormat="1" x14ac:dyDescent="0.2">
      <c r="K97" s="140"/>
      <c r="L97" s="140"/>
      <c r="M97" s="140"/>
      <c r="N97" s="140"/>
      <c r="O97" s="140"/>
      <c r="P97" s="140"/>
      <c r="Q97" s="140"/>
      <c r="R97" s="140"/>
      <c r="S97" s="140"/>
      <c r="U97" s="140"/>
    </row>
    <row r="98" spans="11:21" customFormat="1" x14ac:dyDescent="0.2">
      <c r="K98" s="140"/>
      <c r="L98" s="140"/>
      <c r="M98" s="140"/>
      <c r="N98" s="140"/>
      <c r="O98" s="140"/>
      <c r="P98" s="140"/>
      <c r="Q98" s="140"/>
      <c r="R98" s="140"/>
      <c r="S98" s="140"/>
      <c r="U98" s="140"/>
    </row>
    <row r="99" spans="11:21" customFormat="1" x14ac:dyDescent="0.2">
      <c r="K99" s="140"/>
      <c r="L99" s="140"/>
      <c r="M99" s="140"/>
      <c r="N99" s="140"/>
      <c r="O99" s="140"/>
      <c r="P99" s="140"/>
      <c r="Q99" s="140"/>
      <c r="R99" s="140"/>
      <c r="S99" s="140"/>
      <c r="U99" s="140"/>
    </row>
    <row r="100" spans="11:21" customFormat="1" x14ac:dyDescent="0.2">
      <c r="K100" s="140"/>
      <c r="L100" s="140"/>
      <c r="M100" s="140"/>
      <c r="N100" s="140"/>
      <c r="O100" s="140"/>
      <c r="P100" s="140"/>
      <c r="Q100" s="140"/>
      <c r="R100" s="140"/>
      <c r="S100" s="140"/>
      <c r="U100" s="140"/>
    </row>
    <row r="101" spans="11:21" customFormat="1" x14ac:dyDescent="0.2">
      <c r="K101" s="140"/>
      <c r="L101" s="140"/>
      <c r="M101" s="140"/>
      <c r="N101" s="140"/>
      <c r="O101" s="140"/>
      <c r="P101" s="140"/>
      <c r="Q101" s="140"/>
      <c r="R101" s="140"/>
      <c r="S101" s="140"/>
      <c r="U101" s="140"/>
    </row>
    <row r="102" spans="11:21" customFormat="1" x14ac:dyDescent="0.2">
      <c r="K102" s="140"/>
      <c r="L102" s="140"/>
      <c r="M102" s="140"/>
      <c r="N102" s="140"/>
      <c r="O102" s="140"/>
      <c r="P102" s="140"/>
      <c r="Q102" s="140"/>
      <c r="R102" s="140"/>
      <c r="S102" s="140"/>
      <c r="U102" s="140"/>
    </row>
    <row r="103" spans="11:21" customFormat="1" x14ac:dyDescent="0.2">
      <c r="K103" s="140"/>
      <c r="L103" s="140"/>
      <c r="M103" s="140"/>
      <c r="N103" s="140"/>
      <c r="O103" s="140"/>
      <c r="P103" s="140"/>
      <c r="Q103" s="140"/>
      <c r="R103" s="140"/>
      <c r="S103" s="140"/>
      <c r="U103" s="140"/>
    </row>
    <row r="104" spans="11:21" customFormat="1" x14ac:dyDescent="0.2">
      <c r="K104" s="140"/>
      <c r="L104" s="140"/>
      <c r="M104" s="140"/>
      <c r="N104" s="140"/>
      <c r="O104" s="140"/>
      <c r="P104" s="140"/>
      <c r="Q104" s="140"/>
      <c r="R104" s="140"/>
      <c r="S104" s="140"/>
      <c r="U104" s="140"/>
    </row>
    <row r="105" spans="11:21" customFormat="1" x14ac:dyDescent="0.2">
      <c r="K105" s="140"/>
      <c r="L105" s="140"/>
      <c r="M105" s="140"/>
      <c r="N105" s="140"/>
      <c r="O105" s="140"/>
      <c r="P105" s="140"/>
      <c r="Q105" s="140"/>
      <c r="R105" s="140"/>
      <c r="S105" s="140"/>
      <c r="U105" s="140"/>
    </row>
    <row r="106" spans="11:21" customFormat="1" x14ac:dyDescent="0.2">
      <c r="K106" s="140"/>
      <c r="L106" s="140"/>
      <c r="M106" s="140"/>
      <c r="N106" s="140"/>
      <c r="O106" s="140"/>
      <c r="P106" s="140"/>
      <c r="Q106" s="140"/>
      <c r="R106" s="140"/>
      <c r="S106" s="140"/>
      <c r="U106" s="140"/>
    </row>
    <row r="107" spans="11:21" customFormat="1" x14ac:dyDescent="0.2">
      <c r="K107" s="140"/>
      <c r="L107" s="140"/>
      <c r="M107" s="140"/>
      <c r="N107" s="140"/>
      <c r="O107" s="140"/>
      <c r="P107" s="140"/>
      <c r="Q107" s="140"/>
      <c r="R107" s="140"/>
      <c r="S107" s="140"/>
      <c r="U107" s="140"/>
    </row>
    <row r="108" spans="11:21" customFormat="1" x14ac:dyDescent="0.2">
      <c r="K108" s="140"/>
      <c r="L108" s="140"/>
      <c r="M108" s="140"/>
      <c r="N108" s="140"/>
      <c r="O108" s="140"/>
      <c r="P108" s="140"/>
      <c r="Q108" s="140"/>
      <c r="R108" s="140"/>
      <c r="S108" s="140"/>
      <c r="U108" s="140"/>
    </row>
    <row r="109" spans="11:21" customFormat="1" x14ac:dyDescent="0.2">
      <c r="K109" s="140"/>
      <c r="L109" s="140"/>
      <c r="M109" s="140"/>
      <c r="N109" s="140"/>
      <c r="O109" s="140"/>
      <c r="P109" s="140"/>
      <c r="Q109" s="140"/>
      <c r="R109" s="140"/>
      <c r="S109" s="140"/>
      <c r="U109" s="140"/>
    </row>
    <row r="110" spans="11:21" customFormat="1" x14ac:dyDescent="0.2">
      <c r="K110" s="140"/>
      <c r="L110" s="140"/>
      <c r="M110" s="140"/>
      <c r="N110" s="140"/>
      <c r="O110" s="140"/>
      <c r="P110" s="140"/>
      <c r="Q110" s="140"/>
      <c r="R110" s="140"/>
      <c r="S110" s="140"/>
      <c r="U110" s="140"/>
    </row>
    <row r="111" spans="11:21" customFormat="1" x14ac:dyDescent="0.2">
      <c r="U111" s="140"/>
    </row>
    <row r="112" spans="11:21" customFormat="1" x14ac:dyDescent="0.2">
      <c r="U112" s="140"/>
    </row>
    <row r="113" spans="21:21" customFormat="1" x14ac:dyDescent="0.2">
      <c r="U113" s="140"/>
    </row>
    <row r="114" spans="21:21" customFormat="1" x14ac:dyDescent="0.2">
      <c r="U114" s="140"/>
    </row>
    <row r="115" spans="21:21" customFormat="1" x14ac:dyDescent="0.2">
      <c r="U115" s="140"/>
    </row>
    <row r="116" spans="21:21" customFormat="1" x14ac:dyDescent="0.2">
      <c r="U116" s="140"/>
    </row>
    <row r="117" spans="21:21" customFormat="1" x14ac:dyDescent="0.2">
      <c r="U117" s="140"/>
    </row>
    <row r="118" spans="21:21" customFormat="1" x14ac:dyDescent="0.2">
      <c r="U118" s="140"/>
    </row>
    <row r="119" spans="21:21" customFormat="1" x14ac:dyDescent="0.2">
      <c r="U119" s="140"/>
    </row>
    <row r="120" spans="21:21" customFormat="1" x14ac:dyDescent="0.2">
      <c r="U120" s="140"/>
    </row>
    <row r="121" spans="21:21" customFormat="1" x14ac:dyDescent="0.2"/>
    <row r="122" spans="21:21" customFormat="1" x14ac:dyDescent="0.2"/>
    <row r="123" spans="21:21" customFormat="1" x14ac:dyDescent="0.2"/>
    <row r="124" spans="21:21" customFormat="1" x14ac:dyDescent="0.2"/>
    <row r="125" spans="21:21" customFormat="1" x14ac:dyDescent="0.2"/>
    <row r="126" spans="21:21" customFormat="1" x14ac:dyDescent="0.2"/>
    <row r="127" spans="21:21" customFormat="1" x14ac:dyDescent="0.2"/>
    <row r="128" spans="21:21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</sheetData>
  <mergeCells count="21">
    <mergeCell ref="P29:U29"/>
    <mergeCell ref="I29:I32"/>
    <mergeCell ref="I33:I35"/>
    <mergeCell ref="J22:K22"/>
    <mergeCell ref="P22:Q22"/>
    <mergeCell ref="I21:O21"/>
    <mergeCell ref="P21:U21"/>
    <mergeCell ref="I23:I28"/>
    <mergeCell ref="L1:N3"/>
    <mergeCell ref="A1:H3"/>
    <mergeCell ref="A60:A61"/>
    <mergeCell ref="B60:B61"/>
    <mergeCell ref="D60:E60"/>
    <mergeCell ref="D61:E61"/>
    <mergeCell ref="D62:E62"/>
    <mergeCell ref="D68:E68"/>
    <mergeCell ref="D63:E63"/>
    <mergeCell ref="D64:E64"/>
    <mergeCell ref="D65:E65"/>
    <mergeCell ref="D66:E66"/>
    <mergeCell ref="D67:E67"/>
  </mergeCells>
  <conditionalFormatting sqref="U23:U28">
    <cfRule type="expression" dxfId="433" priority="25" stopIfTrue="1">
      <formula>U23="không đổi"</formula>
    </cfRule>
    <cfRule type="expression" dxfId="432" priority="36" stopIfTrue="1">
      <formula>U23="giảm"</formula>
    </cfRule>
    <cfRule type="expression" dxfId="431" priority="37" stopIfTrue="1">
      <formula>U23="tăng"</formula>
    </cfRule>
  </conditionalFormatting>
  <conditionalFormatting sqref="T23:T28">
    <cfRule type="expression" dxfId="430" priority="24" stopIfTrue="1">
      <formula>U23="không đổi"</formula>
    </cfRule>
    <cfRule type="expression" dxfId="429" priority="34" stopIfTrue="1">
      <formula>U23="giảm"</formula>
    </cfRule>
    <cfRule type="expression" dxfId="428" priority="35" stopIfTrue="1">
      <formula>U23="tăng"</formula>
    </cfRule>
  </conditionalFormatting>
  <conditionalFormatting sqref="S23:S28">
    <cfRule type="expression" dxfId="427" priority="23" stopIfTrue="1">
      <formula>U23="không đổi"</formula>
    </cfRule>
    <cfRule type="expression" dxfId="426" priority="32" stopIfTrue="1">
      <formula>U23="giảm"</formula>
    </cfRule>
    <cfRule type="expression" dxfId="425" priority="33" stopIfTrue="1">
      <formula>U23="tăng"</formula>
    </cfRule>
  </conditionalFormatting>
  <conditionalFormatting sqref="P23:P28">
    <cfRule type="expression" dxfId="424" priority="21" stopIfTrue="1">
      <formula>U23="không đổi"</formula>
    </cfRule>
    <cfRule type="expression" dxfId="423" priority="30" stopIfTrue="1">
      <formula>U23="giảm"</formula>
    </cfRule>
    <cfRule type="expression" dxfId="422" priority="31" stopIfTrue="1">
      <formula>U23="tăng"</formula>
    </cfRule>
  </conditionalFormatting>
  <conditionalFormatting sqref="R23:R28">
    <cfRule type="expression" dxfId="421" priority="22" stopIfTrue="1">
      <formula>U23="không đổi"</formula>
    </cfRule>
    <cfRule type="expression" dxfId="420" priority="28" stopIfTrue="1">
      <formula>U23="giảm"</formula>
    </cfRule>
    <cfRule type="expression" dxfId="419" priority="29" stopIfTrue="1">
      <formula>U23="tăng"</formula>
    </cfRule>
  </conditionalFormatting>
  <conditionalFormatting sqref="Q23:Q28">
    <cfRule type="expression" dxfId="418" priority="26" stopIfTrue="1">
      <formula>S23="giảm"</formula>
    </cfRule>
    <cfRule type="expression" dxfId="417" priority="27" stopIfTrue="1">
      <formula>S23="tăng"</formula>
    </cfRule>
  </conditionalFormatting>
  <conditionalFormatting sqref="O23:O35">
    <cfRule type="expression" dxfId="416" priority="9" stopIfTrue="1">
      <formula>O23="giảm"</formula>
    </cfRule>
    <cfRule type="expression" dxfId="415" priority="10" stopIfTrue="1">
      <formula>O23="tăng"</formula>
    </cfRule>
  </conditionalFormatting>
  <conditionalFormatting sqref="J23:J35">
    <cfRule type="expression" dxfId="414" priority="7" stopIfTrue="1">
      <formula>O23="giảm"</formula>
    </cfRule>
    <cfRule type="expression" dxfId="413" priority="8" stopIfTrue="1">
      <formula>O23="tăng"</formula>
    </cfRule>
  </conditionalFormatting>
  <conditionalFormatting sqref="L23:L35">
    <cfRule type="expression" dxfId="412" priority="5" stopIfTrue="1">
      <formula>O23="giảm"</formula>
    </cfRule>
    <cfRule type="expression" dxfId="411" priority="6" stopIfTrue="1">
      <formula>O23="tăng"</formula>
    </cfRule>
  </conditionalFormatting>
  <conditionalFormatting sqref="M23:M35">
    <cfRule type="expression" dxfId="410" priority="3" stopIfTrue="1">
      <formula>O23="giảm"</formula>
    </cfRule>
    <cfRule type="expression" dxfId="409" priority="4" stopIfTrue="1">
      <formula>O23="tăng"</formula>
    </cfRule>
  </conditionalFormatting>
  <conditionalFormatting sqref="N23:N35">
    <cfRule type="expression" dxfId="408" priority="1" stopIfTrue="1">
      <formula>O23="giảm"</formula>
    </cfRule>
    <cfRule type="expression" dxfId="407" priority="2" stopIfTrue="1">
      <formula>O23="tăng"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E7328-E731-40FE-8AD7-79D19BE7BA36}">
  <sheetPr codeName="Sheet12">
    <tabColor rgb="FFD000B7"/>
  </sheetPr>
  <dimension ref="A1:V74"/>
  <sheetViews>
    <sheetView zoomScaleNormal="100" workbookViewId="0">
      <selection activeCell="N5" sqref="N5"/>
    </sheetView>
  </sheetViews>
  <sheetFormatPr defaultRowHeight="15" x14ac:dyDescent="0.2"/>
  <cols>
    <col min="1" max="1" width="11.88671875" bestFit="1" customWidth="1"/>
    <col min="2" max="2" width="8.109375" bestFit="1" customWidth="1"/>
    <col min="3" max="3" width="10.109375" bestFit="1" customWidth="1"/>
    <col min="4" max="4" width="4.44140625" customWidth="1"/>
    <col min="5" max="12" width="12.109375" customWidth="1"/>
    <col min="13" max="14" width="9.109375" customWidth="1"/>
    <col min="15" max="15" width="10.88671875" customWidth="1"/>
    <col min="16" max="16" width="11.109375" customWidth="1"/>
    <col min="17" max="17" width="9.109375" customWidth="1"/>
    <col min="18" max="18" width="13" customWidth="1"/>
    <col min="19" max="19" width="10.21875" customWidth="1"/>
    <col min="20" max="20" width="9" customWidth="1"/>
    <col min="21" max="21" width="7.88671875" customWidth="1"/>
    <col min="22" max="22" width="11.77734375" customWidth="1"/>
    <col min="23" max="23" width="8.88671875" bestFit="1" customWidth="1"/>
    <col min="24" max="24" width="4.88671875" bestFit="1" customWidth="1"/>
    <col min="25" max="26" width="9.44140625" bestFit="1" customWidth="1"/>
    <col min="27" max="27" width="4.88671875" bestFit="1" customWidth="1"/>
    <col min="28" max="29" width="9.44140625" bestFit="1" customWidth="1"/>
    <col min="30" max="30" width="8.44140625" bestFit="1" customWidth="1"/>
    <col min="31" max="32" width="8.88671875" bestFit="1" customWidth="1"/>
    <col min="33" max="33" width="8.44140625" bestFit="1" customWidth="1"/>
    <col min="34" max="34" width="9.44140625" bestFit="1" customWidth="1"/>
    <col min="35" max="35" width="8.88671875" bestFit="1" customWidth="1"/>
    <col min="36" max="36" width="9.44140625" bestFit="1" customWidth="1"/>
    <col min="37" max="37" width="8.88671875" bestFit="1" customWidth="1"/>
    <col min="38" max="38" width="9.44140625" bestFit="1" customWidth="1"/>
    <col min="39" max="39" width="8.88671875" bestFit="1" customWidth="1"/>
    <col min="40" max="40" width="10.33203125" bestFit="1" customWidth="1"/>
    <col min="41" max="41" width="4.88671875" bestFit="1" customWidth="1"/>
    <col min="42" max="42" width="9.44140625" bestFit="1" customWidth="1"/>
    <col min="43" max="43" width="4.88671875" bestFit="1" customWidth="1"/>
    <col min="44" max="46" width="9.44140625" bestFit="1" customWidth="1"/>
    <col min="47" max="47" width="10.33203125" bestFit="1" customWidth="1"/>
  </cols>
  <sheetData>
    <row r="1" spans="1:21" s="83" customFormat="1" ht="15.75" customHeight="1" x14ac:dyDescent="0.2">
      <c r="A1" s="312" t="str">
        <f>"BIẾN ĐỘNG CÁC CHỈ SỐ TRONG VN30 HÔM NAY"</f>
        <v>BIẾN ĐỘNG CÁC CHỈ SỐ TRONG VN30 HÔM NAY</v>
      </c>
      <c r="B1" s="312"/>
      <c r="C1" s="312"/>
      <c r="D1" s="312"/>
      <c r="E1" s="312"/>
      <c r="F1" s="312"/>
      <c r="G1" s="312"/>
      <c r="H1" s="312"/>
      <c r="I1" s="312"/>
      <c r="J1" s="314">
        <f ca="1">TODAY()</f>
        <v>46217</v>
      </c>
      <c r="K1" s="314"/>
      <c r="L1" s="314"/>
      <c r="M1" s="84"/>
      <c r="N1" s="84"/>
      <c r="O1" s="84"/>
      <c r="P1" s="84"/>
      <c r="Q1" s="84"/>
      <c r="R1" s="84"/>
      <c r="S1" s="84"/>
      <c r="T1" s="84"/>
    </row>
    <row r="2" spans="1:21" s="83" customFormat="1" ht="16.5" customHeight="1" x14ac:dyDescent="0.2">
      <c r="A2" s="313"/>
      <c r="B2" s="312"/>
      <c r="C2" s="312"/>
      <c r="D2" s="312"/>
      <c r="E2" s="312"/>
      <c r="F2" s="312"/>
      <c r="G2" s="312"/>
      <c r="H2" s="312"/>
      <c r="I2" s="312"/>
      <c r="J2" s="314"/>
      <c r="K2" s="314"/>
      <c r="L2" s="314"/>
      <c r="M2" s="84"/>
      <c r="N2" s="84"/>
      <c r="O2" s="84"/>
      <c r="P2" s="84"/>
      <c r="Q2" s="84"/>
      <c r="R2" s="84"/>
      <c r="S2" s="84"/>
    </row>
    <row r="3" spans="1:21" ht="16.5" customHeight="1" x14ac:dyDescent="0.25">
      <c r="A3" s="375" t="s">
        <v>2968</v>
      </c>
      <c r="B3" s="375" t="s">
        <v>3033</v>
      </c>
      <c r="C3" s="375" t="s">
        <v>3008</v>
      </c>
      <c r="N3" s="152"/>
      <c r="O3" s="153"/>
      <c r="P3" s="153" t="s">
        <v>3003</v>
      </c>
      <c r="Q3" s="153"/>
      <c r="R3" s="153">
        <f ca="1">TODAY()</f>
        <v>46217</v>
      </c>
      <c r="S3" s="153"/>
      <c r="T3" s="153"/>
      <c r="U3" s="154"/>
    </row>
    <row r="4" spans="1:21" ht="15.75" x14ac:dyDescent="0.25">
      <c r="A4" s="376" t="s">
        <v>2715</v>
      </c>
      <c r="B4" s="377">
        <v>-3.8399999999999997E-2</v>
      </c>
      <c r="C4" s="378">
        <v>0.2934706083366842</v>
      </c>
      <c r="N4" s="236" t="str" cm="1">
        <f t="array" ref="N4">get_data_index()</f>
        <v>TypeError: 'NoneType' object is not subscriptable
                          ~~~~~~~~~~~~^^^^^^^^
    df_key = pd.DataFrame(data['Data']['Data'])[['Ngay', 'GiaDieuChinh', 'GiaTriKhopLenh', 'GtThoaThuan']][1:2]
  File "c:\users\nguye\function\THONG_KE_VNINDEX_VN30.py", line 134, in get_data_index
    ret = func(*args)
  File "C:\Users\nguye\AppData\Local\Programs\Python\Python313\Lib\site-packages\xlwings\udfs.py", line 539, in call_udf
    res = call_udf(script, fname, args, this_workbook, FromVariant(caller))
  File "C:\Users\nguye\AppData\Local\Programs\Python\Python313\Lib\site-packages\xlwings\com_server.py", line 235, in CallUDF
    return func(*args)
  File "C:\Users\nguye\AppData\Local\Programs\Python\Python313\Lib\site-packages\win32com\server\policy.py", line 631, in _invokeex_
                     ~~~~~~~~~~~~~~~^^^^^^^^^^^^^^^^^^^^^^^^^^^^^^^^^^^^^^^^
    return S_OK, -1, self._invokeex_(dispid, lcid, wFlags, args, None, None)
  File "C:\Users\nguye\AppData\Local\Programs\Python\Python313\Lib\site-packages\win32com\server\policy.py", line 303, in _invoke_
           ~~~~~~~~~~~~~^^^^^^^^^^^^^^^^^^^^^^^^^^^^
    return self._invoke_(dispid, lcid, wFlags, args)
  File "C:\Users\nguye\AppData\Local\Programs\Python\Python313\Lib\site-packages\win32com\server\policy.py", line 298, in _Invoke_</v>
      </c>
      <c r="O4" s="237"/>
      <c r="P4" s="237"/>
      <c r="Q4" s="238"/>
      <c r="R4" s="237"/>
      <c r="S4" s="237"/>
      <c r="T4" s="237"/>
      <c r="U4" s="239" t="s">
        <v>2946</v>
      </c>
    </row>
    <row r="5" spans="1:21" ht="15.75" x14ac:dyDescent="0.25">
      <c r="A5" s="376" t="s">
        <v>2711</v>
      </c>
      <c r="B5" s="377">
        <v>-2.9399999999999999E-2</v>
      </c>
      <c r="C5" s="378">
        <v>0.40009832016160113</v>
      </c>
      <c r="N5" s="236"/>
      <c r="O5" s="232"/>
      <c r="P5" s="233"/>
      <c r="Q5" s="234"/>
      <c r="R5" s="233"/>
      <c r="S5" s="240"/>
      <c r="T5" s="234"/>
      <c r="U5" s="235" t="str">
        <f>IF(Q5&lt;0,"giảm","tăng")</f>
        <v>tăng</v>
      </c>
    </row>
    <row r="6" spans="1:21" ht="15.75" x14ac:dyDescent="0.25">
      <c r="A6" s="376" t="s">
        <v>2733</v>
      </c>
      <c r="B6" s="377">
        <v>-2.3099999999999999E-2</v>
      </c>
      <c r="C6" s="378">
        <v>0.48696236762894968</v>
      </c>
      <c r="N6" s="236"/>
      <c r="O6" s="232"/>
      <c r="P6" s="233"/>
      <c r="Q6" s="234"/>
      <c r="R6" s="233"/>
      <c r="S6" s="240"/>
      <c r="T6" s="234"/>
      <c r="U6" s="235" t="str">
        <f>IF(Q6&lt;0,"giảm","tăng")</f>
        <v>tăng</v>
      </c>
    </row>
    <row r="7" spans="1:21" ht="15.75" x14ac:dyDescent="0.25">
      <c r="A7" s="376" t="s">
        <v>2796</v>
      </c>
      <c r="B7" s="377">
        <v>-1.7000000000000001E-2</v>
      </c>
      <c r="C7" s="378">
        <v>0.41846453283607277</v>
      </c>
      <c r="N7" s="236"/>
      <c r="O7" s="232"/>
      <c r="P7" s="233"/>
      <c r="Q7" s="234"/>
      <c r="R7" s="233"/>
      <c r="S7" s="240"/>
      <c r="T7" s="234"/>
      <c r="U7" s="235" t="str">
        <f>IF(Q7&lt;0,"giảm","tăng")</f>
        <v>tăng</v>
      </c>
    </row>
    <row r="8" spans="1:21" ht="15.75" customHeight="1" x14ac:dyDescent="0.25">
      <c r="A8" s="376" t="s">
        <v>106</v>
      </c>
      <c r="B8" s="377">
        <v>-1.5600000000000001E-2</v>
      </c>
      <c r="C8" s="378">
        <v>0.62712493552946413</v>
      </c>
      <c r="N8" s="236"/>
      <c r="O8" s="232"/>
      <c r="P8" s="233"/>
      <c r="Q8" s="234"/>
      <c r="R8" s="233"/>
      <c r="S8" s="240"/>
      <c r="T8" s="234"/>
      <c r="U8" s="235" t="str">
        <f>IF(Q8&lt;0,"giảm","tăng")</f>
        <v>tăng</v>
      </c>
    </row>
    <row r="9" spans="1:21" ht="15.75" customHeight="1" x14ac:dyDescent="0.25">
      <c r="A9" s="376" t="s">
        <v>111</v>
      </c>
      <c r="B9" s="377">
        <v>-1.55E-2</v>
      </c>
      <c r="C9" s="378">
        <v>0.28672985781990523</v>
      </c>
      <c r="N9" s="236"/>
      <c r="O9" s="232"/>
      <c r="P9" s="233"/>
      <c r="Q9" s="234"/>
      <c r="R9" s="233"/>
      <c r="S9" s="240"/>
      <c r="T9" s="234"/>
      <c r="U9" s="235" t="str">
        <f>IF(Q9&lt;0,"giảm","tăng")</f>
        <v>tăng</v>
      </c>
    </row>
    <row r="10" spans="1:21" ht="15.75" customHeight="1" x14ac:dyDescent="0.2">
      <c r="A10" s="376" t="s">
        <v>2816</v>
      </c>
      <c r="B10" s="377">
        <v>-1.54E-2</v>
      </c>
      <c r="C10" s="378">
        <v>0.29391432043698934</v>
      </c>
    </row>
    <row r="11" spans="1:21" ht="15.75" customHeight="1" x14ac:dyDescent="0.2">
      <c r="A11" s="376" t="s">
        <v>1582</v>
      </c>
      <c r="B11" s="377">
        <v>-1.43E-2</v>
      </c>
      <c r="C11" s="378">
        <v>0.41476746209342708</v>
      </c>
      <c r="N11" s="315" t="str">
        <f>"Tổng điểm VN30 hôm nay"&amp;" "&amp;SUM($S$24:$S$53)&amp;" "&amp;"trên tổng"&amp;" "&amp;$S$23</f>
        <v>Tổng điểm VN30 hôm nay 9 trên tổng 30</v>
      </c>
      <c r="O11" s="316"/>
      <c r="P11" s="316"/>
      <c r="Q11" s="317"/>
      <c r="R11" s="326" t="s">
        <v>3018</v>
      </c>
      <c r="S11" s="327"/>
      <c r="T11" s="328"/>
    </row>
    <row r="12" spans="1:21" ht="15.75" customHeight="1" x14ac:dyDescent="0.2">
      <c r="A12" s="376" t="s">
        <v>1203</v>
      </c>
      <c r="B12" s="377">
        <v>-1.3100000000000001E-2</v>
      </c>
      <c r="C12" s="378">
        <v>0.33628938373234524</v>
      </c>
      <c r="N12" s="318"/>
      <c r="O12" s="319"/>
      <c r="P12" s="319"/>
      <c r="Q12" s="320"/>
      <c r="R12" s="329"/>
      <c r="S12" s="330"/>
      <c r="T12" s="331"/>
    </row>
    <row r="13" spans="1:21" ht="15.75" customHeight="1" x14ac:dyDescent="0.25">
      <c r="A13" s="376" t="s">
        <v>737</v>
      </c>
      <c r="B13" s="377">
        <v>-1.23E-2</v>
      </c>
      <c r="C13" s="378">
        <v>0.91267299932803536</v>
      </c>
      <c r="N13" s="318"/>
      <c r="O13" s="319"/>
      <c r="P13" s="319"/>
      <c r="Q13" s="320"/>
      <c r="R13" s="108" t="str">
        <f t="array" ref="R13:T18">get_PE_PB_vnindex()</f>
        <v/>
      </c>
      <c r="S13" s="107" t="str">
        <v>Hiện tại</v>
      </c>
      <c r="T13" s="108" t="str">
        <v>Năm trước</v>
      </c>
    </row>
    <row r="14" spans="1:21" ht="15.75" customHeight="1" x14ac:dyDescent="0.25">
      <c r="A14" s="376" t="s">
        <v>2298</v>
      </c>
      <c r="B14" s="377">
        <v>-9.5999999999999992E-3</v>
      </c>
      <c r="C14" s="378">
        <v>0.38561452214028979</v>
      </c>
      <c r="N14" s="321"/>
      <c r="O14" s="322"/>
      <c r="P14" s="322"/>
      <c r="Q14" s="323"/>
      <c r="R14" s="110" t="str">
        <v>PE</v>
      </c>
      <c r="S14" s="109">
        <v>14.15</v>
      </c>
      <c r="T14" s="110">
        <v>15.01</v>
      </c>
    </row>
    <row r="15" spans="1:21" ht="18" customHeight="1" x14ac:dyDescent="0.25">
      <c r="A15" s="376" t="s">
        <v>109</v>
      </c>
      <c r="B15" s="377">
        <v>-8.8999999999999999E-3</v>
      </c>
      <c r="C15" s="378">
        <v>0.70020562229506278</v>
      </c>
      <c r="N15" s="102" t="s">
        <v>3034</v>
      </c>
      <c r="O15" s="102"/>
      <c r="P15" s="324">
        <f>SUM(G24:G53)*1000</f>
        <v>222599900.00000012</v>
      </c>
      <c r="Q15" s="325"/>
      <c r="R15" s="109" t="str">
        <v>PB</v>
      </c>
      <c r="S15" s="109">
        <v>1.92</v>
      </c>
      <c r="T15" s="110">
        <v>2</v>
      </c>
    </row>
    <row r="16" spans="1:21" ht="18" customHeight="1" x14ac:dyDescent="0.25">
      <c r="A16" s="376" t="s">
        <v>1673</v>
      </c>
      <c r="B16" s="377">
        <v>-7.9000000000000008E-3</v>
      </c>
      <c r="C16" s="378">
        <v>0.40105787436744117</v>
      </c>
      <c r="N16" s="105" t="str">
        <f>"Tổng điểm tăng"</f>
        <v>Tổng điểm tăng</v>
      </c>
      <c r="O16" s="103"/>
      <c r="P16" s="105">
        <f>$T$23</f>
        <v>19</v>
      </c>
      <c r="Q16" s="101"/>
      <c r="R16" s="109" t="str">
        <v>ROA</v>
      </c>
      <c r="S16" s="109">
        <v>0</v>
      </c>
      <c r="T16" s="110">
        <v>2.6</v>
      </c>
    </row>
    <row r="17" spans="1:22" ht="18" customHeight="1" x14ac:dyDescent="0.25">
      <c r="A17" s="376" t="s">
        <v>2514</v>
      </c>
      <c r="B17" s="377">
        <v>-6.4000000000000003E-3</v>
      </c>
      <c r="C17" s="378">
        <v>0.30067539663354981</v>
      </c>
      <c r="N17" s="105" t="str">
        <f>"Tổng điểm giảm"</f>
        <v>Tổng điểm giảm</v>
      </c>
      <c r="O17" s="104"/>
      <c r="P17" s="105">
        <f>$U$23</f>
        <v>10</v>
      </c>
      <c r="Q17" s="101"/>
      <c r="R17" s="109" t="str">
        <v>ROE</v>
      </c>
      <c r="S17" s="109">
        <v>0</v>
      </c>
      <c r="T17" s="110">
        <v>13.62</v>
      </c>
    </row>
    <row r="18" spans="1:22" ht="18" customHeight="1" x14ac:dyDescent="0.25">
      <c r="A18" s="376" t="s">
        <v>1653</v>
      </c>
      <c r="B18" s="377">
        <v>-4.4000000000000003E-3</v>
      </c>
      <c r="C18" s="378">
        <v>0.31107577149280946</v>
      </c>
      <c r="N18" s="106" t="str">
        <f>"Tổng điểm tham chiếu"</f>
        <v>Tổng điểm tham chiếu</v>
      </c>
      <c r="O18" s="104"/>
      <c r="P18" s="106">
        <f>$V$23</f>
        <v>1</v>
      </c>
      <c r="Q18" s="101"/>
      <c r="R18" s="111" t="str">
        <v>MaketCap</v>
      </c>
      <c r="S18" s="112">
        <v>8486911960000000</v>
      </c>
      <c r="T18" s="113">
        <v>8310145230000000</v>
      </c>
    </row>
    <row r="19" spans="1:22" x14ac:dyDescent="0.2">
      <c r="A19" s="376" t="s">
        <v>110</v>
      </c>
      <c r="B19" s="377">
        <v>-4.0000000000000001E-3</v>
      </c>
      <c r="C19" s="378">
        <v>0.41338369493821869</v>
      </c>
    </row>
    <row r="20" spans="1:22" ht="17.25" customHeight="1" x14ac:dyDescent="0.2">
      <c r="A20" s="376" t="s">
        <v>411</v>
      </c>
      <c r="B20" s="377">
        <v>-3.8E-3</v>
      </c>
      <c r="C20" s="378">
        <v>0.44804437566277988</v>
      </c>
    </row>
    <row r="21" spans="1:22" ht="19.5" customHeight="1" x14ac:dyDescent="0.2">
      <c r="A21" s="376" t="s">
        <v>1038</v>
      </c>
      <c r="B21" s="377">
        <v>-2.8000000000000004E-3</v>
      </c>
      <c r="C21" s="378">
        <v>0.45675143626210279</v>
      </c>
    </row>
    <row r="22" spans="1:22" ht="27.75" customHeight="1" x14ac:dyDescent="0.2">
      <c r="A22" s="376" t="s">
        <v>2713</v>
      </c>
      <c r="B22" s="377">
        <v>0</v>
      </c>
      <c r="C22" s="378">
        <v>0.29869489681208561</v>
      </c>
      <c r="E22" s="311" t="s">
        <v>3015</v>
      </c>
      <c r="F22" s="311" t="s">
        <v>2949</v>
      </c>
      <c r="G22" s="311" t="s">
        <v>2950</v>
      </c>
      <c r="H22" s="311" t="s">
        <v>2951</v>
      </c>
      <c r="I22" s="311" t="s">
        <v>2952</v>
      </c>
      <c r="J22" s="311" t="s">
        <v>2970</v>
      </c>
      <c r="K22" s="311" t="s">
        <v>2971</v>
      </c>
      <c r="L22" s="311" t="s">
        <v>2954</v>
      </c>
      <c r="M22" s="311" t="s">
        <v>2956</v>
      </c>
      <c r="N22" s="311" t="s">
        <v>2955</v>
      </c>
      <c r="O22" s="311" t="s">
        <v>2957</v>
      </c>
      <c r="P22" s="311" t="s">
        <v>2963</v>
      </c>
      <c r="Q22" s="311" t="s">
        <v>3019</v>
      </c>
      <c r="R22" s="311" t="s">
        <v>2958</v>
      </c>
      <c r="S22" s="170" t="s">
        <v>2959</v>
      </c>
      <c r="T22" s="170" t="s">
        <v>2972</v>
      </c>
      <c r="U22" s="170" t="s">
        <v>3022</v>
      </c>
      <c r="V22" s="170" t="s">
        <v>3023</v>
      </c>
    </row>
    <row r="23" spans="1:22" ht="21.75" customHeight="1" x14ac:dyDescent="0.2">
      <c r="A23" s="376" t="s">
        <v>123</v>
      </c>
      <c r="B23" s="377">
        <v>3.4000000000000002E-3</v>
      </c>
      <c r="C23" s="378">
        <v>0.45847017376246491</v>
      </c>
      <c r="E23" s="311"/>
      <c r="F23" s="311"/>
      <c r="G23" s="311"/>
      <c r="H23" s="311"/>
      <c r="I23" s="311"/>
      <c r="J23" s="311"/>
      <c r="K23" s="311"/>
      <c r="L23" s="311"/>
      <c r="M23" s="311"/>
      <c r="N23" s="311"/>
      <c r="O23" s="311"/>
      <c r="P23" s="311"/>
      <c r="Q23" s="311"/>
      <c r="R23" s="311"/>
      <c r="S23" s="170">
        <f>COUNT(S24:S53)</f>
        <v>30</v>
      </c>
      <c r="T23" s="170">
        <f>SUM(T24:T53)</f>
        <v>19</v>
      </c>
      <c r="U23" s="170">
        <f>SUM(U24:U53)</f>
        <v>10</v>
      </c>
      <c r="V23" s="170">
        <f>SUM(V24:V53)</f>
        <v>1</v>
      </c>
    </row>
    <row r="24" spans="1:22" x14ac:dyDescent="0.2">
      <c r="A24" s="376" t="s">
        <v>2776</v>
      </c>
      <c r="B24" s="377">
        <v>3.5999999999999999E-3</v>
      </c>
      <c r="C24" s="378">
        <v>0.31573446450228648</v>
      </c>
      <c r="E24" s="222" t="s">
        <v>118</v>
      </c>
      <c r="F24" s="223" cm="1">
        <f t="array" ref="F24:P24">tinh_du_lieu_cp(E24)</f>
        <v>22.85</v>
      </c>
      <c r="G24" s="224">
        <v>18290.5</v>
      </c>
      <c r="H24" s="225">
        <v>1.78E-2</v>
      </c>
      <c r="I24" s="226">
        <v>1.4413002653069045</v>
      </c>
      <c r="J24" s="226">
        <v>1.0067319667440844</v>
      </c>
      <c r="K24" s="226">
        <v>1.3650526713825664</v>
      </c>
      <c r="L24" s="227">
        <v>0.1812648302898999</v>
      </c>
      <c r="M24" s="222">
        <v>19.385999999999999</v>
      </c>
      <c r="N24" s="222">
        <v>22.9</v>
      </c>
      <c r="O24" s="225">
        <v>0.17868564943773868</v>
      </c>
      <c r="P24" s="225">
        <v>-2.1834061135369938E-3</v>
      </c>
      <c r="Q24" s="228" t="e">
        <f>(F24*G24)/($S$6*1000)</f>
        <v>#DIV/0!</v>
      </c>
      <c r="R24" s="222"/>
      <c r="S24" s="222">
        <f t="shared" ref="S24:S53" si="0">IF(H24&gt;0,1,IF(H24=0,0,-1))</f>
        <v>1</v>
      </c>
      <c r="T24" s="222">
        <f>IF(S24=1,1,0)</f>
        <v>1</v>
      </c>
      <c r="U24" s="222">
        <f>IF(S24&lt;0,1,0)</f>
        <v>0</v>
      </c>
      <c r="V24" s="222">
        <f>IF(S24=0,1,0)</f>
        <v>0</v>
      </c>
    </row>
    <row r="25" spans="1:22" x14ac:dyDescent="0.2">
      <c r="A25" s="376" t="s">
        <v>2109</v>
      </c>
      <c r="B25" s="377">
        <v>4.3E-3</v>
      </c>
      <c r="C25" s="378">
        <v>0.38187130195674057</v>
      </c>
      <c r="E25" s="222" t="s">
        <v>411</v>
      </c>
      <c r="F25" s="223" cm="1">
        <f t="array" ref="F25:P25">tinh_du_lieu_cp(E25)</f>
        <v>40.25</v>
      </c>
      <c r="G25" s="224">
        <v>2737.3</v>
      </c>
      <c r="H25" s="225">
        <v>7.4999999999999997E-3</v>
      </c>
      <c r="I25" s="226">
        <v>0.68429856119195398</v>
      </c>
      <c r="J25" s="226">
        <v>0.97822863549238726</v>
      </c>
      <c r="K25" s="226">
        <v>0.86914967930399445</v>
      </c>
      <c r="L25" s="225">
        <v>0.13391739674593225</v>
      </c>
      <c r="M25" s="222">
        <v>39.950000000000003</v>
      </c>
      <c r="N25" s="222">
        <v>45.3</v>
      </c>
      <c r="O25" s="225">
        <v>7.5093867334166996E-3</v>
      </c>
      <c r="P25" s="225">
        <v>-0.11147902869757169</v>
      </c>
      <c r="Q25" s="228" t="e">
        <f>(F25*G25)/($S$6*1000)</f>
        <v>#DIV/0!</v>
      </c>
      <c r="R25" s="222"/>
      <c r="S25" s="222">
        <f t="shared" si="0"/>
        <v>1</v>
      </c>
      <c r="T25" s="222">
        <f t="shared" ref="T25:T53" si="1">IF(S25=1,1,0)</f>
        <v>1</v>
      </c>
      <c r="U25" s="222">
        <f t="shared" ref="U25:U53" si="2">IF(S25&lt;0,1,0)</f>
        <v>0</v>
      </c>
      <c r="V25" s="222">
        <f t="shared" ref="V25:V53" si="3">IF(S25=0,1,0)</f>
        <v>0</v>
      </c>
    </row>
    <row r="26" spans="1:22" x14ac:dyDescent="0.2">
      <c r="A26" s="376" t="s">
        <v>118</v>
      </c>
      <c r="B26" s="377">
        <v>6.7000000000000002E-3</v>
      </c>
      <c r="C26" s="378">
        <v>0.51973405007780449</v>
      </c>
      <c r="E26" s="222" t="s">
        <v>814</v>
      </c>
      <c r="F26" s="223" cm="1">
        <f t="array" ref="F26:P26">tinh_du_lieu_cp(E26)</f>
        <v>45.4</v>
      </c>
      <c r="G26" s="224">
        <v>348.1</v>
      </c>
      <c r="H26" s="225">
        <v>2.2000000000000001E-3</v>
      </c>
      <c r="I26" s="226">
        <v>0.49469978359872097</v>
      </c>
      <c r="J26" s="226">
        <v>0.96211436991966548</v>
      </c>
      <c r="K26" s="226">
        <v>0.87822723067866448</v>
      </c>
      <c r="L26" s="225">
        <v>0.24414715719063534</v>
      </c>
      <c r="M26" s="222">
        <v>44.85</v>
      </c>
      <c r="N26" s="222">
        <v>55.8</v>
      </c>
      <c r="O26" s="225">
        <v>1.2263099219620896E-2</v>
      </c>
      <c r="P26" s="225">
        <v>-0.18637992831541217</v>
      </c>
      <c r="Q26" s="228" t="e">
        <f t="shared" ref="Q26:Q53" si="4">(F26*G26)/($S$6*1000)</f>
        <v>#DIV/0!</v>
      </c>
      <c r="R26" s="222"/>
      <c r="S26" s="222">
        <f t="shared" si="0"/>
        <v>1</v>
      </c>
      <c r="T26" s="222">
        <f t="shared" si="1"/>
        <v>1</v>
      </c>
      <c r="U26" s="222">
        <f t="shared" si="2"/>
        <v>0</v>
      </c>
      <c r="V26" s="222">
        <f t="shared" si="3"/>
        <v>0</v>
      </c>
    </row>
    <row r="27" spans="1:22" x14ac:dyDescent="0.2">
      <c r="A27" s="376" t="s">
        <v>2315</v>
      </c>
      <c r="B27" s="377">
        <v>2.4799999999999999E-2</v>
      </c>
      <c r="C27" s="378">
        <v>0.54589518794773706</v>
      </c>
      <c r="E27" s="222" t="s">
        <v>737</v>
      </c>
      <c r="F27" s="223" cm="1">
        <f t="array" ref="F27:P27">tinh_du_lieu_cp(E27)</f>
        <v>32.6</v>
      </c>
      <c r="G27" s="224">
        <v>11189.7</v>
      </c>
      <c r="H27" s="225">
        <v>0</v>
      </c>
      <c r="I27" s="226">
        <v>1.5092921623590174</v>
      </c>
      <c r="J27" s="226">
        <v>0.99304017007944478</v>
      </c>
      <c r="K27" s="226">
        <v>1.2704523908193446</v>
      </c>
      <c r="L27" s="225">
        <v>0.11349693251533728</v>
      </c>
      <c r="M27" s="222">
        <v>32.6</v>
      </c>
      <c r="N27" s="222">
        <v>36.299999999999997</v>
      </c>
      <c r="O27" s="225">
        <v>0</v>
      </c>
      <c r="P27" s="225">
        <v>-0.10192837465564727</v>
      </c>
      <c r="Q27" s="228" t="e">
        <f t="shared" si="4"/>
        <v>#DIV/0!</v>
      </c>
      <c r="R27" s="222"/>
      <c r="S27" s="222">
        <f t="shared" si="0"/>
        <v>0</v>
      </c>
      <c r="T27" s="222">
        <f t="shared" si="1"/>
        <v>0</v>
      </c>
      <c r="U27" s="222">
        <f t="shared" si="2"/>
        <v>0</v>
      </c>
      <c r="V27" s="222">
        <f t="shared" si="3"/>
        <v>1</v>
      </c>
    </row>
    <row r="28" spans="1:22" x14ac:dyDescent="0.2">
      <c r="A28" s="376" t="s">
        <v>1150</v>
      </c>
      <c r="B28" s="377">
        <v>2.7099999999999999E-2</v>
      </c>
      <c r="C28" s="378">
        <v>0.55288715348679685</v>
      </c>
      <c r="E28" s="222" t="s">
        <v>1038</v>
      </c>
      <c r="F28" s="223" cm="1">
        <f t="array" ref="F28:P28">tinh_du_lieu_cp(E28)</f>
        <v>70.3</v>
      </c>
      <c r="G28" s="224">
        <v>6626.8</v>
      </c>
      <c r="H28" s="225">
        <v>-2.8000000000000004E-3</v>
      </c>
      <c r="I28" s="226">
        <v>0.87040281987645129</v>
      </c>
      <c r="J28" s="226">
        <v>0.99744126541056077</v>
      </c>
      <c r="K28" s="226">
        <v>1.0451486730874375</v>
      </c>
      <c r="L28" s="225">
        <v>0.10999594484995943</v>
      </c>
      <c r="M28" s="222">
        <v>69.048000000000002</v>
      </c>
      <c r="N28" s="222">
        <v>76.643000000000001</v>
      </c>
      <c r="O28" s="225">
        <v>1.8132313752751639E-2</v>
      </c>
      <c r="P28" s="225">
        <v>-8.2760330362851187E-2</v>
      </c>
      <c r="Q28" s="228" t="e">
        <f t="shared" si="4"/>
        <v>#DIV/0!</v>
      </c>
      <c r="R28" s="222"/>
      <c r="S28" s="222">
        <f t="shared" si="0"/>
        <v>-1</v>
      </c>
      <c r="T28" s="222">
        <f t="shared" si="1"/>
        <v>0</v>
      </c>
      <c r="U28" s="222">
        <f t="shared" si="2"/>
        <v>1</v>
      </c>
      <c r="V28" s="222">
        <f t="shared" si="3"/>
        <v>0</v>
      </c>
    </row>
    <row r="29" spans="1:22" x14ac:dyDescent="0.2">
      <c r="A29" s="376" t="s">
        <v>1095</v>
      </c>
      <c r="B29" s="377">
        <v>3.4500000000000003E-2</v>
      </c>
      <c r="C29" s="378">
        <v>1.1216593064749909</v>
      </c>
      <c r="E29" s="222" t="s">
        <v>1095</v>
      </c>
      <c r="F29" s="223" cm="1">
        <f t="array" ref="F29:P29">tinh_du_lieu_cp(E29)</f>
        <v>78.5</v>
      </c>
      <c r="G29" s="224">
        <v>2251.8000000000002</v>
      </c>
      <c r="H29" s="225">
        <v>4.1100000000000005E-2</v>
      </c>
      <c r="I29" s="226">
        <v>2.0101930677400768</v>
      </c>
      <c r="J29" s="226">
        <v>0.970958787102285</v>
      </c>
      <c r="K29" s="226">
        <v>1.9388390614909952</v>
      </c>
      <c r="L29" s="225">
        <v>0.26530612244897961</v>
      </c>
      <c r="M29" s="222">
        <v>73.5</v>
      </c>
      <c r="N29" s="222">
        <v>93</v>
      </c>
      <c r="O29" s="225">
        <v>6.8027210884353748E-2</v>
      </c>
      <c r="P29" s="225">
        <v>-0.15591397849462366</v>
      </c>
      <c r="Q29" s="228" t="e">
        <f t="shared" si="4"/>
        <v>#DIV/0!</v>
      </c>
      <c r="R29" s="222"/>
      <c r="S29" s="222">
        <f t="shared" si="0"/>
        <v>1</v>
      </c>
      <c r="T29" s="222">
        <f t="shared" si="1"/>
        <v>1</v>
      </c>
      <c r="U29" s="222">
        <f t="shared" si="2"/>
        <v>0</v>
      </c>
      <c r="V29" s="222">
        <f t="shared" si="3"/>
        <v>0</v>
      </c>
    </row>
    <row r="30" spans="1:22" x14ac:dyDescent="0.2">
      <c r="A30" s="376" t="s">
        <v>1912</v>
      </c>
      <c r="B30" s="377">
        <v>3.5200000000000002E-2</v>
      </c>
      <c r="C30" s="378">
        <v>1.0839100402232751</v>
      </c>
      <c r="E30" s="222" t="s">
        <v>1150</v>
      </c>
      <c r="F30" s="223" cm="1">
        <f t="array" ref="F30:P30">tinh_du_lieu_cp(E30)</f>
        <v>30.5</v>
      </c>
      <c r="G30" s="224">
        <v>1379.1</v>
      </c>
      <c r="H30" s="225">
        <v>3.39E-2</v>
      </c>
      <c r="I30" s="226">
        <v>0.74863979904804434</v>
      </c>
      <c r="J30" s="226">
        <v>0.93743667679837916</v>
      </c>
      <c r="K30" s="226">
        <v>0.97337928925172623</v>
      </c>
      <c r="L30" s="225">
        <v>0.3322033898305084</v>
      </c>
      <c r="M30" s="222">
        <v>29.5</v>
      </c>
      <c r="N30" s="222">
        <v>39.299999999999997</v>
      </c>
      <c r="O30" s="225">
        <v>3.3898305084745763E-2</v>
      </c>
      <c r="P30" s="225">
        <v>-0.22391857506361318</v>
      </c>
      <c r="Q30" s="228" t="e">
        <f t="shared" si="4"/>
        <v>#DIV/0!</v>
      </c>
      <c r="R30" s="222"/>
      <c r="S30" s="222">
        <f t="shared" si="0"/>
        <v>1</v>
      </c>
      <c r="T30" s="222">
        <f t="shared" si="1"/>
        <v>1</v>
      </c>
      <c r="U30" s="222">
        <f t="shared" si="2"/>
        <v>0</v>
      </c>
      <c r="V30" s="222">
        <f t="shared" si="3"/>
        <v>0</v>
      </c>
    </row>
    <row r="31" spans="1:22" x14ac:dyDescent="0.2">
      <c r="A31" s="376" t="s">
        <v>2969</v>
      </c>
      <c r="B31" s="377">
        <v>-0.10229999999999999</v>
      </c>
      <c r="C31" s="378">
        <v>13.16616005693991</v>
      </c>
      <c r="E31" s="222" t="s">
        <v>1203</v>
      </c>
      <c r="F31" s="223" cm="1">
        <f t="array" ref="F31:P31">tinh_du_lieu_cp(E31)</f>
        <v>26.8</v>
      </c>
      <c r="G31" s="224">
        <v>9627</v>
      </c>
      <c r="H31" s="225">
        <v>3.7000000000000002E-3</v>
      </c>
      <c r="I31" s="226">
        <v>0.87250265816000527</v>
      </c>
      <c r="J31" s="226">
        <v>1.0385651003213758</v>
      </c>
      <c r="K31" s="226">
        <v>0.82651747131041986</v>
      </c>
      <c r="L31" s="225">
        <v>0.11646586345381535</v>
      </c>
      <c r="M31" s="222">
        <v>24.9</v>
      </c>
      <c r="N31" s="222">
        <v>27.8</v>
      </c>
      <c r="O31" s="225">
        <v>7.6305220883534225E-2</v>
      </c>
      <c r="P31" s="225">
        <v>-3.5971223021582732E-2</v>
      </c>
      <c r="Q31" s="228" t="e">
        <f t="shared" si="4"/>
        <v>#DIV/0!</v>
      </c>
      <c r="R31" s="222"/>
      <c r="S31" s="222">
        <f t="shared" si="0"/>
        <v>1</v>
      </c>
      <c r="T31" s="222">
        <f t="shared" si="1"/>
        <v>1</v>
      </c>
      <c r="U31" s="222">
        <f t="shared" si="2"/>
        <v>0</v>
      </c>
      <c r="V31" s="222">
        <f t="shared" si="3"/>
        <v>0</v>
      </c>
    </row>
    <row r="32" spans="1:22" x14ac:dyDescent="0.2">
      <c r="E32" s="222" t="s">
        <v>109</v>
      </c>
      <c r="F32" s="223" cm="1">
        <f t="array" ref="F32:P32">tinh_du_lieu_cp(E32)</f>
        <v>22.5</v>
      </c>
      <c r="G32" s="224">
        <v>22481.9</v>
      </c>
      <c r="H32" s="225">
        <v>4.5000000000000005E-3</v>
      </c>
      <c r="I32" s="226">
        <v>1.259303240695359</v>
      </c>
      <c r="J32" s="226">
        <v>0.97865656173079407</v>
      </c>
      <c r="K32" s="226">
        <v>1.2886047218098551</v>
      </c>
      <c r="L32" s="225">
        <v>0.1378125</v>
      </c>
      <c r="M32" s="222">
        <v>22.4</v>
      </c>
      <c r="N32" s="222">
        <v>25.486999999999998</v>
      </c>
      <c r="O32" s="225">
        <v>4.4642857142857782E-3</v>
      </c>
      <c r="P32" s="225">
        <v>-0.11719700239337696</v>
      </c>
      <c r="Q32" s="228" t="e">
        <f t="shared" si="4"/>
        <v>#DIV/0!</v>
      </c>
      <c r="R32" s="222"/>
      <c r="S32" s="222">
        <f t="shared" si="0"/>
        <v>1</v>
      </c>
      <c r="T32" s="222">
        <f t="shared" si="1"/>
        <v>1</v>
      </c>
      <c r="U32" s="222">
        <f t="shared" si="2"/>
        <v>0</v>
      </c>
      <c r="V32" s="222">
        <f t="shared" si="3"/>
        <v>0</v>
      </c>
    </row>
    <row r="33" spans="2:22" x14ac:dyDescent="0.2">
      <c r="E33" s="222" t="s">
        <v>1563</v>
      </c>
      <c r="F33" s="223" cm="1">
        <f t="array" ref="F33:P33">tinh_du_lieu_cp(E33)</f>
        <v>51.5</v>
      </c>
      <c r="G33" s="224">
        <v>2294.6</v>
      </c>
      <c r="H33" s="225">
        <v>-1.9E-3</v>
      </c>
      <c r="I33" s="226">
        <v>0.84937711582078701</v>
      </c>
      <c r="J33" s="226">
        <v>1.02254798068998</v>
      </c>
      <c r="K33" s="226">
        <v>1.2191700759789597</v>
      </c>
      <c r="L33" s="225">
        <v>0.29954515919428204</v>
      </c>
      <c r="M33" s="222">
        <v>43.091999999999999</v>
      </c>
      <c r="N33" s="222">
        <v>56</v>
      </c>
      <c r="O33" s="225">
        <v>0.19511742318759867</v>
      </c>
      <c r="P33" s="225">
        <v>-8.0357142857142863E-2</v>
      </c>
      <c r="Q33" s="228" t="e">
        <f t="shared" si="4"/>
        <v>#DIV/0!</v>
      </c>
      <c r="R33" s="222"/>
      <c r="S33" s="222">
        <f t="shared" si="0"/>
        <v>-1</v>
      </c>
      <c r="T33" s="222">
        <f t="shared" si="1"/>
        <v>0</v>
      </c>
      <c r="U33" s="222">
        <f t="shared" si="2"/>
        <v>1</v>
      </c>
      <c r="V33" s="222">
        <f t="shared" si="3"/>
        <v>0</v>
      </c>
    </row>
    <row r="34" spans="2:22" x14ac:dyDescent="0.2">
      <c r="E34" s="222" t="s">
        <v>1582</v>
      </c>
      <c r="F34" s="223" cm="1">
        <f t="array" ref="F34:P34">tinh_du_lieu_cp(E34)</f>
        <v>24.55</v>
      </c>
      <c r="G34" s="224">
        <v>12268.7</v>
      </c>
      <c r="H34" s="225">
        <v>4.0999999999999995E-3</v>
      </c>
      <c r="I34" s="226">
        <v>0.97552747106854654</v>
      </c>
      <c r="J34" s="226">
        <v>1.0149207489112562</v>
      </c>
      <c r="K34" s="226">
        <v>0.88905254191800931</v>
      </c>
      <c r="L34" s="225">
        <v>7.5215626585489595E-2</v>
      </c>
      <c r="M34" s="222">
        <v>23.652000000000001</v>
      </c>
      <c r="N34" s="222">
        <v>25.431000000000001</v>
      </c>
      <c r="O34" s="225">
        <v>3.7967190935227449E-2</v>
      </c>
      <c r="P34" s="225">
        <v>-3.4642758837639107E-2</v>
      </c>
      <c r="Q34" s="228" t="e">
        <f t="shared" si="4"/>
        <v>#DIV/0!</v>
      </c>
      <c r="R34" s="222"/>
      <c r="S34" s="222">
        <f t="shared" si="0"/>
        <v>1</v>
      </c>
      <c r="T34" s="222">
        <f t="shared" si="1"/>
        <v>1</v>
      </c>
      <c r="U34" s="222">
        <f t="shared" si="2"/>
        <v>0</v>
      </c>
      <c r="V34" s="222">
        <f t="shared" si="3"/>
        <v>0</v>
      </c>
    </row>
    <row r="35" spans="2:22" x14ac:dyDescent="0.2">
      <c r="E35" s="222" t="s">
        <v>1653</v>
      </c>
      <c r="F35" s="223" cm="1">
        <f t="array" ref="F35:P35">tinh_du_lieu_cp(E35)</f>
        <v>68.400000000000006</v>
      </c>
      <c r="G35" s="224">
        <v>2364.8000000000002</v>
      </c>
      <c r="H35" s="225">
        <v>7.4000000000000003E-3</v>
      </c>
      <c r="I35" s="226">
        <v>0.70043243883656181</v>
      </c>
      <c r="J35" s="226">
        <v>0.96607348610933308</v>
      </c>
      <c r="K35" s="226">
        <v>0.42364743819419565</v>
      </c>
      <c r="L35" s="225">
        <v>0.19293078055964644</v>
      </c>
      <c r="M35" s="222">
        <v>67.900000000000006</v>
      </c>
      <c r="N35" s="222">
        <v>81</v>
      </c>
      <c r="O35" s="225">
        <v>7.3637702503681875E-3</v>
      </c>
      <c r="P35" s="225">
        <v>-0.15555555555555547</v>
      </c>
      <c r="Q35" s="228" t="e">
        <f t="shared" si="4"/>
        <v>#DIV/0!</v>
      </c>
      <c r="R35" s="222"/>
      <c r="S35" s="222">
        <f t="shared" si="0"/>
        <v>1</v>
      </c>
      <c r="T35" s="222">
        <f t="shared" si="1"/>
        <v>1</v>
      </c>
      <c r="U35" s="222">
        <f t="shared" si="2"/>
        <v>0</v>
      </c>
      <c r="V35" s="222">
        <f t="shared" si="3"/>
        <v>0</v>
      </c>
    </row>
    <row r="36" spans="2:22" x14ac:dyDescent="0.2">
      <c r="E36" s="222" t="s">
        <v>1673</v>
      </c>
      <c r="F36" s="223" cm="1">
        <f t="array" ref="F36:P36">tinh_du_lieu_cp(E36)</f>
        <v>76.8</v>
      </c>
      <c r="G36" s="224">
        <v>2788</v>
      </c>
      <c r="H36" s="225">
        <v>1.0500000000000001E-2</v>
      </c>
      <c r="I36" s="226">
        <v>0.7097045173428429</v>
      </c>
      <c r="J36" s="226">
        <v>0.990034124398945</v>
      </c>
      <c r="K36" s="226">
        <v>1.0100168456898582</v>
      </c>
      <c r="L36" s="225">
        <v>0.14868421052631575</v>
      </c>
      <c r="M36" s="222">
        <v>76</v>
      </c>
      <c r="N36" s="222">
        <v>87.3</v>
      </c>
      <c r="O36" s="225">
        <v>1.0526315789473648E-2</v>
      </c>
      <c r="P36" s="225">
        <v>-0.12027491408934708</v>
      </c>
      <c r="Q36" s="228" t="e">
        <f t="shared" si="4"/>
        <v>#DIV/0!</v>
      </c>
      <c r="R36" s="222"/>
      <c r="S36" s="222">
        <f t="shared" si="0"/>
        <v>1</v>
      </c>
      <c r="T36" s="222">
        <f t="shared" si="1"/>
        <v>1</v>
      </c>
      <c r="U36" s="222">
        <f t="shared" si="2"/>
        <v>0</v>
      </c>
      <c r="V36" s="222">
        <f t="shared" si="3"/>
        <v>0</v>
      </c>
    </row>
    <row r="37" spans="2:22" x14ac:dyDescent="0.2">
      <c r="E37" s="222" t="s">
        <v>1912</v>
      </c>
      <c r="F37" s="223" cm="1">
        <f t="array" ref="F37:P37">tinh_du_lieu_cp(E37)</f>
        <v>36.799999999999997</v>
      </c>
      <c r="G37" s="224">
        <v>3602.8</v>
      </c>
      <c r="H37" s="225">
        <v>3.5200000000000002E-2</v>
      </c>
      <c r="I37" s="226">
        <v>1.6688233622132622</v>
      </c>
      <c r="J37" s="226">
        <v>0.9631398481508695</v>
      </c>
      <c r="K37" s="226">
        <v>1.3990188591325057</v>
      </c>
      <c r="L37" s="225">
        <v>0.29369627507163326</v>
      </c>
      <c r="M37" s="222">
        <v>34.9</v>
      </c>
      <c r="N37" s="222">
        <v>45.15</v>
      </c>
      <c r="O37" s="225">
        <v>5.4441260744985634E-2</v>
      </c>
      <c r="P37" s="225">
        <v>-0.18493909191583613</v>
      </c>
      <c r="Q37" s="228" t="e">
        <f t="shared" si="4"/>
        <v>#DIV/0!</v>
      </c>
      <c r="R37" s="222"/>
      <c r="S37" s="222">
        <f t="shared" si="0"/>
        <v>1</v>
      </c>
      <c r="T37" s="222">
        <f t="shared" si="1"/>
        <v>1</v>
      </c>
      <c r="U37" s="222">
        <f t="shared" si="2"/>
        <v>0</v>
      </c>
      <c r="V37" s="222">
        <f t="shared" si="3"/>
        <v>0</v>
      </c>
    </row>
    <row r="38" spans="2:22" x14ac:dyDescent="0.2">
      <c r="B38" s="98"/>
      <c r="E38" s="222" t="s">
        <v>2109</v>
      </c>
      <c r="F38" s="223" cm="1">
        <f t="array" ref="F38:P38">tinh_du_lieu_cp(E38)</f>
        <v>46.8</v>
      </c>
      <c r="G38" s="224">
        <v>400.6</v>
      </c>
      <c r="H38" s="225">
        <v>1.41E-2</v>
      </c>
      <c r="I38" s="226">
        <v>0.71029513692999569</v>
      </c>
      <c r="J38" s="226">
        <v>0.97993453820976206</v>
      </c>
      <c r="K38" s="226">
        <v>0.83883576464018983</v>
      </c>
      <c r="L38" s="225">
        <v>8.9900110987791437E-2</v>
      </c>
      <c r="M38" s="222">
        <v>45.05</v>
      </c>
      <c r="N38" s="222">
        <v>49.1</v>
      </c>
      <c r="O38" s="225">
        <v>3.8845726970033301E-2</v>
      </c>
      <c r="P38" s="225">
        <v>-4.6843177189409453E-2</v>
      </c>
      <c r="Q38" s="228" t="e">
        <f t="shared" si="4"/>
        <v>#DIV/0!</v>
      </c>
      <c r="R38" s="222"/>
      <c r="S38" s="222">
        <f t="shared" si="0"/>
        <v>1</v>
      </c>
      <c r="T38" s="222">
        <f t="shared" si="1"/>
        <v>1</v>
      </c>
      <c r="U38" s="222">
        <f t="shared" si="2"/>
        <v>0</v>
      </c>
      <c r="V38" s="222">
        <f t="shared" si="3"/>
        <v>0</v>
      </c>
    </row>
    <row r="39" spans="2:22" x14ac:dyDescent="0.2">
      <c r="E39" s="222" t="s">
        <v>110</v>
      </c>
      <c r="F39" s="223" cm="1">
        <f t="array" ref="F39:P39">tinh_du_lieu_cp(E39)</f>
        <v>12.8</v>
      </c>
      <c r="G39" s="224">
        <v>43115.6</v>
      </c>
      <c r="H39" s="225">
        <v>1.5900000000000001E-2</v>
      </c>
      <c r="I39" s="226">
        <v>0.91803639168607587</v>
      </c>
      <c r="J39" s="226">
        <v>0.96818207235922404</v>
      </c>
      <c r="K39" s="226">
        <v>0.92847480512134539</v>
      </c>
      <c r="L39" s="225">
        <v>0.21428571428571438</v>
      </c>
      <c r="M39" s="222">
        <v>12.6</v>
      </c>
      <c r="N39" s="222">
        <v>15.3</v>
      </c>
      <c r="O39" s="225">
        <v>1.5873015873015959E-2</v>
      </c>
      <c r="P39" s="225">
        <v>-0.16339869281045752</v>
      </c>
      <c r="Q39" s="228" t="e">
        <f t="shared" si="4"/>
        <v>#DIV/0!</v>
      </c>
      <c r="R39" s="222"/>
      <c r="S39" s="222">
        <f t="shared" si="0"/>
        <v>1</v>
      </c>
      <c r="T39" s="222">
        <f t="shared" si="1"/>
        <v>1</v>
      </c>
      <c r="U39" s="222">
        <f t="shared" si="2"/>
        <v>0</v>
      </c>
      <c r="V39" s="222">
        <f t="shared" si="3"/>
        <v>0</v>
      </c>
    </row>
    <row r="40" spans="2:22" x14ac:dyDescent="0.2">
      <c r="E40" s="222" t="s">
        <v>2298</v>
      </c>
      <c r="F40" s="223" cm="1">
        <f t="array" ref="F40:P40">tinh_du_lieu_cp(E40)</f>
        <v>15.9</v>
      </c>
      <c r="G40" s="224">
        <v>2117.1</v>
      </c>
      <c r="H40" s="225">
        <v>1.6E-2</v>
      </c>
      <c r="I40" s="226">
        <v>0.8881740032494031</v>
      </c>
      <c r="J40" s="226">
        <v>1.0240574679394467</v>
      </c>
      <c r="K40" s="226">
        <v>0.93799428457499834</v>
      </c>
      <c r="L40" s="225">
        <v>0.20896834701055103</v>
      </c>
      <c r="M40" s="222">
        <v>13.648</v>
      </c>
      <c r="N40" s="222">
        <v>16.5</v>
      </c>
      <c r="O40" s="225">
        <v>0.16500586166471284</v>
      </c>
      <c r="P40" s="225">
        <v>-3.6363636363636341E-2</v>
      </c>
      <c r="Q40" s="228" t="e">
        <f t="shared" si="4"/>
        <v>#DIV/0!</v>
      </c>
      <c r="R40" s="222"/>
      <c r="S40" s="222">
        <f t="shared" si="0"/>
        <v>1</v>
      </c>
      <c r="T40" s="222">
        <f t="shared" si="1"/>
        <v>1</v>
      </c>
      <c r="U40" s="222">
        <f t="shared" si="2"/>
        <v>0</v>
      </c>
      <c r="V40" s="222">
        <f t="shared" si="3"/>
        <v>0</v>
      </c>
    </row>
    <row r="41" spans="2:22" x14ac:dyDescent="0.2">
      <c r="E41" s="222" t="s">
        <v>106</v>
      </c>
      <c r="F41" s="223" cm="1">
        <f t="array" ref="F41:P41">tinh_du_lieu_cp(E41)</f>
        <v>25.55</v>
      </c>
      <c r="G41" s="224">
        <v>17962.099999999999</v>
      </c>
      <c r="H41" s="225">
        <v>-3.9000000000000003E-3</v>
      </c>
      <c r="I41" s="226">
        <v>1.1424386038506826</v>
      </c>
      <c r="J41" s="226">
        <v>0.98602305069462082</v>
      </c>
      <c r="K41" s="226">
        <v>0.92870105629979682</v>
      </c>
      <c r="L41" s="225">
        <v>0.13307240704500972</v>
      </c>
      <c r="M41" s="222">
        <v>25.55</v>
      </c>
      <c r="N41" s="222">
        <v>28.95</v>
      </c>
      <c r="O41" s="225">
        <v>0</v>
      </c>
      <c r="P41" s="225">
        <v>-0.11744386873920548</v>
      </c>
      <c r="Q41" s="228" t="e">
        <f t="shared" si="4"/>
        <v>#DIV/0!</v>
      </c>
      <c r="R41" s="222"/>
      <c r="S41" s="222">
        <f t="shared" si="0"/>
        <v>-1</v>
      </c>
      <c r="T41" s="222">
        <f t="shared" si="1"/>
        <v>0</v>
      </c>
      <c r="U41" s="222">
        <f t="shared" si="2"/>
        <v>1</v>
      </c>
      <c r="V41" s="222">
        <f t="shared" si="3"/>
        <v>0</v>
      </c>
    </row>
    <row r="42" spans="2:22" x14ac:dyDescent="0.2">
      <c r="E42" s="222" t="s">
        <v>2315</v>
      </c>
      <c r="F42" s="223" cm="1">
        <f t="array" ref="F42:P42">tinh_du_lieu_cp(E42)</f>
        <v>70.400000000000006</v>
      </c>
      <c r="G42" s="224">
        <v>4375.1000000000004</v>
      </c>
      <c r="H42" s="225">
        <v>2.7699999999999999E-2</v>
      </c>
      <c r="I42" s="226">
        <v>1.0356447319436106</v>
      </c>
      <c r="J42" s="226">
        <v>0.98024174802417496</v>
      </c>
      <c r="K42" s="226">
        <v>1.4950621362098622</v>
      </c>
      <c r="L42" s="225">
        <v>0.19999999999999996</v>
      </c>
      <c r="M42" s="222">
        <v>64</v>
      </c>
      <c r="N42" s="222">
        <v>76.8</v>
      </c>
      <c r="O42" s="225">
        <v>0.10000000000000009</v>
      </c>
      <c r="P42" s="225">
        <v>-8.3333333333333232E-2</v>
      </c>
      <c r="Q42" s="228" t="e">
        <f t="shared" si="4"/>
        <v>#DIV/0!</v>
      </c>
      <c r="R42" s="222"/>
      <c r="S42" s="222">
        <f t="shared" si="0"/>
        <v>1</v>
      </c>
      <c r="T42" s="222">
        <f t="shared" si="1"/>
        <v>1</v>
      </c>
      <c r="U42" s="222">
        <f t="shared" si="2"/>
        <v>0</v>
      </c>
      <c r="V42" s="222">
        <f t="shared" si="3"/>
        <v>0</v>
      </c>
    </row>
    <row r="43" spans="2:22" x14ac:dyDescent="0.2">
      <c r="E43" s="222" t="s">
        <v>111</v>
      </c>
      <c r="F43" s="223" cm="1">
        <f t="array" ref="F43:P43">tinh_du_lieu_cp(E43)</f>
        <v>32.200000000000003</v>
      </c>
      <c r="G43" s="224">
        <v>11243.7</v>
      </c>
      <c r="H43" s="225">
        <v>-4.5999999999999999E-3</v>
      </c>
      <c r="I43" s="226">
        <v>0.84409972987323556</v>
      </c>
      <c r="J43" s="226">
        <v>1.0070853014726311</v>
      </c>
      <c r="K43" s="226">
        <v>0.85343659587818499</v>
      </c>
      <c r="L43" s="225">
        <v>0.11183144246353308</v>
      </c>
      <c r="M43" s="222">
        <v>30.85</v>
      </c>
      <c r="N43" s="222">
        <v>34.299999999999997</v>
      </c>
      <c r="O43" s="225">
        <v>4.3760129659643481E-2</v>
      </c>
      <c r="P43" s="225">
        <v>-6.1224489795918206E-2</v>
      </c>
      <c r="Q43" s="228" t="e">
        <f t="shared" si="4"/>
        <v>#DIV/0!</v>
      </c>
      <c r="R43" s="222"/>
      <c r="S43" s="222">
        <f t="shared" si="0"/>
        <v>-1</v>
      </c>
      <c r="T43" s="222">
        <f t="shared" si="1"/>
        <v>0</v>
      </c>
      <c r="U43" s="222">
        <f t="shared" si="2"/>
        <v>1</v>
      </c>
      <c r="V43" s="222">
        <f t="shared" si="3"/>
        <v>0</v>
      </c>
    </row>
    <row r="44" spans="2:22" x14ac:dyDescent="0.2">
      <c r="E44" s="222" t="s">
        <v>2514</v>
      </c>
      <c r="F44" s="223" cm="1">
        <f t="array" ref="F44:P44">tinh_du_lieu_cp(E44)</f>
        <v>15.5</v>
      </c>
      <c r="G44" s="224">
        <v>7153.7</v>
      </c>
      <c r="H44" s="225">
        <v>-3.2000000000000002E-3</v>
      </c>
      <c r="I44" s="226">
        <v>0.5883850137748462</v>
      </c>
      <c r="J44" s="226">
        <v>0.98318856822639422</v>
      </c>
      <c r="K44" s="226">
        <v>0.80335174409355237</v>
      </c>
      <c r="L44" s="225">
        <v>9.1205211726384391E-2</v>
      </c>
      <c r="M44" s="222">
        <v>15.35</v>
      </c>
      <c r="N44" s="222">
        <v>16.75</v>
      </c>
      <c r="O44" s="225">
        <v>9.7719869706840625E-3</v>
      </c>
      <c r="P44" s="225">
        <v>-7.4626865671641784E-2</v>
      </c>
      <c r="Q44" s="228" t="e">
        <f t="shared" si="4"/>
        <v>#DIV/0!</v>
      </c>
      <c r="R44" s="222"/>
      <c r="S44" s="222">
        <f t="shared" si="0"/>
        <v>-1</v>
      </c>
      <c r="T44" s="222">
        <f t="shared" si="1"/>
        <v>0</v>
      </c>
      <c r="U44" s="222">
        <f t="shared" si="2"/>
        <v>1</v>
      </c>
      <c r="V44" s="222">
        <f t="shared" si="3"/>
        <v>0</v>
      </c>
    </row>
    <row r="45" spans="2:22" x14ac:dyDescent="0.2">
      <c r="E45" s="222" t="s">
        <v>123</v>
      </c>
      <c r="F45" s="223" cm="1">
        <f t="array" ref="F45:P45">tinh_du_lieu_cp(E45)</f>
        <v>59.2</v>
      </c>
      <c r="G45" s="224">
        <v>2829.2</v>
      </c>
      <c r="H45" s="225">
        <v>5.1000000000000004E-3</v>
      </c>
      <c r="I45" s="226">
        <v>0.73382441711310653</v>
      </c>
      <c r="J45" s="226">
        <v>0.98498542994023819</v>
      </c>
      <c r="K45" s="226">
        <v>0.87309310483165825</v>
      </c>
      <c r="L45" s="225">
        <v>0.10186757215619707</v>
      </c>
      <c r="M45" s="222">
        <v>58.9</v>
      </c>
      <c r="N45" s="222">
        <v>64.900000000000006</v>
      </c>
      <c r="O45" s="225">
        <v>5.0933786078099196E-3</v>
      </c>
      <c r="P45" s="225">
        <v>-8.7827426810477699E-2</v>
      </c>
      <c r="Q45" s="228" t="e">
        <f t="shared" si="4"/>
        <v>#DIV/0!</v>
      </c>
      <c r="R45" s="222"/>
      <c r="S45" s="222">
        <f t="shared" si="0"/>
        <v>1</v>
      </c>
      <c r="T45" s="222">
        <f t="shared" si="1"/>
        <v>1</v>
      </c>
      <c r="U45" s="222">
        <f t="shared" si="2"/>
        <v>0</v>
      </c>
      <c r="V45" s="222">
        <f t="shared" si="3"/>
        <v>0</v>
      </c>
    </row>
    <row r="46" spans="2:22" x14ac:dyDescent="0.2">
      <c r="E46" s="222" t="s">
        <v>2711</v>
      </c>
      <c r="F46" s="223" cm="1">
        <f t="array" ref="F46:P46">tinh_du_lieu_cp(E46)</f>
        <v>140.80000000000001</v>
      </c>
      <c r="G46" s="224">
        <v>4386.2</v>
      </c>
      <c r="H46" s="225">
        <v>-1.54E-2</v>
      </c>
      <c r="I46" s="226">
        <v>0.86812258204221904</v>
      </c>
      <c r="J46" s="226">
        <v>1.0021486599229092</v>
      </c>
      <c r="K46" s="226">
        <v>1.1854594594594594</v>
      </c>
      <c r="L46" s="225">
        <v>0.21481481481481476</v>
      </c>
      <c r="M46" s="222">
        <v>130.005</v>
      </c>
      <c r="N46" s="222">
        <v>157.93199999999999</v>
      </c>
      <c r="O46" s="225">
        <v>8.3035267874312646E-2</v>
      </c>
      <c r="P46" s="225">
        <v>-0.10847706607907187</v>
      </c>
      <c r="Q46" s="228" t="e">
        <f t="shared" si="4"/>
        <v>#DIV/0!</v>
      </c>
      <c r="R46" s="222"/>
      <c r="S46" s="222">
        <f t="shared" si="0"/>
        <v>-1</v>
      </c>
      <c r="T46" s="222">
        <f t="shared" si="1"/>
        <v>0</v>
      </c>
      <c r="U46" s="222">
        <f t="shared" si="2"/>
        <v>1</v>
      </c>
      <c r="V46" s="222">
        <f t="shared" si="3"/>
        <v>0</v>
      </c>
    </row>
    <row r="47" spans="2:22" x14ac:dyDescent="0.2">
      <c r="E47" s="222" t="s">
        <v>2713</v>
      </c>
      <c r="F47" s="223" cm="1">
        <f t="array" ref="F47:P47">tinh_du_lieu_cp(E47)</f>
        <v>15.75</v>
      </c>
      <c r="G47" s="224">
        <v>6137.2</v>
      </c>
      <c r="H47" s="225">
        <v>1.61E-2</v>
      </c>
      <c r="I47" s="226">
        <v>0.66497310427228851</v>
      </c>
      <c r="J47" s="226">
        <v>0.98628854883242079</v>
      </c>
      <c r="K47" s="226">
        <v>0.81441670979471048</v>
      </c>
      <c r="L47" s="225">
        <v>7.7419354838709625E-2</v>
      </c>
      <c r="M47" s="222">
        <v>15.5</v>
      </c>
      <c r="N47" s="222">
        <v>16.7</v>
      </c>
      <c r="O47" s="225">
        <v>1.6129032258064516E-2</v>
      </c>
      <c r="P47" s="225">
        <v>-5.6886227544910142E-2</v>
      </c>
      <c r="Q47" s="228" t="e">
        <f>(F47*G47)/($S$6*1000)</f>
        <v>#DIV/0!</v>
      </c>
      <c r="R47" s="222"/>
      <c r="S47" s="222">
        <f t="shared" si="0"/>
        <v>1</v>
      </c>
      <c r="T47" s="222">
        <f t="shared" si="1"/>
        <v>1</v>
      </c>
      <c r="U47" s="222">
        <f t="shared" si="2"/>
        <v>0</v>
      </c>
      <c r="V47" s="222">
        <f t="shared" si="3"/>
        <v>0</v>
      </c>
    </row>
    <row r="48" spans="2:22" x14ac:dyDescent="0.2">
      <c r="E48" s="222" t="s">
        <v>2715</v>
      </c>
      <c r="F48" s="223" cm="1">
        <f t="array" ref="F48:P48">tinh_du_lieu_cp(E48)</f>
        <v>219</v>
      </c>
      <c r="G48" s="224">
        <v>3450.7</v>
      </c>
      <c r="H48" s="225">
        <v>-1.1299999999999999E-2</v>
      </c>
      <c r="I48" s="226">
        <v>1.0075758581238736</v>
      </c>
      <c r="J48" s="226">
        <v>1.0205074365704287</v>
      </c>
      <c r="K48" s="226">
        <v>1.1195090299556612</v>
      </c>
      <c r="L48" s="225">
        <v>0.22671633847791375</v>
      </c>
      <c r="M48" s="222">
        <v>187.9</v>
      </c>
      <c r="N48" s="222">
        <v>230.5</v>
      </c>
      <c r="O48" s="225">
        <v>0.16551357104842998</v>
      </c>
      <c r="P48" s="225">
        <v>-4.9891540130151846E-2</v>
      </c>
      <c r="Q48" s="228" t="e">
        <f t="shared" si="4"/>
        <v>#DIV/0!</v>
      </c>
      <c r="R48" s="222"/>
      <c r="S48" s="222">
        <f t="shared" si="0"/>
        <v>-1</v>
      </c>
      <c r="T48" s="222">
        <f t="shared" si="1"/>
        <v>0</v>
      </c>
      <c r="U48" s="222">
        <f t="shared" si="2"/>
        <v>1</v>
      </c>
      <c r="V48" s="222">
        <f t="shared" si="3"/>
        <v>0</v>
      </c>
    </row>
    <row r="49" spans="5:22" x14ac:dyDescent="0.2">
      <c r="E49" s="222" t="s">
        <v>2733</v>
      </c>
      <c r="F49" s="223" cm="1">
        <f t="array" ref="F49:P49">tinh_du_lieu_cp(E49)</f>
        <v>133.30000000000001</v>
      </c>
      <c r="G49" s="224">
        <v>925.9</v>
      </c>
      <c r="H49" s="225">
        <v>-8.199999999999999E-3</v>
      </c>
      <c r="I49" s="226">
        <v>0.97058470512160711</v>
      </c>
      <c r="J49" s="226">
        <v>0.9875894564359452</v>
      </c>
      <c r="K49" s="226">
        <v>1.0665821909918212</v>
      </c>
      <c r="L49" s="225">
        <v>9.981656985631307E-2</v>
      </c>
      <c r="M49" s="222">
        <v>130.84</v>
      </c>
      <c r="N49" s="222">
        <v>143.9</v>
      </c>
      <c r="O49" s="225">
        <v>1.8801589727912012E-2</v>
      </c>
      <c r="P49" s="225">
        <v>-7.3662265462126439E-2</v>
      </c>
      <c r="Q49" s="228" t="e">
        <f t="shared" si="4"/>
        <v>#DIV/0!</v>
      </c>
      <c r="R49" s="222"/>
      <c r="S49" s="222">
        <f t="shared" si="0"/>
        <v>-1</v>
      </c>
      <c r="T49" s="222">
        <f t="shared" si="1"/>
        <v>0</v>
      </c>
      <c r="U49" s="222">
        <f t="shared" si="2"/>
        <v>1</v>
      </c>
      <c r="V49" s="222">
        <f t="shared" si="3"/>
        <v>0</v>
      </c>
    </row>
    <row r="50" spans="5:22" x14ac:dyDescent="0.2">
      <c r="E50" s="222" t="s">
        <v>2776</v>
      </c>
      <c r="F50" s="223" cm="1">
        <f t="array" ref="F50:P50">tinh_du_lieu_cp(E50)</f>
        <v>56</v>
      </c>
      <c r="G50" s="224">
        <v>1755.1</v>
      </c>
      <c r="H50" s="225">
        <v>1.0800000000000001E-2</v>
      </c>
      <c r="I50" s="226">
        <v>0.5867673820844459</v>
      </c>
      <c r="J50" s="226">
        <v>0.99279103387874124</v>
      </c>
      <c r="K50" s="226">
        <v>0.617051447322161</v>
      </c>
      <c r="L50" s="225">
        <v>9.5510948905109527E-2</v>
      </c>
      <c r="M50" s="222">
        <v>54.8</v>
      </c>
      <c r="N50" s="222">
        <v>60.033999999999999</v>
      </c>
      <c r="O50" s="225">
        <v>2.1897810218978155E-2</v>
      </c>
      <c r="P50" s="225">
        <v>-6.7195256021587754E-2</v>
      </c>
      <c r="Q50" s="228" t="e">
        <f t="shared" si="4"/>
        <v>#DIV/0!</v>
      </c>
      <c r="R50" s="222"/>
      <c r="S50" s="222">
        <f t="shared" si="0"/>
        <v>1</v>
      </c>
      <c r="T50" s="222">
        <f t="shared" si="1"/>
        <v>1</v>
      </c>
      <c r="U50" s="222">
        <f t="shared" si="2"/>
        <v>0</v>
      </c>
      <c r="V50" s="222">
        <f t="shared" si="3"/>
        <v>0</v>
      </c>
    </row>
    <row r="51" spans="5:22" x14ac:dyDescent="0.2">
      <c r="E51" s="222" t="s">
        <v>2796</v>
      </c>
      <c r="F51" s="223" cm="1">
        <f t="array" ref="F51:P51">tinh_du_lieu_cp(E51)</f>
        <v>26.5</v>
      </c>
      <c r="G51" s="224">
        <v>14462.9</v>
      </c>
      <c r="H51" s="225">
        <v>3.8E-3</v>
      </c>
      <c r="I51" s="226">
        <v>1.0672996547703544</v>
      </c>
      <c r="J51" s="226">
        <v>1.0065724521170065</v>
      </c>
      <c r="K51" s="226">
        <v>1.005040408977302</v>
      </c>
      <c r="L51" s="225">
        <v>9.9531249999999932E-2</v>
      </c>
      <c r="M51" s="222">
        <v>25.6</v>
      </c>
      <c r="N51" s="222">
        <v>28.148</v>
      </c>
      <c r="O51" s="225">
        <v>3.5156249999999944E-2</v>
      </c>
      <c r="P51" s="225">
        <v>-5.8547676566718762E-2</v>
      </c>
      <c r="Q51" s="228" t="e">
        <f t="shared" si="4"/>
        <v>#DIV/0!</v>
      </c>
      <c r="R51" s="222"/>
      <c r="S51" s="222">
        <f t="shared" si="0"/>
        <v>1</v>
      </c>
      <c r="T51" s="222">
        <f t="shared" si="1"/>
        <v>1</v>
      </c>
      <c r="U51" s="222">
        <f t="shared" si="2"/>
        <v>0</v>
      </c>
      <c r="V51" s="222">
        <f t="shared" si="3"/>
        <v>0</v>
      </c>
    </row>
    <row r="52" spans="5:22" x14ac:dyDescent="0.2">
      <c r="E52" s="222" t="s">
        <v>3188</v>
      </c>
      <c r="F52" s="223" cm="1">
        <f t="array" ref="F52:P52">tinh_du_lieu_cp(E52)</f>
        <v>81.8</v>
      </c>
      <c r="G52" s="224">
        <v>745.1</v>
      </c>
      <c r="H52" s="225">
        <v>-1.3300000000000001E-2</v>
      </c>
      <c r="I52" s="226">
        <v>0.88737434159597683</v>
      </c>
      <c r="J52" s="226">
        <v>0.9495054839999304</v>
      </c>
      <c r="K52" s="226">
        <v>0.9856906625509867</v>
      </c>
      <c r="L52" s="225">
        <v>0.17423312883435585</v>
      </c>
      <c r="M52" s="222">
        <v>81.5</v>
      </c>
      <c r="N52" s="222">
        <v>95.7</v>
      </c>
      <c r="O52" s="225">
        <v>3.6809815950919898E-3</v>
      </c>
      <c r="P52" s="225">
        <v>-0.14524555903866254</v>
      </c>
      <c r="Q52" s="228" t="e">
        <f t="shared" si="4"/>
        <v>#DIV/0!</v>
      </c>
      <c r="R52" s="222"/>
      <c r="S52" s="222">
        <f t="shared" si="0"/>
        <v>-1</v>
      </c>
      <c r="T52" s="222">
        <f t="shared" si="1"/>
        <v>0</v>
      </c>
      <c r="U52" s="222">
        <f t="shared" si="2"/>
        <v>1</v>
      </c>
      <c r="V52" s="222">
        <f t="shared" si="3"/>
        <v>0</v>
      </c>
    </row>
    <row r="53" spans="5:22" x14ac:dyDescent="0.2">
      <c r="E53" s="222" t="s">
        <v>2816</v>
      </c>
      <c r="F53" s="223" cm="1">
        <f t="array" ref="F53:P53">tinh_du_lieu_cp(E53)</f>
        <v>25.6</v>
      </c>
      <c r="G53" s="224">
        <v>3288.6</v>
      </c>
      <c r="H53" s="225">
        <v>-1.1599999999999999E-2</v>
      </c>
      <c r="I53" s="226">
        <v>0.63443798318993483</v>
      </c>
      <c r="J53" s="226">
        <v>0.95156795504613945</v>
      </c>
      <c r="K53" s="226">
        <v>0.81391252696665828</v>
      </c>
      <c r="L53" s="225">
        <v>0.3807812499999999</v>
      </c>
      <c r="M53" s="222">
        <v>25.6</v>
      </c>
      <c r="N53" s="222">
        <v>35.347999999999999</v>
      </c>
      <c r="O53" s="225">
        <v>0</v>
      </c>
      <c r="P53" s="225">
        <v>-0.27577232092339021</v>
      </c>
      <c r="Q53" s="228" t="e">
        <f t="shared" si="4"/>
        <v>#DIV/0!</v>
      </c>
      <c r="R53" s="222"/>
      <c r="S53" s="222">
        <f t="shared" si="0"/>
        <v>-1</v>
      </c>
      <c r="T53" s="222">
        <f t="shared" si="1"/>
        <v>0</v>
      </c>
      <c r="U53" s="222">
        <f t="shared" si="2"/>
        <v>1</v>
      </c>
      <c r="V53" s="222">
        <f t="shared" si="3"/>
        <v>0</v>
      </c>
    </row>
    <row r="74" spans="11:11" x14ac:dyDescent="0.2">
      <c r="K74" s="23"/>
    </row>
  </sheetData>
  <mergeCells count="19">
    <mergeCell ref="A1:I2"/>
    <mergeCell ref="J1:L2"/>
    <mergeCell ref="N11:Q14"/>
    <mergeCell ref="P15:Q15"/>
    <mergeCell ref="R11:T12"/>
    <mergeCell ref="E22:E23"/>
    <mergeCell ref="F22:F23"/>
    <mergeCell ref="G22:G23"/>
    <mergeCell ref="H22:H23"/>
    <mergeCell ref="I22:I23"/>
    <mergeCell ref="O22:O23"/>
    <mergeCell ref="P22:P23"/>
    <mergeCell ref="Q22:Q23"/>
    <mergeCell ref="R22:R23"/>
    <mergeCell ref="J22:J23"/>
    <mergeCell ref="K22:K23"/>
    <mergeCell ref="L22:L23"/>
    <mergeCell ref="M22:M23"/>
    <mergeCell ref="N22:N23"/>
  </mergeCells>
  <conditionalFormatting sqref="I25:I53">
    <cfRule type="colorScale" priority="172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J25:J53">
    <cfRule type="expression" dxfId="374" priority="168" stopIfTrue="1">
      <formula>J25&gt;2</formula>
    </cfRule>
    <cfRule type="expression" dxfId="373" priority="169" stopIfTrue="1">
      <formula>AND(J25&gt;0.5, J25&lt;1)</formula>
    </cfRule>
    <cfRule type="expression" dxfId="372" priority="170" stopIfTrue="1">
      <formula>J25&lt;=0.5</formula>
    </cfRule>
    <cfRule type="expression" dxfId="371" priority="171" stopIfTrue="1">
      <formula>AND(J25&gt;=1,J25&lt;2)</formula>
    </cfRule>
  </conditionalFormatting>
  <conditionalFormatting sqref="K25:K53">
    <cfRule type="expression" dxfId="370" priority="164" stopIfTrue="1">
      <formula>K25&gt;=2</formula>
    </cfRule>
    <cfRule type="expression" dxfId="369" priority="165" stopIfTrue="1">
      <formula>AND(K25&gt;=1,K25&lt;2)</formula>
    </cfRule>
    <cfRule type="expression" dxfId="368" priority="166" stopIfTrue="1">
      <formula>AND(K25&gt;0.5, K25&lt;1)</formula>
    </cfRule>
    <cfRule type="expression" dxfId="367" priority="167" stopIfTrue="1">
      <formula>K25&lt;=0.5</formula>
    </cfRule>
  </conditionalFormatting>
  <conditionalFormatting sqref="L25:L53">
    <cfRule type="colorScale" priority="163">
      <colorScale>
        <cfvo type="min"/>
        <cfvo type="percentile" val="50"/>
        <cfvo type="max"/>
        <color rgb="FFFF3829"/>
        <color rgb="FFFFC000"/>
        <color rgb="FF00A400"/>
      </colorScale>
    </cfRule>
  </conditionalFormatting>
  <conditionalFormatting sqref="O25:P53">
    <cfRule type="colorScale" priority="162">
      <colorScale>
        <cfvo type="min"/>
        <cfvo type="percentile" val="50"/>
        <cfvo type="max"/>
        <color rgb="FFFF3829"/>
        <color rgb="FFFFC000"/>
        <color rgb="FF00BC55"/>
      </colorScale>
    </cfRule>
  </conditionalFormatting>
  <conditionalFormatting sqref="N11">
    <cfRule type="expression" dxfId="366" priority="160" stopIfTrue="1">
      <formula>N11="giảm"</formula>
    </cfRule>
    <cfRule type="expression" dxfId="365" priority="161" stopIfTrue="1">
      <formula>N11="tăng"</formula>
    </cfRule>
  </conditionalFormatting>
  <conditionalFormatting sqref="P5:P9">
    <cfRule type="expression" dxfId="364" priority="138" stopIfTrue="1">
      <formula>U5="giảm"</formula>
    </cfRule>
    <cfRule type="expression" dxfId="363" priority="139" stopIfTrue="1">
      <formula>U5="tăng"</formula>
    </cfRule>
  </conditionalFormatting>
  <conditionalFormatting sqref="U5:U9">
    <cfRule type="expression" dxfId="362" priority="134" stopIfTrue="1">
      <formula>U5="giảm"</formula>
    </cfRule>
    <cfRule type="expression" dxfId="361" priority="135" stopIfTrue="1">
      <formula>U5="tăng"</formula>
    </cfRule>
  </conditionalFormatting>
  <conditionalFormatting sqref="L24:L53">
    <cfRule type="colorScale" priority="83">
      <colorScale>
        <cfvo type="min"/>
        <cfvo type="max"/>
        <color theme="0" tint="-4.9989318521683403E-2"/>
        <color rgb="FF00B050"/>
      </colorScale>
    </cfRule>
  </conditionalFormatting>
  <conditionalFormatting sqref="O24:O53">
    <cfRule type="colorScale" priority="82">
      <colorScale>
        <cfvo type="min"/>
        <cfvo type="max"/>
        <color theme="0" tint="-4.9989318521683403E-2"/>
        <color rgb="FF00B050"/>
      </colorScale>
    </cfRule>
  </conditionalFormatting>
  <conditionalFormatting sqref="P24:P53">
    <cfRule type="colorScale" priority="81">
      <colorScale>
        <cfvo type="min"/>
        <cfvo type="max"/>
        <color rgb="FFFF7C80"/>
        <color theme="0" tint="-4.9989318521683403E-2"/>
      </colorScale>
    </cfRule>
  </conditionalFormatting>
  <conditionalFormatting sqref="Q24:Q53">
    <cfRule type="colorScale" priority="80">
      <colorScale>
        <cfvo type="min"/>
        <cfvo type="max"/>
        <color theme="0" tint="-4.9989318521683403E-2"/>
        <color rgb="FFFF0000"/>
      </colorScale>
    </cfRule>
  </conditionalFormatting>
  <conditionalFormatting sqref="O5:O9">
    <cfRule type="expression" dxfId="360" priority="13770" stopIfTrue="1">
      <formula>U5="giảm"</formula>
    </cfRule>
    <cfRule type="expression" dxfId="359" priority="13771" stopIfTrue="1">
      <formula>U5="tăng"</formula>
    </cfRule>
  </conditionalFormatting>
  <conditionalFormatting sqref="Q5:Q9">
    <cfRule type="expression" dxfId="358" priority="13786" stopIfTrue="1">
      <formula>U5="giảm"</formula>
    </cfRule>
    <cfRule type="expression" dxfId="357" priority="13787" stopIfTrue="1">
      <formula>U5="tăng"</formula>
    </cfRule>
  </conditionalFormatting>
  <conditionalFormatting sqref="T5:T9">
    <cfRule type="expression" dxfId="356" priority="35" stopIfTrue="1">
      <formula>T5=0</formula>
    </cfRule>
    <cfRule type="expression" dxfId="355" priority="36" stopIfTrue="1">
      <formula>T5&lt;0</formula>
    </cfRule>
    <cfRule type="expression" dxfId="354" priority="37" stopIfTrue="1">
      <formula>T5&gt;0</formula>
    </cfRule>
  </conditionalFormatting>
  <conditionalFormatting sqref="R5:R9">
    <cfRule type="expression" dxfId="353" priority="33" stopIfTrue="1">
      <formula>U5="tăng"</formula>
    </cfRule>
    <cfRule type="expression" dxfId="352" priority="34" stopIfTrue="1">
      <formula>U5="giảm"</formula>
    </cfRule>
  </conditionalFormatting>
  <conditionalFormatting sqref="S5:S9">
    <cfRule type="expression" dxfId="351" priority="31" stopIfTrue="1">
      <formula>U5="tăng"</formula>
    </cfRule>
    <cfRule type="expression" dxfId="350" priority="32" stopIfTrue="1">
      <formula>U5="giảm"</formula>
    </cfRule>
  </conditionalFormatting>
  <conditionalFormatting sqref="F24:F53">
    <cfRule type="expression" dxfId="349" priority="11" stopIfTrue="1">
      <formula>H24&gt;=6.8%</formula>
    </cfRule>
    <cfRule type="expression" dxfId="348" priority="12" stopIfTrue="1">
      <formula>AND(H24&gt;0%,H24&lt;6.8%)</formula>
    </cfRule>
    <cfRule type="expression" dxfId="347" priority="13" stopIfTrue="1">
      <formula>H24=0%</formula>
    </cfRule>
    <cfRule type="expression" dxfId="346" priority="14" stopIfTrue="1">
      <formula>AND(H24&gt;-6.8%, H24&lt;0%)</formula>
    </cfRule>
    <cfRule type="expression" dxfId="345" priority="15" stopIfTrue="1">
      <formula>H24&lt;=-6.8%</formula>
    </cfRule>
  </conditionalFormatting>
  <conditionalFormatting sqref="E24:E53">
    <cfRule type="expression" dxfId="344" priority="21" stopIfTrue="1">
      <formula>H24&gt;=6.8%</formula>
    </cfRule>
    <cfRule type="expression" dxfId="343" priority="22" stopIfTrue="1">
      <formula>AND(H24&gt;0%,H24&lt;6.8%)</formula>
    </cfRule>
    <cfRule type="expression" dxfId="342" priority="23" stopIfTrue="1">
      <formula>H24=0%</formula>
    </cfRule>
    <cfRule type="expression" dxfId="341" priority="24" stopIfTrue="1">
      <formula>AND(H24&gt;-6.8%, H24&lt;0%)</formula>
    </cfRule>
    <cfRule type="expression" dxfId="340" priority="25" stopIfTrue="1">
      <formula>H24&lt;=-6.8%</formula>
    </cfRule>
  </conditionalFormatting>
  <conditionalFormatting sqref="N20">
    <cfRule type="expression" dxfId="339" priority="1" stopIfTrue="1">
      <formula>P20&gt;=6.8%</formula>
    </cfRule>
    <cfRule type="expression" dxfId="338" priority="2" stopIfTrue="1">
      <formula>AND(P20&gt;0%,P20&lt;6.8%)</formula>
    </cfRule>
    <cfRule type="expression" dxfId="337" priority="3" stopIfTrue="1">
      <formula>P20=0%</formula>
    </cfRule>
    <cfRule type="expression" dxfId="336" priority="4" stopIfTrue="1">
      <formula>AND(P20&gt;-6.8%, P20&lt;0%)</formula>
    </cfRule>
    <cfRule type="expression" dxfId="335" priority="5" stopIfTrue="1">
      <formula>P20&lt;=-6.8%</formula>
    </cfRule>
  </conditionalFormatting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34A878-9118-42DC-A1D8-3E3708D8B985}">
          <x14:formula1>
            <xm:f>'Nơi chứ dữ liệu'!$I$2:$N$2</xm:f>
          </x14:formula1>
          <xm:sqref>R24:R53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EF3DE-0908-4439-ABB5-9D1B0A43E665}">
  <sheetPr codeName="Sheet35">
    <tabColor rgb="FFFFC000"/>
  </sheetPr>
  <dimension ref="A1:U121"/>
  <sheetViews>
    <sheetView zoomScaleNormal="100" workbookViewId="0">
      <selection activeCell="B17" sqref="B17"/>
    </sheetView>
  </sheetViews>
  <sheetFormatPr defaultRowHeight="15" x14ac:dyDescent="0.2"/>
  <cols>
    <col min="1" max="1" width="11.88671875" bestFit="1" customWidth="1"/>
    <col min="2" max="2" width="8.109375" bestFit="1" customWidth="1"/>
    <col min="3" max="3" width="10.109375" bestFit="1" customWidth="1"/>
    <col min="4" max="4" width="4.44140625" customWidth="1"/>
    <col min="5" max="12" width="12.109375" customWidth="1"/>
    <col min="13" max="14" width="9.109375" customWidth="1"/>
    <col min="15" max="15" width="10.88671875" customWidth="1"/>
    <col min="16" max="16" width="11.109375" customWidth="1"/>
    <col min="17" max="17" width="13" customWidth="1"/>
    <col min="18" max="18" width="10.21875" customWidth="1"/>
    <col min="19" max="19" width="9" customWidth="1"/>
    <col min="20" max="20" width="7.88671875" customWidth="1"/>
    <col min="21" max="21" width="11.77734375" customWidth="1"/>
    <col min="22" max="22" width="8.88671875" bestFit="1" customWidth="1"/>
    <col min="23" max="23" width="4.88671875" bestFit="1" customWidth="1"/>
    <col min="24" max="25" width="9.44140625" bestFit="1" customWidth="1"/>
    <col min="26" max="26" width="4.88671875" bestFit="1" customWidth="1"/>
    <col min="27" max="28" width="9.44140625" bestFit="1" customWidth="1"/>
    <col min="29" max="29" width="8.44140625" bestFit="1" customWidth="1"/>
    <col min="30" max="31" width="8.88671875" bestFit="1" customWidth="1"/>
    <col min="32" max="32" width="8.44140625" bestFit="1" customWidth="1"/>
    <col min="33" max="33" width="9.44140625" bestFit="1" customWidth="1"/>
    <col min="34" max="34" width="8.88671875" bestFit="1" customWidth="1"/>
    <col min="35" max="35" width="9.44140625" bestFit="1" customWidth="1"/>
    <col min="36" max="36" width="8.88671875" bestFit="1" customWidth="1"/>
    <col min="37" max="37" width="9.44140625" bestFit="1" customWidth="1"/>
    <col min="38" max="38" width="8.88671875" bestFit="1" customWidth="1"/>
    <col min="39" max="39" width="10.33203125" bestFit="1" customWidth="1"/>
    <col min="40" max="40" width="4.88671875" bestFit="1" customWidth="1"/>
    <col min="41" max="41" width="9.44140625" bestFit="1" customWidth="1"/>
    <col min="42" max="42" width="4.88671875" bestFit="1" customWidth="1"/>
    <col min="43" max="45" width="9.44140625" bestFit="1" customWidth="1"/>
    <col min="46" max="46" width="10.33203125" bestFit="1" customWidth="1"/>
  </cols>
  <sheetData>
    <row r="1" spans="1:19" s="83" customFormat="1" ht="15.75" customHeight="1" x14ac:dyDescent="0.2">
      <c r="A1" s="312" t="str">
        <f>"BIẾN ĐỘNG CÁC CHỈ SỐ TRONG VN30 HÔM NAY"</f>
        <v>BIẾN ĐỘNG CÁC CHỈ SỐ TRONG VN30 HÔM NAY</v>
      </c>
      <c r="B1" s="312"/>
      <c r="C1" s="312"/>
      <c r="D1" s="312"/>
      <c r="E1" s="312"/>
      <c r="F1" s="312"/>
      <c r="G1" s="312"/>
      <c r="H1" s="312"/>
      <c r="I1" s="312"/>
      <c r="J1" s="314">
        <f ca="1">TODAY()</f>
        <v>46217</v>
      </c>
      <c r="K1" s="314"/>
      <c r="L1" s="314"/>
      <c r="M1" s="84"/>
      <c r="N1" s="84"/>
      <c r="O1" s="84"/>
      <c r="P1" s="84"/>
      <c r="Q1" s="84"/>
      <c r="R1" s="84"/>
      <c r="S1" s="84"/>
    </row>
    <row r="2" spans="1:19" s="83" customFormat="1" ht="16.5" customHeight="1" x14ac:dyDescent="0.2">
      <c r="A2" s="312"/>
      <c r="B2" s="312"/>
      <c r="C2" s="312"/>
      <c r="D2" s="312"/>
      <c r="E2" s="312"/>
      <c r="F2" s="312"/>
      <c r="G2" s="312"/>
      <c r="H2" s="312"/>
      <c r="I2" s="312"/>
      <c r="J2" s="314"/>
      <c r="K2" s="314"/>
      <c r="L2" s="314"/>
      <c r="M2" s="84"/>
      <c r="N2" s="84"/>
      <c r="O2" s="84"/>
      <c r="P2" s="84"/>
      <c r="Q2" s="84"/>
      <c r="R2" s="84"/>
    </row>
    <row r="3" spans="1:19" ht="16.5" customHeight="1" x14ac:dyDescent="0.2">
      <c r="A3" s="375" t="s">
        <v>2968</v>
      </c>
      <c r="B3" s="375" t="s">
        <v>3033</v>
      </c>
      <c r="C3" s="375" t="s">
        <v>3008</v>
      </c>
    </row>
    <row r="4" spans="1:19" x14ac:dyDescent="0.2">
      <c r="A4" s="376" t="s">
        <v>2715</v>
      </c>
      <c r="B4" s="377">
        <v>-3.8399999999999997E-2</v>
      </c>
      <c r="C4" s="378">
        <v>0.2934706083366842</v>
      </c>
    </row>
    <row r="5" spans="1:19" x14ac:dyDescent="0.2">
      <c r="A5" s="376" t="s">
        <v>2711</v>
      </c>
      <c r="B5" s="377">
        <v>-2.9399999999999999E-2</v>
      </c>
      <c r="C5" s="378">
        <v>0.40009832016160113</v>
      </c>
    </row>
    <row r="6" spans="1:19" x14ac:dyDescent="0.2">
      <c r="A6" s="376" t="s">
        <v>2733</v>
      </c>
      <c r="B6" s="377">
        <v>-2.3099999999999999E-2</v>
      </c>
      <c r="C6" s="378">
        <v>0.48696236762894968</v>
      </c>
    </row>
    <row r="7" spans="1:19" x14ac:dyDescent="0.2">
      <c r="A7" s="376" t="s">
        <v>744</v>
      </c>
      <c r="B7" s="377">
        <v>-2.3E-2</v>
      </c>
      <c r="C7" s="378">
        <v>0.2131952352065985</v>
      </c>
    </row>
    <row r="8" spans="1:19" ht="15.75" customHeight="1" x14ac:dyDescent="0.2">
      <c r="A8" s="376" t="s">
        <v>2247</v>
      </c>
      <c r="B8" s="377">
        <v>-1.78E-2</v>
      </c>
      <c r="C8" s="378">
        <v>0.16811003565970456</v>
      </c>
    </row>
    <row r="9" spans="1:19" ht="15.75" customHeight="1" x14ac:dyDescent="0.2">
      <c r="A9" s="376" t="s">
        <v>1161</v>
      </c>
      <c r="B9" s="377">
        <v>-1.7100000000000001E-2</v>
      </c>
      <c r="C9" s="378">
        <v>0.28037854386117639</v>
      </c>
    </row>
    <row r="10" spans="1:19" ht="15.75" customHeight="1" x14ac:dyDescent="0.2">
      <c r="A10" s="376" t="s">
        <v>2796</v>
      </c>
      <c r="B10" s="377">
        <v>-1.7000000000000001E-2</v>
      </c>
      <c r="C10" s="378">
        <v>0.41846453283607277</v>
      </c>
    </row>
    <row r="11" spans="1:19" ht="15.75" customHeight="1" x14ac:dyDescent="0.2">
      <c r="A11" s="376" t="s">
        <v>838</v>
      </c>
      <c r="B11" s="377">
        <v>-1.5800000000000002E-2</v>
      </c>
      <c r="C11" s="378">
        <v>0.48547073057029327</v>
      </c>
    </row>
    <row r="12" spans="1:19" ht="15.75" customHeight="1" x14ac:dyDescent="0.2">
      <c r="A12" s="376" t="s">
        <v>106</v>
      </c>
      <c r="B12" s="377">
        <v>-1.5600000000000001E-2</v>
      </c>
      <c r="C12" s="378">
        <v>0.62712493552946413</v>
      </c>
    </row>
    <row r="13" spans="1:19" ht="15.75" customHeight="1" x14ac:dyDescent="0.2">
      <c r="A13" s="376" t="s">
        <v>111</v>
      </c>
      <c r="B13" s="377">
        <v>-1.55E-2</v>
      </c>
      <c r="C13" s="378">
        <v>0.28672985781990523</v>
      </c>
    </row>
    <row r="14" spans="1:19" ht="15.75" customHeight="1" x14ac:dyDescent="0.2">
      <c r="A14" s="376" t="s">
        <v>2816</v>
      </c>
      <c r="B14" s="377">
        <v>-1.54E-2</v>
      </c>
      <c r="C14" s="378">
        <v>0.29391432043698934</v>
      </c>
    </row>
    <row r="15" spans="1:19" ht="18" customHeight="1" x14ac:dyDescent="0.2">
      <c r="A15" s="376" t="s">
        <v>1442</v>
      </c>
      <c r="B15" s="377">
        <v>-1.52E-2</v>
      </c>
      <c r="C15" s="378">
        <v>0.40891074009820011</v>
      </c>
    </row>
    <row r="16" spans="1:19" ht="18" customHeight="1" x14ac:dyDescent="0.2">
      <c r="A16" s="376" t="s">
        <v>676</v>
      </c>
      <c r="B16" s="377">
        <v>-1.5100000000000001E-2</v>
      </c>
      <c r="C16" s="378">
        <v>0.47292175086972327</v>
      </c>
    </row>
    <row r="17" spans="1:21" ht="18" customHeight="1" x14ac:dyDescent="0.2">
      <c r="A17" s="376" t="s">
        <v>746</v>
      </c>
      <c r="B17" s="377">
        <v>-1.49E-2</v>
      </c>
      <c r="C17" s="378">
        <v>0.36741001019528935</v>
      </c>
    </row>
    <row r="18" spans="1:21" ht="18" customHeight="1" x14ac:dyDescent="0.2">
      <c r="A18" s="376" t="s">
        <v>1193</v>
      </c>
      <c r="B18" s="377">
        <v>-1.4499999999999999E-2</v>
      </c>
      <c r="C18" s="378">
        <v>0.22438707274970729</v>
      </c>
    </row>
    <row r="19" spans="1:21" x14ac:dyDescent="0.2">
      <c r="A19" s="376" t="s">
        <v>1850</v>
      </c>
      <c r="B19" s="377">
        <v>-1.4499999999999999E-2</v>
      </c>
      <c r="C19" s="378">
        <v>0.47150865530168412</v>
      </c>
    </row>
    <row r="20" spans="1:21" ht="17.25" customHeight="1" x14ac:dyDescent="0.2">
      <c r="A20" s="376" t="s">
        <v>1582</v>
      </c>
      <c r="B20" s="377">
        <v>-1.43E-2</v>
      </c>
      <c r="C20" s="378">
        <v>0.41476746209342708</v>
      </c>
    </row>
    <row r="21" spans="1:21" ht="19.5" customHeight="1" x14ac:dyDescent="0.2">
      <c r="A21" s="376" t="s">
        <v>1205</v>
      </c>
      <c r="B21" s="377">
        <v>-1.3899999999999999E-2</v>
      </c>
      <c r="C21" s="378">
        <v>0.36612619276407027</v>
      </c>
    </row>
    <row r="22" spans="1:21" ht="27.75" customHeight="1" x14ac:dyDescent="0.2">
      <c r="A22" s="376" t="s">
        <v>1053</v>
      </c>
      <c r="B22" s="377">
        <v>-1.3600000000000001E-2</v>
      </c>
      <c r="C22" s="378">
        <v>0.27391944874990143</v>
      </c>
      <c r="E22" s="311" t="s">
        <v>3015</v>
      </c>
      <c r="F22" s="311" t="s">
        <v>2949</v>
      </c>
      <c r="G22" s="311" t="s">
        <v>2950</v>
      </c>
      <c r="H22" s="311" t="s">
        <v>2951</v>
      </c>
      <c r="I22" s="311" t="s">
        <v>2952</v>
      </c>
      <c r="J22" s="311" t="s">
        <v>2970</v>
      </c>
      <c r="K22" s="311" t="s">
        <v>2971</v>
      </c>
      <c r="L22" s="311" t="s">
        <v>2954</v>
      </c>
      <c r="M22" s="311" t="s">
        <v>2956</v>
      </c>
      <c r="N22" s="311" t="s">
        <v>2955</v>
      </c>
      <c r="O22" s="311" t="s">
        <v>2957</v>
      </c>
      <c r="P22" s="311" t="s">
        <v>2963</v>
      </c>
      <c r="Q22" s="311" t="s">
        <v>2958</v>
      </c>
      <c r="R22" s="170" t="s">
        <v>2959</v>
      </c>
      <c r="S22" s="170" t="s">
        <v>2972</v>
      </c>
      <c r="T22" s="170" t="s">
        <v>3022</v>
      </c>
      <c r="U22" s="170" t="s">
        <v>3023</v>
      </c>
    </row>
    <row r="23" spans="1:21" ht="21.75" customHeight="1" x14ac:dyDescent="0.2">
      <c r="A23" s="376" t="s">
        <v>1203</v>
      </c>
      <c r="B23" s="377">
        <v>-1.3100000000000001E-2</v>
      </c>
      <c r="C23" s="378">
        <v>0.33628938373234524</v>
      </c>
      <c r="E23" s="311"/>
      <c r="F23" s="311"/>
      <c r="G23" s="311"/>
      <c r="H23" s="311"/>
      <c r="I23" s="311"/>
      <c r="J23" s="311"/>
      <c r="K23" s="311"/>
      <c r="L23" s="311"/>
      <c r="M23" s="311"/>
      <c r="N23" s="311"/>
      <c r="O23" s="311"/>
      <c r="P23" s="311"/>
      <c r="Q23" s="311"/>
      <c r="R23" s="170">
        <f>COUNT(R24:R121)</f>
        <v>98</v>
      </c>
      <c r="S23" s="170">
        <f>SUM(S24:S121)</f>
        <v>71</v>
      </c>
      <c r="T23" s="170">
        <f>SUM(T24:T121)</f>
        <v>22</v>
      </c>
      <c r="U23" s="170">
        <f>SUM(U24:U121)</f>
        <v>5</v>
      </c>
    </row>
    <row r="24" spans="1:21" x14ac:dyDescent="0.2">
      <c r="A24" s="376" t="s">
        <v>1470</v>
      </c>
      <c r="B24" s="377">
        <v>-1.3100000000000001E-2</v>
      </c>
      <c r="C24" s="378">
        <v>0.2926602265798004</v>
      </c>
      <c r="E24" s="222" t="s">
        <v>118</v>
      </c>
      <c r="F24" s="223" cm="1">
        <f t="array" ref="F24:P24">tinh_du_lieu_cp(E24)</f>
        <v>22.85</v>
      </c>
      <c r="G24" s="224">
        <v>18290.5</v>
      </c>
      <c r="H24" s="225">
        <v>1.78E-2</v>
      </c>
      <c r="I24" s="226">
        <v>1.4413002653069045</v>
      </c>
      <c r="J24" s="226">
        <v>1.0067319667440844</v>
      </c>
      <c r="K24" s="226">
        <v>1.3650526713825664</v>
      </c>
      <c r="L24" s="227">
        <v>0.1812648302898999</v>
      </c>
      <c r="M24" s="222">
        <v>19.385999999999999</v>
      </c>
      <c r="N24" s="222">
        <v>22.9</v>
      </c>
      <c r="O24" s="225">
        <v>0.17868564943773868</v>
      </c>
      <c r="P24" s="225">
        <v>-2.1834061135369938E-3</v>
      </c>
      <c r="Q24" s="222"/>
      <c r="R24" s="222">
        <f t="shared" ref="R24:R55" si="0">IF(H24&gt;0,1,IF(H24=0,0,-1))</f>
        <v>1</v>
      </c>
      <c r="S24" s="222">
        <f>IF(R24=1,1,0)</f>
        <v>1</v>
      </c>
      <c r="T24" s="222">
        <f>IF(R24&lt;0,1,0)</f>
        <v>0</v>
      </c>
      <c r="U24" s="222">
        <f>IF(R24=0,1,0)</f>
        <v>0</v>
      </c>
    </row>
    <row r="25" spans="1:21" x14ac:dyDescent="0.2">
      <c r="A25" s="376" t="s">
        <v>1404</v>
      </c>
      <c r="B25" s="377">
        <v>-1.26E-2</v>
      </c>
      <c r="C25" s="378">
        <v>0.24941387738813789</v>
      </c>
      <c r="E25" s="222" t="s">
        <v>272</v>
      </c>
      <c r="F25" s="223" cm="1">
        <f t="array" ref="F25:P25">tinh_du_lieu_cp(E25)</f>
        <v>18.8</v>
      </c>
      <c r="G25" s="224">
        <v>336.7</v>
      </c>
      <c r="H25" s="225">
        <v>-2.7000000000000001E-3</v>
      </c>
      <c r="I25" s="226">
        <v>0.52079700770572024</v>
      </c>
      <c r="J25" s="226">
        <v>0.93541485349579356</v>
      </c>
      <c r="K25" s="226">
        <v>0.48561332660272588</v>
      </c>
      <c r="L25" s="225">
        <v>0.35106382978723394</v>
      </c>
      <c r="M25" s="222">
        <v>18.8</v>
      </c>
      <c r="N25" s="222">
        <v>25.4</v>
      </c>
      <c r="O25" s="225">
        <v>0</v>
      </c>
      <c r="P25" s="225">
        <v>-0.2598425196850393</v>
      </c>
      <c r="Q25" s="222"/>
      <c r="R25" s="222">
        <f t="shared" si="0"/>
        <v>-1</v>
      </c>
      <c r="S25" s="222">
        <f t="shared" ref="S25:S53" si="1">IF(R25=1,1,0)</f>
        <v>0</v>
      </c>
      <c r="T25" s="222">
        <f t="shared" ref="T25:T53" si="2">IF(R25&lt;0,1,0)</f>
        <v>1</v>
      </c>
      <c r="U25" s="222">
        <f t="shared" ref="U25:U53" si="3">IF(R25=0,1,0)</f>
        <v>0</v>
      </c>
    </row>
    <row r="26" spans="1:21" x14ac:dyDescent="0.2">
      <c r="A26" s="376" t="s">
        <v>737</v>
      </c>
      <c r="B26" s="377">
        <v>-1.23E-2</v>
      </c>
      <c r="C26" s="378">
        <v>0.91267299932803536</v>
      </c>
      <c r="E26" s="222" t="s">
        <v>368</v>
      </c>
      <c r="F26" s="223" cm="1">
        <f t="array" ref="F26:P26">tinh_du_lieu_cp(E26)</f>
        <v>47.05</v>
      </c>
      <c r="G26" s="224">
        <v>314.5</v>
      </c>
      <c r="H26" s="225">
        <v>2.2799999999999997E-2</v>
      </c>
      <c r="I26" s="226">
        <v>1.0460984865665774</v>
      </c>
      <c r="J26" s="226">
        <v>0.94620016702562537</v>
      </c>
      <c r="K26" s="226">
        <v>1.0396121425816758</v>
      </c>
      <c r="L26" s="225">
        <v>0.24565217391304342</v>
      </c>
      <c r="M26" s="222">
        <v>46</v>
      </c>
      <c r="N26" s="222">
        <v>57.3</v>
      </c>
      <c r="O26" s="225">
        <v>2.2826086956521677E-2</v>
      </c>
      <c r="P26" s="225">
        <v>-0.17888307155322863</v>
      </c>
      <c r="Q26" s="222"/>
      <c r="R26" s="222">
        <f t="shared" si="0"/>
        <v>1</v>
      </c>
      <c r="S26" s="222">
        <f t="shared" si="1"/>
        <v>1</v>
      </c>
      <c r="T26" s="222">
        <f t="shared" si="2"/>
        <v>0</v>
      </c>
      <c r="U26" s="222">
        <f t="shared" si="3"/>
        <v>0</v>
      </c>
    </row>
    <row r="27" spans="1:21" x14ac:dyDescent="0.2">
      <c r="A27" s="376" t="s">
        <v>1741</v>
      </c>
      <c r="B27" s="377">
        <v>-1.18E-2</v>
      </c>
      <c r="C27" s="378">
        <v>0.21981790232943124</v>
      </c>
      <c r="E27" s="222" t="s">
        <v>411</v>
      </c>
      <c r="F27" s="223" cm="1">
        <f t="array" ref="F27:P27">tinh_du_lieu_cp(E27)</f>
        <v>40.25</v>
      </c>
      <c r="G27" s="224">
        <v>2737.3</v>
      </c>
      <c r="H27" s="225">
        <v>7.4999999999999997E-3</v>
      </c>
      <c r="I27" s="226">
        <v>0.68429856119195398</v>
      </c>
      <c r="J27" s="226">
        <v>0.97822863549238726</v>
      </c>
      <c r="K27" s="226">
        <v>0.86914967930399445</v>
      </c>
      <c r="L27" s="225">
        <v>0.13391739674593225</v>
      </c>
      <c r="M27" s="222">
        <v>39.950000000000003</v>
      </c>
      <c r="N27" s="222">
        <v>45.3</v>
      </c>
      <c r="O27" s="225">
        <v>7.5093867334166996E-3</v>
      </c>
      <c r="P27" s="225">
        <v>-0.11147902869757169</v>
      </c>
      <c r="Q27" s="222"/>
      <c r="R27" s="222">
        <f t="shared" si="0"/>
        <v>1</v>
      </c>
      <c r="S27" s="222">
        <f t="shared" si="1"/>
        <v>1</v>
      </c>
      <c r="T27" s="222">
        <f t="shared" si="2"/>
        <v>0</v>
      </c>
      <c r="U27" s="222">
        <f t="shared" si="3"/>
        <v>0</v>
      </c>
    </row>
    <row r="28" spans="1:21" x14ac:dyDescent="0.2">
      <c r="A28" s="376" t="s">
        <v>733</v>
      </c>
      <c r="B28" s="377">
        <v>-1.18E-2</v>
      </c>
      <c r="C28" s="378">
        <v>0.56607573469009198</v>
      </c>
      <c r="E28" s="222" t="s">
        <v>446</v>
      </c>
      <c r="F28" s="223" cm="1">
        <f t="array" ref="F28:P28">tinh_du_lieu_cp(E28)</f>
        <v>150.9</v>
      </c>
      <c r="G28" s="224">
        <v>199.8</v>
      </c>
      <c r="H28" s="225">
        <v>1.55E-2</v>
      </c>
      <c r="I28" s="226">
        <v>1.2390348404555194</v>
      </c>
      <c r="J28" s="226">
        <v>0.99413579304236277</v>
      </c>
      <c r="K28" s="226">
        <v>1.4291845493562232</v>
      </c>
      <c r="L28" s="225">
        <v>0.17134192570128881</v>
      </c>
      <c r="M28" s="222">
        <v>131.9</v>
      </c>
      <c r="N28" s="222">
        <v>154.5</v>
      </c>
      <c r="O28" s="225">
        <v>0.14404852160727824</v>
      </c>
      <c r="P28" s="225">
        <v>-2.330097087378637E-2</v>
      </c>
      <c r="Q28" s="222"/>
      <c r="R28" s="222">
        <f t="shared" si="0"/>
        <v>1</v>
      </c>
      <c r="S28" s="222">
        <f t="shared" si="1"/>
        <v>1</v>
      </c>
      <c r="T28" s="222">
        <f t="shared" si="2"/>
        <v>0</v>
      </c>
      <c r="U28" s="222">
        <f t="shared" si="3"/>
        <v>0</v>
      </c>
    </row>
    <row r="29" spans="1:21" x14ac:dyDescent="0.2">
      <c r="A29" s="376" t="s">
        <v>1833</v>
      </c>
      <c r="B29" s="377">
        <v>-1.18E-2</v>
      </c>
      <c r="C29" s="378">
        <v>0.18673641209585015</v>
      </c>
      <c r="E29" s="222" t="s">
        <v>478</v>
      </c>
      <c r="F29" s="223" cm="1">
        <f t="array" ref="F29:P29">tinh_du_lieu_cp(E29)</f>
        <v>33</v>
      </c>
      <c r="G29" s="224">
        <v>414.2</v>
      </c>
      <c r="H29" s="225">
        <v>9.1999999999999998E-3</v>
      </c>
      <c r="I29" s="226">
        <v>0.45860783001253169</v>
      </c>
      <c r="J29" s="226">
        <v>1.0012618022016269</v>
      </c>
      <c r="K29" s="226">
        <v>0.43236660345517491</v>
      </c>
      <c r="L29" s="225">
        <v>0.22076289410130009</v>
      </c>
      <c r="M29" s="222">
        <v>30.227</v>
      </c>
      <c r="N29" s="222">
        <v>36.9</v>
      </c>
      <c r="O29" s="225">
        <v>9.1739173586528583E-2</v>
      </c>
      <c r="P29" s="225">
        <v>-0.10569105691056907</v>
      </c>
      <c r="Q29" s="222"/>
      <c r="R29" s="222">
        <f t="shared" si="0"/>
        <v>1</v>
      </c>
      <c r="S29" s="222">
        <f t="shared" si="1"/>
        <v>1</v>
      </c>
      <c r="T29" s="222">
        <f t="shared" si="2"/>
        <v>0</v>
      </c>
      <c r="U29" s="222">
        <f t="shared" si="3"/>
        <v>0</v>
      </c>
    </row>
    <row r="30" spans="1:21" x14ac:dyDescent="0.2">
      <c r="A30" s="376" t="s">
        <v>2805</v>
      </c>
      <c r="B30" s="377">
        <v>-1.15E-2</v>
      </c>
      <c r="C30" s="378">
        <v>0.79042258895354378</v>
      </c>
      <c r="E30" s="222" t="s">
        <v>524</v>
      </c>
      <c r="F30" s="223" cm="1">
        <f t="array" ref="F30:P30">tinh_du_lieu_cp(E30)</f>
        <v>58.6</v>
      </c>
      <c r="G30" s="224">
        <v>327.60000000000002</v>
      </c>
      <c r="H30" s="225">
        <v>1.9099999999999999E-2</v>
      </c>
      <c r="I30" s="226">
        <v>0.88732394366197187</v>
      </c>
      <c r="J30" s="226">
        <v>0.93819954844598141</v>
      </c>
      <c r="K30" s="226">
        <v>0.90555606744678885</v>
      </c>
      <c r="L30" s="225">
        <v>0.26260869565217382</v>
      </c>
      <c r="M30" s="222">
        <v>57.5</v>
      </c>
      <c r="N30" s="222">
        <v>72.599999999999994</v>
      </c>
      <c r="O30" s="225">
        <v>1.9130434782608719E-2</v>
      </c>
      <c r="P30" s="225">
        <v>-0.19283746556473821</v>
      </c>
      <c r="Q30" s="222"/>
      <c r="R30" s="222">
        <f t="shared" si="0"/>
        <v>1</v>
      </c>
      <c r="S30" s="222">
        <f t="shared" si="1"/>
        <v>1</v>
      </c>
      <c r="T30" s="222">
        <f t="shared" si="2"/>
        <v>0</v>
      </c>
      <c r="U30" s="222">
        <f t="shared" si="3"/>
        <v>0</v>
      </c>
    </row>
    <row r="31" spans="1:21" x14ac:dyDescent="0.2">
      <c r="A31" s="376" t="s">
        <v>2859</v>
      </c>
      <c r="B31" s="377">
        <v>-9.8999999999999991E-3</v>
      </c>
      <c r="C31" s="378">
        <v>0.72426958927764729</v>
      </c>
      <c r="E31" s="222" t="s">
        <v>533</v>
      </c>
      <c r="F31" s="223" cm="1">
        <f t="array" ref="F31:P31">tinh_du_lieu_cp(E31)</f>
        <v>45.3</v>
      </c>
      <c r="G31" s="224">
        <v>130.80000000000001</v>
      </c>
      <c r="H31" s="225">
        <v>2.2000000000000001E-3</v>
      </c>
      <c r="I31" s="226">
        <v>2.246545397767195</v>
      </c>
      <c r="J31" s="226">
        <v>1.0078689631881119</v>
      </c>
      <c r="K31" s="226">
        <v>2.0772895712016939</v>
      </c>
      <c r="L31" s="225">
        <v>9.4786729857819899E-2</v>
      </c>
      <c r="M31" s="222">
        <v>42.2</v>
      </c>
      <c r="N31" s="222">
        <v>46.2</v>
      </c>
      <c r="O31" s="225">
        <v>7.3459715639810283E-2</v>
      </c>
      <c r="P31" s="225">
        <v>-1.9480519480519601E-2</v>
      </c>
      <c r="Q31" s="222"/>
      <c r="R31" s="222">
        <f t="shared" si="0"/>
        <v>1</v>
      </c>
      <c r="S31" s="222">
        <f t="shared" si="1"/>
        <v>1</v>
      </c>
      <c r="T31" s="222">
        <f t="shared" si="2"/>
        <v>0</v>
      </c>
      <c r="U31" s="222">
        <f t="shared" si="3"/>
        <v>0</v>
      </c>
    </row>
    <row r="32" spans="1:21" x14ac:dyDescent="0.2">
      <c r="A32" s="376" t="s">
        <v>2298</v>
      </c>
      <c r="B32" s="377">
        <v>-9.5999999999999992E-3</v>
      </c>
      <c r="C32" s="378">
        <v>0.38561452214028979</v>
      </c>
      <c r="E32" s="222" t="s">
        <v>636</v>
      </c>
      <c r="F32" s="223" cm="1">
        <f t="array" ref="F32:P32">tinh_du_lieu_cp(E32)</f>
        <v>16.5</v>
      </c>
      <c r="G32" s="224">
        <v>6151</v>
      </c>
      <c r="H32" s="225">
        <v>1.8500000000000003E-2</v>
      </c>
      <c r="I32" s="226">
        <v>0.62838637296585442</v>
      </c>
      <c r="J32" s="226">
        <v>0.9590341235156491</v>
      </c>
      <c r="K32" s="226">
        <v>0.89305418433126194</v>
      </c>
      <c r="L32" s="225">
        <v>0.21981424148606818</v>
      </c>
      <c r="M32" s="222">
        <v>16.149999999999999</v>
      </c>
      <c r="N32" s="222">
        <v>19.7</v>
      </c>
      <c r="O32" s="225">
        <v>2.1671826625387088E-2</v>
      </c>
      <c r="P32" s="225">
        <v>-0.16243654822335021</v>
      </c>
      <c r="Q32" s="222"/>
      <c r="R32" s="222">
        <f t="shared" si="0"/>
        <v>1</v>
      </c>
      <c r="S32" s="222">
        <f t="shared" si="1"/>
        <v>1</v>
      </c>
      <c r="T32" s="222">
        <f t="shared" si="2"/>
        <v>0</v>
      </c>
      <c r="U32" s="222">
        <f t="shared" si="3"/>
        <v>0</v>
      </c>
    </row>
    <row r="33" spans="1:21" x14ac:dyDescent="0.2">
      <c r="A33" s="376" t="s">
        <v>1822</v>
      </c>
      <c r="B33" s="377">
        <v>-9.1999999999999998E-3</v>
      </c>
      <c r="C33" s="378">
        <v>0.43096871550531657</v>
      </c>
      <c r="E33" s="222" t="s">
        <v>676</v>
      </c>
      <c r="F33" s="223" cm="1">
        <f t="array" ref="F33:P33">tinh_du_lieu_cp(E33)</f>
        <v>26.25</v>
      </c>
      <c r="G33" s="224">
        <v>136.1</v>
      </c>
      <c r="H33" s="225">
        <v>-7.6E-3</v>
      </c>
      <c r="I33" s="226">
        <v>0.76674092852935916</v>
      </c>
      <c r="J33" s="226">
        <v>0.9863314960191526</v>
      </c>
      <c r="K33" s="226">
        <v>0.70823937554206418</v>
      </c>
      <c r="L33" s="225">
        <v>0.10285714285714283</v>
      </c>
      <c r="M33" s="222">
        <v>26.25</v>
      </c>
      <c r="N33" s="222">
        <v>28.95</v>
      </c>
      <c r="O33" s="225">
        <v>0</v>
      </c>
      <c r="P33" s="225">
        <v>-9.3264248704663197E-2</v>
      </c>
      <c r="Q33" s="222"/>
      <c r="R33" s="222">
        <f t="shared" si="0"/>
        <v>-1</v>
      </c>
      <c r="S33" s="222">
        <f t="shared" si="1"/>
        <v>0</v>
      </c>
      <c r="T33" s="222">
        <f t="shared" si="2"/>
        <v>1</v>
      </c>
      <c r="U33" s="222">
        <f t="shared" si="3"/>
        <v>0</v>
      </c>
    </row>
    <row r="34" spans="1:21" x14ac:dyDescent="0.2">
      <c r="A34" s="376" t="s">
        <v>109</v>
      </c>
      <c r="B34" s="377">
        <v>-8.8999999999999999E-3</v>
      </c>
      <c r="C34" s="378">
        <v>0.70020562229506278</v>
      </c>
      <c r="E34" s="222" t="s">
        <v>733</v>
      </c>
      <c r="F34" s="223" cm="1">
        <f t="array" ref="F34:P34">tinh_du_lieu_cp(E34)</f>
        <v>67.5</v>
      </c>
      <c r="G34" s="224">
        <v>473.9</v>
      </c>
      <c r="H34" s="225">
        <v>-1.5E-3</v>
      </c>
      <c r="I34" s="226">
        <v>0.9062997122664882</v>
      </c>
      <c r="J34" s="226">
        <v>0.97234083232426238</v>
      </c>
      <c r="K34" s="226">
        <v>0.77472617296060164</v>
      </c>
      <c r="L34" s="225">
        <v>0.29185185185185192</v>
      </c>
      <c r="M34" s="222">
        <v>67.5</v>
      </c>
      <c r="N34" s="222">
        <v>87.2</v>
      </c>
      <c r="O34" s="225">
        <v>0</v>
      </c>
      <c r="P34" s="225">
        <v>-0.22591743119266058</v>
      </c>
      <c r="Q34" s="222"/>
      <c r="R34" s="222">
        <f t="shared" si="0"/>
        <v>-1</v>
      </c>
      <c r="S34" s="222">
        <f t="shared" si="1"/>
        <v>0</v>
      </c>
      <c r="T34" s="222">
        <f t="shared" si="2"/>
        <v>1</v>
      </c>
      <c r="U34" s="222">
        <f t="shared" si="3"/>
        <v>0</v>
      </c>
    </row>
    <row r="35" spans="1:21" x14ac:dyDescent="0.2">
      <c r="A35" s="376" t="s">
        <v>119</v>
      </c>
      <c r="B35" s="377">
        <v>-8.6E-3</v>
      </c>
      <c r="C35" s="378">
        <v>0.23643718039717396</v>
      </c>
      <c r="E35" s="222" t="s">
        <v>737</v>
      </c>
      <c r="F35" s="223" cm="1">
        <f t="array" ref="F35:P35">tinh_du_lieu_cp(E35)</f>
        <v>32.6</v>
      </c>
      <c r="G35" s="224">
        <v>11189.7</v>
      </c>
      <c r="H35" s="225">
        <v>0</v>
      </c>
      <c r="I35" s="226">
        <v>1.5092921623590174</v>
      </c>
      <c r="J35" s="226">
        <v>0.99304017007944478</v>
      </c>
      <c r="K35" s="226">
        <v>1.2704523908193446</v>
      </c>
      <c r="L35" s="225">
        <v>0.11349693251533728</v>
      </c>
      <c r="M35" s="222">
        <v>32.6</v>
      </c>
      <c r="N35" s="222">
        <v>36.299999999999997</v>
      </c>
      <c r="O35" s="225">
        <v>0</v>
      </c>
      <c r="P35" s="225">
        <v>-0.10192837465564727</v>
      </c>
      <c r="Q35" s="222"/>
      <c r="R35" s="222">
        <f t="shared" si="0"/>
        <v>0</v>
      </c>
      <c r="S35" s="222">
        <f t="shared" si="1"/>
        <v>0</v>
      </c>
      <c r="T35" s="222">
        <f t="shared" si="2"/>
        <v>0</v>
      </c>
      <c r="U35" s="222">
        <f t="shared" si="3"/>
        <v>1</v>
      </c>
    </row>
    <row r="36" spans="1:21" x14ac:dyDescent="0.2">
      <c r="A36" s="376" t="s">
        <v>272</v>
      </c>
      <c r="B36" s="377">
        <v>-8.0000000000000002E-3</v>
      </c>
      <c r="C36" s="378">
        <v>0.20995271142557576</v>
      </c>
      <c r="E36" s="222" t="s">
        <v>744</v>
      </c>
      <c r="F36" s="223" cm="1">
        <f t="array" ref="F36:P36">tinh_du_lieu_cp(E36)</f>
        <v>72.5</v>
      </c>
      <c r="G36" s="224">
        <v>187</v>
      </c>
      <c r="H36" s="225">
        <v>-1.7600000000000001E-2</v>
      </c>
      <c r="I36" s="226">
        <v>0.66289650322900207</v>
      </c>
      <c r="J36" s="226">
        <v>0.99473632764772024</v>
      </c>
      <c r="K36" s="226">
        <v>0.82836645691719213</v>
      </c>
      <c r="L36" s="225">
        <v>0.15432244123391473</v>
      </c>
      <c r="M36" s="222">
        <v>72.192999999999998</v>
      </c>
      <c r="N36" s="222">
        <v>83.334000000000003</v>
      </c>
      <c r="O36" s="225">
        <v>4.2524898535869432E-3</v>
      </c>
      <c r="P36" s="225">
        <v>-0.13000695994432049</v>
      </c>
      <c r="Q36" s="222"/>
      <c r="R36" s="222">
        <f t="shared" si="0"/>
        <v>-1</v>
      </c>
      <c r="S36" s="222">
        <f t="shared" si="1"/>
        <v>0</v>
      </c>
      <c r="T36" s="222">
        <f t="shared" si="2"/>
        <v>1</v>
      </c>
      <c r="U36" s="222">
        <f t="shared" si="3"/>
        <v>0</v>
      </c>
    </row>
    <row r="37" spans="1:21" x14ac:dyDescent="0.2">
      <c r="A37" s="376" t="s">
        <v>1673</v>
      </c>
      <c r="B37" s="377">
        <v>-7.9000000000000008E-3</v>
      </c>
      <c r="C37" s="378">
        <v>0.40105787436744117</v>
      </c>
      <c r="E37" s="222" t="s">
        <v>746</v>
      </c>
      <c r="F37" s="223" cm="1">
        <f t="array" ref="F37:P37">tinh_du_lieu_cp(E37)</f>
        <v>27.15</v>
      </c>
      <c r="G37" s="224">
        <v>1881</v>
      </c>
      <c r="H37" s="225">
        <v>9.300000000000001E-3</v>
      </c>
      <c r="I37" s="226">
        <v>0.68486032040248912</v>
      </c>
      <c r="J37" s="226">
        <v>1.0580808080808082</v>
      </c>
      <c r="K37" s="226">
        <v>0.70846123425170904</v>
      </c>
      <c r="L37" s="225">
        <v>0.4282184334074623</v>
      </c>
      <c r="M37" s="222">
        <v>20.234999999999999</v>
      </c>
      <c r="N37" s="222">
        <v>28.9</v>
      </c>
      <c r="O37" s="225">
        <v>0.34173461823573015</v>
      </c>
      <c r="P37" s="225">
        <v>-6.0553633217993084E-2</v>
      </c>
      <c r="Q37" s="222"/>
      <c r="R37" s="222">
        <f t="shared" si="0"/>
        <v>1</v>
      </c>
      <c r="S37" s="222">
        <f t="shared" si="1"/>
        <v>1</v>
      </c>
      <c r="T37" s="222">
        <f t="shared" si="2"/>
        <v>0</v>
      </c>
      <c r="U37" s="222">
        <f t="shared" si="3"/>
        <v>0</v>
      </c>
    </row>
    <row r="38" spans="1:21" x14ac:dyDescent="0.2">
      <c r="A38" s="376" t="s">
        <v>1044</v>
      </c>
      <c r="B38" s="377">
        <v>-7.9000000000000008E-3</v>
      </c>
      <c r="C38" s="378">
        <v>0.15114207412458039</v>
      </c>
      <c r="E38" s="222" t="s">
        <v>776</v>
      </c>
      <c r="F38" s="223" cm="1">
        <f t="array" ref="F38:P38">tinh_du_lieu_cp(E38)</f>
        <v>17.25</v>
      </c>
      <c r="G38" s="224">
        <v>1585.4</v>
      </c>
      <c r="H38" s="225">
        <v>2.07E-2</v>
      </c>
      <c r="I38" s="226">
        <v>1.2258606449345399</v>
      </c>
      <c r="J38" s="226">
        <v>0.95346921968293186</v>
      </c>
      <c r="K38" s="226">
        <v>0.78735256383727192</v>
      </c>
      <c r="L38" s="225">
        <v>0.21420118343195274</v>
      </c>
      <c r="M38" s="222">
        <v>16.899999999999999</v>
      </c>
      <c r="N38" s="222">
        <v>20.52</v>
      </c>
      <c r="O38" s="225">
        <v>2.0710059171597718E-2</v>
      </c>
      <c r="P38" s="225">
        <v>-0.15935672514619881</v>
      </c>
      <c r="Q38" s="222"/>
      <c r="R38" s="222">
        <f t="shared" si="0"/>
        <v>1</v>
      </c>
      <c r="S38" s="222">
        <f t="shared" si="1"/>
        <v>1</v>
      </c>
      <c r="T38" s="222">
        <f t="shared" si="2"/>
        <v>0</v>
      </c>
      <c r="U38" s="222">
        <f t="shared" si="3"/>
        <v>0</v>
      </c>
    </row>
    <row r="39" spans="1:21" x14ac:dyDescent="0.2">
      <c r="A39" s="376" t="s">
        <v>1436</v>
      </c>
      <c r="B39" s="377">
        <v>-7.0999999999999995E-3</v>
      </c>
      <c r="C39" s="378">
        <v>0.35325738264925693</v>
      </c>
      <c r="E39" s="222" t="s">
        <v>794</v>
      </c>
      <c r="F39" s="223" cm="1">
        <f t="array" ref="F39:P39">tinh_du_lieu_cp(E39)</f>
        <v>33.65</v>
      </c>
      <c r="G39" s="224">
        <v>2667.3</v>
      </c>
      <c r="H39" s="225">
        <v>3.3799999999999997E-2</v>
      </c>
      <c r="I39" s="226">
        <v>1.023403345347154</v>
      </c>
      <c r="J39" s="226">
        <v>0.99156376409278801</v>
      </c>
      <c r="K39" s="226">
        <v>0.93682794896389776</v>
      </c>
      <c r="L39" s="225">
        <v>0.31861751152073742</v>
      </c>
      <c r="M39" s="222">
        <v>32.549999999999997</v>
      </c>
      <c r="N39" s="222">
        <v>42.920999999999999</v>
      </c>
      <c r="O39" s="225">
        <v>3.3794162826420934E-2</v>
      </c>
      <c r="P39" s="225">
        <v>-0.2160014911115771</v>
      </c>
      <c r="Q39" s="222"/>
      <c r="R39" s="222">
        <f t="shared" si="0"/>
        <v>1</v>
      </c>
      <c r="S39" s="222">
        <f t="shared" si="1"/>
        <v>1</v>
      </c>
      <c r="T39" s="222">
        <f t="shared" si="2"/>
        <v>0</v>
      </c>
      <c r="U39" s="222">
        <f t="shared" si="3"/>
        <v>0</v>
      </c>
    </row>
    <row r="40" spans="1:21" x14ac:dyDescent="0.2">
      <c r="A40" s="376" t="s">
        <v>1990</v>
      </c>
      <c r="B40" s="377">
        <v>-6.8999999999999999E-3</v>
      </c>
      <c r="C40" s="378">
        <v>0.14997727617027723</v>
      </c>
      <c r="E40" s="222" t="s">
        <v>814</v>
      </c>
      <c r="F40" s="223" cm="1">
        <f t="array" ref="F40:P40">tinh_du_lieu_cp(E40)</f>
        <v>45.4</v>
      </c>
      <c r="G40" s="224">
        <v>348.1</v>
      </c>
      <c r="H40" s="225">
        <v>2.2000000000000001E-3</v>
      </c>
      <c r="I40" s="226">
        <v>0.49469978359872097</v>
      </c>
      <c r="J40" s="226">
        <v>0.96211436991966548</v>
      </c>
      <c r="K40" s="226">
        <v>0.87822723067866448</v>
      </c>
      <c r="L40" s="225">
        <v>0.24414715719063534</v>
      </c>
      <c r="M40" s="222">
        <v>44.85</v>
      </c>
      <c r="N40" s="222">
        <v>55.8</v>
      </c>
      <c r="O40" s="225">
        <v>1.2263099219620896E-2</v>
      </c>
      <c r="P40" s="225">
        <v>-0.18637992831541217</v>
      </c>
      <c r="Q40" s="222"/>
      <c r="R40" s="222">
        <f t="shared" si="0"/>
        <v>1</v>
      </c>
      <c r="S40" s="222">
        <f t="shared" si="1"/>
        <v>1</v>
      </c>
      <c r="T40" s="222">
        <f t="shared" si="2"/>
        <v>0</v>
      </c>
      <c r="U40" s="222">
        <f t="shared" si="3"/>
        <v>0</v>
      </c>
    </row>
    <row r="41" spans="1:21" x14ac:dyDescent="0.2">
      <c r="A41" s="376" t="s">
        <v>2514</v>
      </c>
      <c r="B41" s="377">
        <v>-6.4000000000000003E-3</v>
      </c>
      <c r="C41" s="378">
        <v>0.30067539663354981</v>
      </c>
      <c r="E41" s="222" t="s">
        <v>817</v>
      </c>
      <c r="F41" s="223" cm="1">
        <f t="array" ref="F41:P41">tinh_du_lieu_cp(E41)</f>
        <v>39</v>
      </c>
      <c r="G41" s="224">
        <v>357.6</v>
      </c>
      <c r="H41" s="225">
        <v>1.1699999999999999E-2</v>
      </c>
      <c r="I41" s="226">
        <v>0.50690068426953261</v>
      </c>
      <c r="J41" s="226">
        <v>0.97807067594811514</v>
      </c>
      <c r="K41" s="226">
        <v>0.73764912160071516</v>
      </c>
      <c r="L41" s="225">
        <v>0.16646753246753243</v>
      </c>
      <c r="M41" s="222">
        <v>38.5</v>
      </c>
      <c r="N41" s="222">
        <v>44.908999999999999</v>
      </c>
      <c r="O41" s="225">
        <v>1.2987012987012988E-2</v>
      </c>
      <c r="P41" s="225">
        <v>-0.13157718942750893</v>
      </c>
      <c r="Q41" s="222"/>
      <c r="R41" s="222">
        <f t="shared" si="0"/>
        <v>1</v>
      </c>
      <c r="S41" s="222">
        <f t="shared" si="1"/>
        <v>1</v>
      </c>
      <c r="T41" s="222">
        <f t="shared" si="2"/>
        <v>0</v>
      </c>
      <c r="U41" s="222">
        <f t="shared" si="3"/>
        <v>0</v>
      </c>
    </row>
    <row r="42" spans="1:21" x14ac:dyDescent="0.2">
      <c r="A42" s="376" t="s">
        <v>2157</v>
      </c>
      <c r="B42" s="377">
        <v>-6.1999999999999998E-3</v>
      </c>
      <c r="C42" s="378">
        <v>0.60236959976881954</v>
      </c>
      <c r="E42" s="222" t="s">
        <v>838</v>
      </c>
      <c r="F42" s="223" cm="1">
        <f t="array" ref="F42:P42">tinh_du_lieu_cp(E42)</f>
        <v>12.6</v>
      </c>
      <c r="G42" s="224">
        <v>6116.4</v>
      </c>
      <c r="H42" s="225">
        <v>-4.0000000000000001E-3</v>
      </c>
      <c r="I42" s="226">
        <v>1.3059983752762465</v>
      </c>
      <c r="J42" s="226">
        <v>0.9822495924651331</v>
      </c>
      <c r="K42" s="226">
        <v>0.84867489940335783</v>
      </c>
      <c r="L42" s="225">
        <v>0.25630252100840328</v>
      </c>
      <c r="M42" s="222">
        <v>11.9</v>
      </c>
      <c r="N42" s="222">
        <v>14.95</v>
      </c>
      <c r="O42" s="225">
        <v>5.8823529411764643E-2</v>
      </c>
      <c r="P42" s="225">
        <v>-0.157190635451505</v>
      </c>
      <c r="Q42" s="222"/>
      <c r="R42" s="222">
        <f t="shared" si="0"/>
        <v>-1</v>
      </c>
      <c r="S42" s="222">
        <f t="shared" si="1"/>
        <v>0</v>
      </c>
      <c r="T42" s="222">
        <f t="shared" si="2"/>
        <v>1</v>
      </c>
      <c r="U42" s="222">
        <f t="shared" si="3"/>
        <v>0</v>
      </c>
    </row>
    <row r="43" spans="1:21" x14ac:dyDescent="0.2">
      <c r="A43" s="376" t="s">
        <v>1563</v>
      </c>
      <c r="B43" s="377">
        <v>-5.7999999999999996E-3</v>
      </c>
      <c r="C43" s="378">
        <v>0.33812908729030422</v>
      </c>
      <c r="E43" s="222" t="s">
        <v>894</v>
      </c>
      <c r="F43" s="223" cm="1">
        <f t="array" ref="F43:P43">tinh_du_lieu_cp(E43)</f>
        <v>24.4</v>
      </c>
      <c r="G43" s="224">
        <v>6483.4</v>
      </c>
      <c r="H43" s="225">
        <v>4.2699999999999995E-2</v>
      </c>
      <c r="I43" s="226">
        <v>1.8177980952186752</v>
      </c>
      <c r="J43" s="226">
        <v>1.0154562020044255</v>
      </c>
      <c r="K43" s="226">
        <v>1.2406086254899398</v>
      </c>
      <c r="L43" s="225">
        <v>0.29017857142857145</v>
      </c>
      <c r="M43" s="222">
        <v>22.4</v>
      </c>
      <c r="N43" s="222">
        <v>28.9</v>
      </c>
      <c r="O43" s="225">
        <v>8.9285714285714288E-2</v>
      </c>
      <c r="P43" s="225">
        <v>-0.15570934256055363</v>
      </c>
      <c r="Q43" s="222"/>
      <c r="R43" s="222">
        <f t="shared" si="0"/>
        <v>1</v>
      </c>
      <c r="S43" s="222">
        <f t="shared" si="1"/>
        <v>1</v>
      </c>
      <c r="T43" s="222">
        <f t="shared" si="2"/>
        <v>0</v>
      </c>
      <c r="U43" s="222">
        <f t="shared" si="3"/>
        <v>0</v>
      </c>
    </row>
    <row r="44" spans="1:21" x14ac:dyDescent="0.2">
      <c r="A44" s="376" t="s">
        <v>1950</v>
      </c>
      <c r="B44" s="377">
        <v>-5.5000000000000005E-3</v>
      </c>
      <c r="C44" s="378">
        <v>1.2986306030449946</v>
      </c>
      <c r="E44" s="222" t="s">
        <v>2983</v>
      </c>
      <c r="F44" s="223" cm="1">
        <f t="array" ref="F44:P44">tinh_du_lieu_cp(E44)</f>
        <v>22.65</v>
      </c>
      <c r="G44" s="224">
        <v>534.5</v>
      </c>
      <c r="H44" s="225">
        <v>1.1200000000000002E-2</v>
      </c>
      <c r="I44" s="226">
        <v>0.85610279931564204</v>
      </c>
      <c r="J44" s="226">
        <v>1.0179236733460879</v>
      </c>
      <c r="K44" s="226">
        <v>0.68938091143594149</v>
      </c>
      <c r="L44" s="225">
        <v>0.15144230769230763</v>
      </c>
      <c r="M44" s="222">
        <v>20.8</v>
      </c>
      <c r="N44" s="222">
        <v>23.95</v>
      </c>
      <c r="O44" s="225">
        <v>8.8942307692307584E-2</v>
      </c>
      <c r="P44" s="225">
        <v>-5.4279749478079363E-2</v>
      </c>
      <c r="Q44" s="222"/>
      <c r="R44" s="222">
        <f t="shared" si="0"/>
        <v>1</v>
      </c>
      <c r="S44" s="222">
        <f t="shared" si="1"/>
        <v>1</v>
      </c>
      <c r="T44" s="222">
        <f t="shared" si="2"/>
        <v>0</v>
      </c>
      <c r="U44" s="222">
        <f t="shared" si="3"/>
        <v>0</v>
      </c>
    </row>
    <row r="45" spans="1:21" x14ac:dyDescent="0.2">
      <c r="A45" s="376" t="s">
        <v>2346</v>
      </c>
      <c r="B45" s="377">
        <v>-4.8999999999999998E-3</v>
      </c>
      <c r="C45" s="378">
        <v>0.25769290242770992</v>
      </c>
      <c r="E45" s="222" t="s">
        <v>961</v>
      </c>
      <c r="F45" s="223" cm="1">
        <f t="array" ref="F45:P45">tinh_du_lieu_cp(E45)</f>
        <v>12.3</v>
      </c>
      <c r="G45" s="224">
        <v>10039.200000000001</v>
      </c>
      <c r="H45" s="225">
        <v>1.6500000000000001E-2</v>
      </c>
      <c r="I45" s="226">
        <v>1.1624257307713159</v>
      </c>
      <c r="J45" s="226">
        <v>0.9633726201269267</v>
      </c>
      <c r="K45" s="226">
        <v>1.2927367899199702</v>
      </c>
      <c r="L45" s="225">
        <v>0.19411764705882356</v>
      </c>
      <c r="M45" s="222">
        <v>11.9</v>
      </c>
      <c r="N45" s="222">
        <v>14.21</v>
      </c>
      <c r="O45" s="225">
        <v>3.3613445378151287E-2</v>
      </c>
      <c r="P45" s="225">
        <v>-0.13441238564391275</v>
      </c>
      <c r="Q45" s="222"/>
      <c r="R45" s="222">
        <f t="shared" si="0"/>
        <v>1</v>
      </c>
      <c r="S45" s="222">
        <f t="shared" si="1"/>
        <v>1</v>
      </c>
      <c r="T45" s="222">
        <f t="shared" si="2"/>
        <v>0</v>
      </c>
      <c r="U45" s="222">
        <f t="shared" si="3"/>
        <v>0</v>
      </c>
    </row>
    <row r="46" spans="1:21" x14ac:dyDescent="0.2">
      <c r="A46" s="376" t="s">
        <v>1241</v>
      </c>
      <c r="B46" s="377">
        <v>-4.7999999999999996E-3</v>
      </c>
      <c r="C46" s="378">
        <v>0.21154740939809613</v>
      </c>
      <c r="E46" s="222" t="s">
        <v>966</v>
      </c>
      <c r="F46" s="223" cm="1">
        <f t="array" ref="F46:P46">tinh_du_lieu_cp(E46)</f>
        <v>7.18</v>
      </c>
      <c r="G46" s="224">
        <v>1824.9</v>
      </c>
      <c r="H46" s="225">
        <v>2.4300000000000002E-2</v>
      </c>
      <c r="I46" s="226">
        <v>1.461280319133448</v>
      </c>
      <c r="J46" s="226">
        <v>0.97500786905886039</v>
      </c>
      <c r="K46" s="226">
        <v>1.3958237723726481</v>
      </c>
      <c r="L46" s="225">
        <v>0.24816446402349493</v>
      </c>
      <c r="M46" s="222">
        <v>6.81</v>
      </c>
      <c r="N46" s="222">
        <v>8.5</v>
      </c>
      <c r="O46" s="225">
        <v>5.4331864904552149E-2</v>
      </c>
      <c r="P46" s="225">
        <v>-0.15529411764705886</v>
      </c>
      <c r="Q46" s="222"/>
      <c r="R46" s="222">
        <f t="shared" si="0"/>
        <v>1</v>
      </c>
      <c r="S46" s="222">
        <f t="shared" si="1"/>
        <v>1</v>
      </c>
      <c r="T46" s="222">
        <f t="shared" si="2"/>
        <v>0</v>
      </c>
      <c r="U46" s="222">
        <f t="shared" si="3"/>
        <v>0</v>
      </c>
    </row>
    <row r="47" spans="1:21" x14ac:dyDescent="0.2">
      <c r="A47" s="376" t="s">
        <v>2142</v>
      </c>
      <c r="B47" s="377">
        <v>-4.6999999999999993E-3</v>
      </c>
      <c r="C47" s="378">
        <v>0.6012324558340898</v>
      </c>
      <c r="E47" s="222" t="s">
        <v>981</v>
      </c>
      <c r="F47" s="223" cm="1">
        <f t="array" ref="F47:P47">tinh_du_lieu_cp(E47)</f>
        <v>19.5</v>
      </c>
      <c r="G47" s="224">
        <v>2695.3</v>
      </c>
      <c r="H47" s="225">
        <v>7.8000000000000005E-3</v>
      </c>
      <c r="I47" s="226">
        <v>0.63395770521949246</v>
      </c>
      <c r="J47" s="226">
        <v>0.96433697692392628</v>
      </c>
      <c r="K47" s="226">
        <v>0.58808897810457872</v>
      </c>
      <c r="L47" s="225">
        <v>0.18604651162790686</v>
      </c>
      <c r="M47" s="222">
        <v>19.350000000000001</v>
      </c>
      <c r="N47" s="222">
        <v>22.95</v>
      </c>
      <c r="O47" s="225">
        <v>7.7519379844960502E-3</v>
      </c>
      <c r="P47" s="225">
        <v>-0.15032679738562088</v>
      </c>
      <c r="Q47" s="222"/>
      <c r="R47" s="222">
        <f t="shared" si="0"/>
        <v>1</v>
      </c>
      <c r="S47" s="222">
        <f t="shared" si="1"/>
        <v>1</v>
      </c>
      <c r="T47" s="222">
        <f t="shared" si="2"/>
        <v>0</v>
      </c>
      <c r="U47" s="222">
        <f t="shared" si="3"/>
        <v>0</v>
      </c>
    </row>
    <row r="48" spans="1:21" x14ac:dyDescent="0.2">
      <c r="A48" s="376" t="s">
        <v>1800</v>
      </c>
      <c r="B48" s="377">
        <v>-4.5999999999999999E-3</v>
      </c>
      <c r="C48" s="378">
        <v>0.12299661032484846</v>
      </c>
      <c r="E48" s="222" t="s">
        <v>998</v>
      </c>
      <c r="F48" s="223" cm="1">
        <f t="array" ref="F48:P48">tinh_du_lieu_cp(E48)</f>
        <v>12.85</v>
      </c>
      <c r="G48" s="224">
        <v>1154.2</v>
      </c>
      <c r="H48" s="225">
        <v>7.8000000000000005E-3</v>
      </c>
      <c r="I48" s="226">
        <v>0.41353679787632525</v>
      </c>
      <c r="J48" s="226">
        <v>0.96683250414593713</v>
      </c>
      <c r="K48" s="226">
        <v>0.50958432365212392</v>
      </c>
      <c r="L48" s="225">
        <v>0.11417322834645678</v>
      </c>
      <c r="M48" s="222">
        <v>12.7</v>
      </c>
      <c r="N48" s="222">
        <v>14.15</v>
      </c>
      <c r="O48" s="225">
        <v>1.1811023622047273E-2</v>
      </c>
      <c r="P48" s="225">
        <v>-9.1872791519434671E-2</v>
      </c>
      <c r="Q48" s="222"/>
      <c r="R48" s="222">
        <f t="shared" si="0"/>
        <v>1</v>
      </c>
      <c r="S48" s="222">
        <f t="shared" si="1"/>
        <v>1</v>
      </c>
      <c r="T48" s="222">
        <f t="shared" si="2"/>
        <v>0</v>
      </c>
      <c r="U48" s="222">
        <f t="shared" si="3"/>
        <v>0</v>
      </c>
    </row>
    <row r="49" spans="1:21" x14ac:dyDescent="0.2">
      <c r="A49" s="376" t="s">
        <v>1653</v>
      </c>
      <c r="B49" s="377">
        <v>-4.4000000000000003E-3</v>
      </c>
      <c r="C49" s="378">
        <v>0.31107577149280946</v>
      </c>
      <c r="E49" s="222" t="s">
        <v>1038</v>
      </c>
      <c r="F49" s="223" cm="1">
        <f t="array" ref="F49:P49">tinh_du_lieu_cp(E49)</f>
        <v>70.3</v>
      </c>
      <c r="G49" s="224">
        <v>6626.8</v>
      </c>
      <c r="H49" s="225">
        <v>-2.8000000000000004E-3</v>
      </c>
      <c r="I49" s="226">
        <v>0.87040281987645129</v>
      </c>
      <c r="J49" s="226">
        <v>0.99744126541056077</v>
      </c>
      <c r="K49" s="226">
        <v>1.0451486730874375</v>
      </c>
      <c r="L49" s="225">
        <v>0.10999594484995943</v>
      </c>
      <c r="M49" s="222">
        <v>69.048000000000002</v>
      </c>
      <c r="N49" s="222">
        <v>76.643000000000001</v>
      </c>
      <c r="O49" s="225">
        <v>1.8132313752751639E-2</v>
      </c>
      <c r="P49" s="225">
        <v>-8.2760330362851187E-2</v>
      </c>
      <c r="Q49" s="222"/>
      <c r="R49" s="222">
        <f t="shared" si="0"/>
        <v>-1</v>
      </c>
      <c r="S49" s="222">
        <f t="shared" si="1"/>
        <v>0</v>
      </c>
      <c r="T49" s="222">
        <f t="shared" si="2"/>
        <v>1</v>
      </c>
      <c r="U49" s="222">
        <f t="shared" si="3"/>
        <v>0</v>
      </c>
    </row>
    <row r="50" spans="1:21" x14ac:dyDescent="0.2">
      <c r="A50" s="376" t="s">
        <v>1739</v>
      </c>
      <c r="B50" s="377">
        <v>-4.3E-3</v>
      </c>
      <c r="C50" s="378">
        <v>0.53137978307167744</v>
      </c>
      <c r="E50" s="222" t="s">
        <v>1044</v>
      </c>
      <c r="F50" s="223" cm="1">
        <f t="array" ref="F50:P50">tinh_du_lieu_cp(E50)</f>
        <v>113.6</v>
      </c>
      <c r="G50" s="224">
        <v>95.8</v>
      </c>
      <c r="H50" s="225">
        <v>2.5999999999999999E-3</v>
      </c>
      <c r="I50" s="226">
        <v>0.30084108750427507</v>
      </c>
      <c r="J50" s="226">
        <v>0.95982358891054387</v>
      </c>
      <c r="K50" s="226">
        <v>0.53639417693169089</v>
      </c>
      <c r="L50" s="225">
        <v>0.27855251544571946</v>
      </c>
      <c r="M50" s="222">
        <v>113.3</v>
      </c>
      <c r="N50" s="222">
        <v>144.86000000000001</v>
      </c>
      <c r="O50" s="225">
        <v>2.647837599293885E-3</v>
      </c>
      <c r="P50" s="225">
        <v>-0.21579456026508365</v>
      </c>
      <c r="Q50" s="222"/>
      <c r="R50" s="222">
        <f t="shared" si="0"/>
        <v>1</v>
      </c>
      <c r="S50" s="222">
        <f t="shared" si="1"/>
        <v>1</v>
      </c>
      <c r="T50" s="222">
        <f t="shared" si="2"/>
        <v>0</v>
      </c>
      <c r="U50" s="222">
        <f t="shared" si="3"/>
        <v>0</v>
      </c>
    </row>
    <row r="51" spans="1:21" x14ac:dyDescent="0.2">
      <c r="A51" s="376" t="s">
        <v>961</v>
      </c>
      <c r="B51" s="377">
        <v>-4.0999999999999995E-3</v>
      </c>
      <c r="C51" s="378">
        <v>0.17453137024451879</v>
      </c>
      <c r="E51" s="222" t="s">
        <v>1053</v>
      </c>
      <c r="F51" s="223" cm="1">
        <f t="array" ref="F51:P51">tinh_du_lieu_cp(E51)</f>
        <v>25.65</v>
      </c>
      <c r="G51" s="224">
        <v>1087.5</v>
      </c>
      <c r="H51" s="225">
        <v>-3.9000000000000003E-3</v>
      </c>
      <c r="I51" s="226">
        <v>0.50466378950299318</v>
      </c>
      <c r="J51" s="226">
        <v>1.0098922902494329</v>
      </c>
      <c r="K51" s="226">
        <v>0.56848873477495687</v>
      </c>
      <c r="L51" s="225">
        <v>0.24342105263157898</v>
      </c>
      <c r="M51" s="222">
        <v>22.8</v>
      </c>
      <c r="N51" s="222">
        <v>28.35</v>
      </c>
      <c r="O51" s="225">
        <v>0.1249999999999999</v>
      </c>
      <c r="P51" s="225">
        <v>-9.523809523809533E-2</v>
      </c>
      <c r="Q51" s="222"/>
      <c r="R51" s="222">
        <f t="shared" si="0"/>
        <v>-1</v>
      </c>
      <c r="S51" s="222">
        <f t="shared" si="1"/>
        <v>0</v>
      </c>
      <c r="T51" s="222">
        <f t="shared" si="2"/>
        <v>1</v>
      </c>
      <c r="U51" s="222">
        <f t="shared" si="3"/>
        <v>0</v>
      </c>
    </row>
    <row r="52" spans="1:21" x14ac:dyDescent="0.2">
      <c r="A52" s="376" t="s">
        <v>110</v>
      </c>
      <c r="B52" s="377">
        <v>-4.0000000000000001E-3</v>
      </c>
      <c r="C52" s="378">
        <v>0.41338369493821869</v>
      </c>
      <c r="E52" s="222" t="s">
        <v>1095</v>
      </c>
      <c r="F52" s="223" cm="1">
        <f t="array" ref="F52:P52">tinh_du_lieu_cp(E52)</f>
        <v>78.5</v>
      </c>
      <c r="G52" s="224">
        <v>2251.8000000000002</v>
      </c>
      <c r="H52" s="225">
        <v>4.1100000000000005E-2</v>
      </c>
      <c r="I52" s="226">
        <v>2.0101930677400768</v>
      </c>
      <c r="J52" s="226">
        <v>0.970958787102285</v>
      </c>
      <c r="K52" s="226">
        <v>1.9388390614909952</v>
      </c>
      <c r="L52" s="225">
        <v>0.26530612244897961</v>
      </c>
      <c r="M52" s="222">
        <v>73.5</v>
      </c>
      <c r="N52" s="222">
        <v>93</v>
      </c>
      <c r="O52" s="225">
        <v>6.8027210884353748E-2</v>
      </c>
      <c r="P52" s="225">
        <v>-0.15591397849462366</v>
      </c>
      <c r="Q52" s="222"/>
      <c r="R52" s="222">
        <f t="shared" si="0"/>
        <v>1</v>
      </c>
      <c r="S52" s="222">
        <f t="shared" si="1"/>
        <v>1</v>
      </c>
      <c r="T52" s="222">
        <f t="shared" si="2"/>
        <v>0</v>
      </c>
      <c r="U52" s="222">
        <f t="shared" si="3"/>
        <v>0</v>
      </c>
    </row>
    <row r="53" spans="1:21" x14ac:dyDescent="0.2">
      <c r="A53" s="376" t="s">
        <v>817</v>
      </c>
      <c r="B53" s="377">
        <v>-3.9000000000000003E-3</v>
      </c>
      <c r="C53" s="378">
        <v>0.27637003028230928</v>
      </c>
      <c r="E53" s="222" t="s">
        <v>3007</v>
      </c>
      <c r="F53" s="223" cm="1">
        <f t="array" ref="F53:P53">tinh_du_lieu_cp(E53)</f>
        <v>81.900000000000006</v>
      </c>
      <c r="G53" s="224">
        <v>1024.5</v>
      </c>
      <c r="H53" s="225">
        <v>1.8700000000000001E-2</v>
      </c>
      <c r="I53" s="226">
        <v>0.74445842705536125</v>
      </c>
      <c r="J53" s="226">
        <v>0.92579914508080841</v>
      </c>
      <c r="K53" s="226">
        <v>0.93817249431479977</v>
      </c>
      <c r="L53" s="225">
        <v>0.65178526841448192</v>
      </c>
      <c r="M53" s="222">
        <v>80.099999999999994</v>
      </c>
      <c r="N53" s="222">
        <v>132.30799999999999</v>
      </c>
      <c r="O53" s="225">
        <v>2.2471910112359696E-2</v>
      </c>
      <c r="P53" s="225">
        <v>-0.38098981165160073</v>
      </c>
      <c r="Q53" s="222"/>
      <c r="R53" s="222">
        <f t="shared" si="0"/>
        <v>1</v>
      </c>
      <c r="S53" s="222">
        <f t="shared" si="1"/>
        <v>1</v>
      </c>
      <c r="T53" s="222">
        <f t="shared" si="2"/>
        <v>0</v>
      </c>
      <c r="U53" s="222">
        <f t="shared" si="3"/>
        <v>0</v>
      </c>
    </row>
    <row r="54" spans="1:21" x14ac:dyDescent="0.2">
      <c r="A54" s="376" t="s">
        <v>411</v>
      </c>
      <c r="B54" s="377">
        <v>-3.8E-3</v>
      </c>
      <c r="C54" s="378">
        <v>0.44804437566277988</v>
      </c>
      <c r="E54" s="222" t="s">
        <v>1111</v>
      </c>
      <c r="F54" s="223" cm="1">
        <f t="array" ref="F54:P54">tinh_du_lieu_cp(E54)</f>
        <v>26.5</v>
      </c>
      <c r="G54" s="224">
        <v>9120.5</v>
      </c>
      <c r="H54" s="225">
        <v>1.9199999999999998E-2</v>
      </c>
      <c r="I54" s="226">
        <v>0.75430920245122013</v>
      </c>
      <c r="J54" s="226">
        <v>0.92516537685490252</v>
      </c>
      <c r="K54" s="226">
        <v>0.78307494612361939</v>
      </c>
      <c r="L54" s="227">
        <v>0.39230769230769241</v>
      </c>
      <c r="M54" s="222">
        <v>26</v>
      </c>
      <c r="N54" s="222">
        <v>36.200000000000003</v>
      </c>
      <c r="O54" s="225">
        <v>1.9230769230769232E-2</v>
      </c>
      <c r="P54" s="225">
        <v>-0.26795580110497241</v>
      </c>
      <c r="Q54" s="222"/>
      <c r="R54" s="222">
        <f t="shared" si="0"/>
        <v>1</v>
      </c>
      <c r="S54" s="222">
        <f t="shared" ref="S54:S117" si="4">IF(R54=1,1,0)</f>
        <v>1</v>
      </c>
      <c r="T54" s="222">
        <f t="shared" ref="T54:T117" si="5">IF(R54&lt;0,1,0)</f>
        <v>0</v>
      </c>
      <c r="U54" s="222">
        <f t="shared" ref="U54:U117" si="6">IF(R54=0,1,0)</f>
        <v>0</v>
      </c>
    </row>
    <row r="55" spans="1:21" x14ac:dyDescent="0.2">
      <c r="A55" s="376" t="s">
        <v>966</v>
      </c>
      <c r="B55" s="377">
        <v>-2.8999999999999998E-3</v>
      </c>
      <c r="C55" s="378">
        <v>0.2470471226793314</v>
      </c>
      <c r="E55" s="222" t="s">
        <v>1133</v>
      </c>
      <c r="F55" s="223" cm="1">
        <f t="array" ref="F55:P55">tinh_du_lieu_cp(E55)</f>
        <v>77.5</v>
      </c>
      <c r="G55" s="224">
        <v>2417.6</v>
      </c>
      <c r="H55" s="225">
        <v>2.92E-2</v>
      </c>
      <c r="I55" s="226">
        <v>1.7789313140502501</v>
      </c>
      <c r="J55" s="226">
        <v>1.002549394518802</v>
      </c>
      <c r="K55" s="226">
        <v>1.4664267372975597</v>
      </c>
      <c r="L55" s="225">
        <v>0.11442451733938128</v>
      </c>
      <c r="M55" s="222">
        <v>71.427000000000007</v>
      </c>
      <c r="N55" s="222">
        <v>79.599999999999994</v>
      </c>
      <c r="O55" s="225">
        <v>8.5023870525151451E-2</v>
      </c>
      <c r="P55" s="225">
        <v>-2.6381909547738624E-2</v>
      </c>
      <c r="Q55" s="222"/>
      <c r="R55" s="222">
        <f t="shared" si="0"/>
        <v>1</v>
      </c>
      <c r="S55" s="222">
        <f t="shared" si="4"/>
        <v>1</v>
      </c>
      <c r="T55" s="222">
        <f t="shared" si="5"/>
        <v>0</v>
      </c>
      <c r="U55" s="222">
        <f t="shared" si="6"/>
        <v>0</v>
      </c>
    </row>
    <row r="56" spans="1:21" x14ac:dyDescent="0.2">
      <c r="A56" s="376" t="s">
        <v>1038</v>
      </c>
      <c r="B56" s="377">
        <v>-2.8000000000000004E-3</v>
      </c>
      <c r="C56" s="378">
        <v>0.45675143626210279</v>
      </c>
      <c r="E56" s="222" t="s">
        <v>1150</v>
      </c>
      <c r="F56" s="223" cm="1">
        <f t="array" ref="F56:P56">tinh_du_lieu_cp(E56)</f>
        <v>30.5</v>
      </c>
      <c r="G56" s="224">
        <v>1379.1</v>
      </c>
      <c r="H56" s="225">
        <v>3.39E-2</v>
      </c>
      <c r="I56" s="226">
        <v>0.74863979904804434</v>
      </c>
      <c r="J56" s="226">
        <v>0.93743667679837916</v>
      </c>
      <c r="K56" s="226">
        <v>0.97337928925172623</v>
      </c>
      <c r="L56" s="225">
        <v>0.3322033898305084</v>
      </c>
      <c r="M56" s="222">
        <v>29.5</v>
      </c>
      <c r="N56" s="222">
        <v>39.299999999999997</v>
      </c>
      <c r="O56" s="225">
        <v>3.3898305084745763E-2</v>
      </c>
      <c r="P56" s="225">
        <v>-0.22391857506361318</v>
      </c>
      <c r="Q56" s="222"/>
      <c r="R56" s="222">
        <f t="shared" ref="R56:R87" si="7">IF(H56&gt;0,1,IF(H56=0,0,-1))</f>
        <v>1</v>
      </c>
      <c r="S56" s="222">
        <f t="shared" si="4"/>
        <v>1</v>
      </c>
      <c r="T56" s="222">
        <f t="shared" si="5"/>
        <v>0</v>
      </c>
      <c r="U56" s="222">
        <f t="shared" si="6"/>
        <v>0</v>
      </c>
    </row>
    <row r="57" spans="1:21" x14ac:dyDescent="0.2">
      <c r="A57" s="376" t="s">
        <v>814</v>
      </c>
      <c r="B57" s="377">
        <v>-2.2000000000000001E-3</v>
      </c>
      <c r="C57" s="378">
        <v>0.27152693926834837</v>
      </c>
      <c r="E57" s="222" t="s">
        <v>1161</v>
      </c>
      <c r="F57" s="223" cm="1">
        <f t="array" ref="F57:P57">tinh_du_lieu_cp(E57)</f>
        <v>14.65</v>
      </c>
      <c r="G57" s="224">
        <v>1713.8</v>
      </c>
      <c r="H57" s="225">
        <v>0</v>
      </c>
      <c r="I57" s="226">
        <v>0.67149551102696947</v>
      </c>
      <c r="J57" s="226">
        <v>0.98041299726692976</v>
      </c>
      <c r="K57" s="226">
        <v>1.0606073108342271</v>
      </c>
      <c r="L57" s="225">
        <v>0.14827586206896542</v>
      </c>
      <c r="M57" s="222">
        <v>14.5</v>
      </c>
      <c r="N57" s="222">
        <v>16.649999999999999</v>
      </c>
      <c r="O57" s="225">
        <v>1.0344827586206921E-2</v>
      </c>
      <c r="P57" s="225">
        <v>-0.12012012012012002</v>
      </c>
      <c r="Q57" s="222"/>
      <c r="R57" s="222">
        <f t="shared" si="7"/>
        <v>0</v>
      </c>
      <c r="S57" s="222">
        <f t="shared" si="4"/>
        <v>0</v>
      </c>
      <c r="T57" s="222">
        <f t="shared" si="5"/>
        <v>0</v>
      </c>
      <c r="U57" s="222">
        <f t="shared" si="6"/>
        <v>1</v>
      </c>
    </row>
    <row r="58" spans="1:21" x14ac:dyDescent="0.2">
      <c r="A58" s="376" t="s">
        <v>2094</v>
      </c>
      <c r="B58" s="377">
        <v>-1.1000000000000001E-3</v>
      </c>
      <c r="C58" s="378">
        <v>0.4269734376596977</v>
      </c>
      <c r="E58" s="222" t="s">
        <v>1193</v>
      </c>
      <c r="F58" s="223" cm="1">
        <f t="array" ref="F58:P58">tinh_du_lieu_cp(E58)</f>
        <v>27.1</v>
      </c>
      <c r="G58" s="224">
        <v>3559.3</v>
      </c>
      <c r="H58" s="225">
        <v>-1.8100000000000002E-2</v>
      </c>
      <c r="I58" s="226">
        <v>0.80185757879861552</v>
      </c>
      <c r="J58" s="226">
        <v>1.004171779141104</v>
      </c>
      <c r="K58" s="226">
        <v>0.71782512680373911</v>
      </c>
      <c r="L58" s="225">
        <v>0.14503816793893132</v>
      </c>
      <c r="M58" s="222">
        <v>26.2</v>
      </c>
      <c r="N58" s="222">
        <v>30</v>
      </c>
      <c r="O58" s="225">
        <v>3.4351145038168024E-2</v>
      </c>
      <c r="P58" s="225">
        <v>-9.6666666666666623E-2</v>
      </c>
      <c r="Q58" s="222"/>
      <c r="R58" s="222">
        <f t="shared" si="7"/>
        <v>-1</v>
      </c>
      <c r="S58" s="222">
        <f t="shared" si="4"/>
        <v>0</v>
      </c>
      <c r="T58" s="222">
        <f t="shared" si="5"/>
        <v>1</v>
      </c>
      <c r="U58" s="222">
        <f t="shared" si="6"/>
        <v>0</v>
      </c>
    </row>
    <row r="59" spans="1:21" x14ac:dyDescent="0.2">
      <c r="A59" s="376" t="s">
        <v>2713</v>
      </c>
      <c r="B59" s="377">
        <v>0</v>
      </c>
      <c r="C59" s="378">
        <v>0.29869489681208561</v>
      </c>
      <c r="E59" s="222" t="s">
        <v>1203</v>
      </c>
      <c r="F59" s="223" cm="1">
        <f t="array" ref="F59:P59">tinh_du_lieu_cp(E59)</f>
        <v>26.8</v>
      </c>
      <c r="G59" s="224">
        <v>9627</v>
      </c>
      <c r="H59" s="225">
        <v>3.7000000000000002E-3</v>
      </c>
      <c r="I59" s="226">
        <v>0.87250265816000527</v>
      </c>
      <c r="J59" s="226">
        <v>1.0385651003213758</v>
      </c>
      <c r="K59" s="226">
        <v>0.82651747131041986</v>
      </c>
      <c r="L59" s="225">
        <v>0.11646586345381535</v>
      </c>
      <c r="M59" s="222">
        <v>24.9</v>
      </c>
      <c r="N59" s="222">
        <v>27.8</v>
      </c>
      <c r="O59" s="225">
        <v>7.6305220883534225E-2</v>
      </c>
      <c r="P59" s="225">
        <v>-3.5971223021582732E-2</v>
      </c>
      <c r="Q59" s="222"/>
      <c r="R59" s="222">
        <f t="shared" si="7"/>
        <v>1</v>
      </c>
      <c r="S59" s="222">
        <f t="shared" si="4"/>
        <v>1</v>
      </c>
      <c r="T59" s="222">
        <f t="shared" si="5"/>
        <v>0</v>
      </c>
      <c r="U59" s="222">
        <f t="shared" si="6"/>
        <v>0</v>
      </c>
    </row>
    <row r="60" spans="1:21" x14ac:dyDescent="0.2">
      <c r="A60" s="376" t="s">
        <v>3152</v>
      </c>
      <c r="B60" s="377">
        <v>0</v>
      </c>
      <c r="C60" s="378">
        <v>0.37813639880623412</v>
      </c>
      <c r="E60" s="222" t="s">
        <v>1205</v>
      </c>
      <c r="F60" s="223" cm="1">
        <f t="array" ref="F60:P60">tinh_du_lieu_cp(E60)</f>
        <v>14.35</v>
      </c>
      <c r="G60" s="224">
        <v>976.8</v>
      </c>
      <c r="H60" s="225">
        <v>0</v>
      </c>
      <c r="I60" s="226">
        <v>0.76656974557222823</v>
      </c>
      <c r="J60" s="226">
        <v>0.96262067118065364</v>
      </c>
      <c r="K60" s="226">
        <v>1.1105679040418395</v>
      </c>
      <c r="L60" s="225">
        <v>0.15742160278745659</v>
      </c>
      <c r="M60" s="222">
        <v>14.35</v>
      </c>
      <c r="N60" s="222">
        <v>16.609000000000002</v>
      </c>
      <c r="O60" s="225">
        <v>0</v>
      </c>
      <c r="P60" s="225">
        <v>-0.13601059666445914</v>
      </c>
      <c r="Q60" s="222"/>
      <c r="R60" s="222">
        <f t="shared" si="7"/>
        <v>0</v>
      </c>
      <c r="S60" s="222">
        <f t="shared" si="4"/>
        <v>0</v>
      </c>
      <c r="T60" s="222">
        <f t="shared" si="5"/>
        <v>0</v>
      </c>
      <c r="U60" s="222">
        <f t="shared" si="6"/>
        <v>1</v>
      </c>
    </row>
    <row r="61" spans="1:21" x14ac:dyDescent="0.2">
      <c r="A61" s="376" t="s">
        <v>533</v>
      </c>
      <c r="B61" s="377">
        <v>0</v>
      </c>
      <c r="C61" s="378">
        <v>1.0249523335820276</v>
      </c>
      <c r="E61" s="222" t="s">
        <v>1207</v>
      </c>
      <c r="F61" s="223" cm="1">
        <f t="array" ref="F61:P61">tinh_du_lieu_cp(E61)</f>
        <v>19.149999999999999</v>
      </c>
      <c r="G61" s="224">
        <v>1249.9000000000001</v>
      </c>
      <c r="H61" s="225">
        <v>1.32E-2</v>
      </c>
      <c r="I61" s="226">
        <v>0.64258306342685412</v>
      </c>
      <c r="J61" s="226">
        <v>0.93289994769483675</v>
      </c>
      <c r="K61" s="226">
        <v>0.56819662691497586</v>
      </c>
      <c r="L61" s="225">
        <v>0.38317204301075258</v>
      </c>
      <c r="M61" s="222">
        <v>18.600000000000001</v>
      </c>
      <c r="N61" s="222">
        <v>25.727</v>
      </c>
      <c r="O61" s="225">
        <v>2.9569892473118125E-2</v>
      </c>
      <c r="P61" s="225">
        <v>-0.25564581956699195</v>
      </c>
      <c r="Q61" s="222"/>
      <c r="R61" s="222">
        <f t="shared" si="7"/>
        <v>1</v>
      </c>
      <c r="S61" s="222">
        <f t="shared" si="4"/>
        <v>1</v>
      </c>
      <c r="T61" s="222">
        <f t="shared" si="5"/>
        <v>0</v>
      </c>
      <c r="U61" s="222">
        <f t="shared" si="6"/>
        <v>0</v>
      </c>
    </row>
    <row r="62" spans="1:21" x14ac:dyDescent="0.2">
      <c r="A62" s="376" t="s">
        <v>2983</v>
      </c>
      <c r="B62" s="377">
        <v>0</v>
      </c>
      <c r="C62" s="378">
        <v>0.64449902201567721</v>
      </c>
      <c r="E62" s="222" t="s">
        <v>1241</v>
      </c>
      <c r="F62" s="223" cm="1">
        <f t="array" ref="F62:P62">tinh_du_lieu_cp(E62)</f>
        <v>10.65</v>
      </c>
      <c r="G62" s="224">
        <v>2654.9</v>
      </c>
      <c r="H62" s="225">
        <v>1.9099999999999999E-2</v>
      </c>
      <c r="I62" s="226">
        <v>0.87517055118327569</v>
      </c>
      <c r="J62" s="226">
        <v>0.98570060841903695</v>
      </c>
      <c r="K62" s="226">
        <v>0.9221808656414654</v>
      </c>
      <c r="L62" s="225">
        <v>0.175598086124402</v>
      </c>
      <c r="M62" s="222">
        <v>10.45</v>
      </c>
      <c r="N62" s="222">
        <v>12.285</v>
      </c>
      <c r="O62" s="225">
        <v>1.9138755980861347E-2</v>
      </c>
      <c r="P62" s="225">
        <v>-0.13308913308913306</v>
      </c>
      <c r="Q62" s="222"/>
      <c r="R62" s="222">
        <f t="shared" si="7"/>
        <v>1</v>
      </c>
      <c r="S62" s="222">
        <f t="shared" si="4"/>
        <v>1</v>
      </c>
      <c r="T62" s="222">
        <f t="shared" si="5"/>
        <v>0</v>
      </c>
      <c r="U62" s="222">
        <f t="shared" si="6"/>
        <v>0</v>
      </c>
    </row>
    <row r="63" spans="1:21" x14ac:dyDescent="0.2">
      <c r="A63" s="376" t="s">
        <v>1649</v>
      </c>
      <c r="B63" s="377">
        <v>0</v>
      </c>
      <c r="C63" s="378">
        <v>0.2307354035213402</v>
      </c>
      <c r="E63" s="222" t="s">
        <v>109</v>
      </c>
      <c r="F63" s="223" cm="1">
        <f t="array" ref="F63:P63">tinh_du_lieu_cp(E63)</f>
        <v>22.5</v>
      </c>
      <c r="G63" s="224">
        <v>22481.9</v>
      </c>
      <c r="H63" s="225">
        <v>4.5000000000000005E-3</v>
      </c>
      <c r="I63" s="226">
        <v>1.259303240695359</v>
      </c>
      <c r="J63" s="226">
        <v>0.97865656173079407</v>
      </c>
      <c r="K63" s="226">
        <v>1.2886047218098551</v>
      </c>
      <c r="L63" s="225">
        <v>0.1378125</v>
      </c>
      <c r="M63" s="222">
        <v>22.4</v>
      </c>
      <c r="N63" s="222">
        <v>25.486999999999998</v>
      </c>
      <c r="O63" s="225">
        <v>4.4642857142857782E-3</v>
      </c>
      <c r="P63" s="225">
        <v>-0.11719700239337696</v>
      </c>
      <c r="Q63" s="222"/>
      <c r="R63" s="222">
        <f t="shared" si="7"/>
        <v>1</v>
      </c>
      <c r="S63" s="222">
        <f t="shared" si="4"/>
        <v>1</v>
      </c>
      <c r="T63" s="222">
        <f t="shared" si="5"/>
        <v>0</v>
      </c>
      <c r="U63" s="222">
        <f t="shared" si="6"/>
        <v>0</v>
      </c>
    </row>
    <row r="64" spans="1:21" x14ac:dyDescent="0.2">
      <c r="A64" s="376" t="s">
        <v>998</v>
      </c>
      <c r="B64" s="377">
        <v>0</v>
      </c>
      <c r="C64" s="378">
        <v>0.21062875629611122</v>
      </c>
      <c r="E64" s="222" t="s">
        <v>117</v>
      </c>
      <c r="F64" s="223" cm="1">
        <f t="array" ref="F64:P64">tinh_du_lieu_cp(E64)</f>
        <v>11.55</v>
      </c>
      <c r="G64" s="224">
        <v>2242.1</v>
      </c>
      <c r="H64" s="225">
        <v>2.6699999999999998E-2</v>
      </c>
      <c r="I64" s="226">
        <v>0.85061158045218843</v>
      </c>
      <c r="J64" s="226">
        <v>0.97981758199107316</v>
      </c>
      <c r="K64" s="226">
        <v>0.73086535118219742</v>
      </c>
      <c r="L64" s="225">
        <v>0.13777777777777783</v>
      </c>
      <c r="M64" s="222">
        <v>11.25</v>
      </c>
      <c r="N64" s="222">
        <v>12.8</v>
      </c>
      <c r="O64" s="225">
        <v>2.6666666666666731E-2</v>
      </c>
      <c r="P64" s="225">
        <v>-9.765625E-2</v>
      </c>
      <c r="Q64" s="222"/>
      <c r="R64" s="222">
        <f t="shared" si="7"/>
        <v>1</v>
      </c>
      <c r="S64" s="222">
        <f t="shared" si="4"/>
        <v>1</v>
      </c>
      <c r="T64" s="222">
        <f t="shared" si="5"/>
        <v>0</v>
      </c>
      <c r="U64" s="222">
        <f t="shared" si="6"/>
        <v>0</v>
      </c>
    </row>
    <row r="65" spans="1:21" x14ac:dyDescent="0.2">
      <c r="A65" s="376" t="s">
        <v>1772</v>
      </c>
      <c r="B65" s="377">
        <v>0</v>
      </c>
      <c r="C65" s="378">
        <v>0.41059673764805688</v>
      </c>
      <c r="E65" s="222" t="s">
        <v>3152</v>
      </c>
      <c r="F65" s="223" cm="1">
        <f t="array" ref="F65:P65">tinh_du_lieu_cp(E65)</f>
        <v>12.7</v>
      </c>
      <c r="G65" s="224">
        <v>206.2</v>
      </c>
      <c r="H65" s="225">
        <v>4.0000000000000001E-3</v>
      </c>
      <c r="I65" s="226">
        <v>1.2055915807377484</v>
      </c>
      <c r="J65" s="226">
        <v>0.96670610106472887</v>
      </c>
      <c r="K65" s="226">
        <v>0.93451167006571489</v>
      </c>
      <c r="L65" s="225">
        <v>0.20948616600790515</v>
      </c>
      <c r="M65" s="222">
        <v>12.65</v>
      </c>
      <c r="N65" s="222">
        <v>15.3</v>
      </c>
      <c r="O65" s="225">
        <v>3.9525691699603899E-3</v>
      </c>
      <c r="P65" s="225">
        <v>-0.16993464052287591</v>
      </c>
      <c r="Q65" s="222"/>
      <c r="R65" s="222">
        <f t="shared" si="7"/>
        <v>1</v>
      </c>
      <c r="S65" s="222">
        <f t="shared" si="4"/>
        <v>1</v>
      </c>
      <c r="T65" s="222">
        <f t="shared" si="5"/>
        <v>0</v>
      </c>
      <c r="U65" s="222">
        <f t="shared" si="6"/>
        <v>0</v>
      </c>
    </row>
    <row r="66" spans="1:21" x14ac:dyDescent="0.2">
      <c r="A66" s="376" t="s">
        <v>1440</v>
      </c>
      <c r="B66" s="377">
        <v>0</v>
      </c>
      <c r="C66" s="378">
        <v>6.4566115702479332E-2</v>
      </c>
      <c r="E66" s="222" t="s">
        <v>1404</v>
      </c>
      <c r="F66" s="223" cm="1">
        <f t="array" ref="F66:P66">tinh_du_lieu_cp(E66)</f>
        <v>39</v>
      </c>
      <c r="G66" s="224">
        <v>8.9</v>
      </c>
      <c r="H66" s="225">
        <v>-1.52E-2</v>
      </c>
      <c r="I66" s="226">
        <v>0.86287056500835113</v>
      </c>
      <c r="J66" s="226">
        <v>0.95490674758380378</v>
      </c>
      <c r="K66" s="226">
        <v>1.4385775862068966</v>
      </c>
      <c r="L66" s="225">
        <v>0.41997435897435892</v>
      </c>
      <c r="M66" s="222">
        <v>39</v>
      </c>
      <c r="N66" s="222">
        <v>55.378999999999998</v>
      </c>
      <c r="O66" s="225">
        <v>0</v>
      </c>
      <c r="P66" s="225">
        <v>-0.29576193141804652</v>
      </c>
      <c r="Q66" s="222"/>
      <c r="R66" s="222">
        <f t="shared" si="7"/>
        <v>-1</v>
      </c>
      <c r="S66" s="222">
        <f t="shared" si="4"/>
        <v>0</v>
      </c>
      <c r="T66" s="222">
        <f t="shared" si="5"/>
        <v>1</v>
      </c>
      <c r="U66" s="222">
        <f t="shared" si="6"/>
        <v>0</v>
      </c>
    </row>
    <row r="67" spans="1:21" x14ac:dyDescent="0.2">
      <c r="A67" s="376" t="s">
        <v>2638</v>
      </c>
      <c r="B67" s="377">
        <v>5.0000000000000001E-4</v>
      </c>
      <c r="C67" s="378">
        <v>0.2902223922720828</v>
      </c>
      <c r="E67" s="222" t="s">
        <v>1436</v>
      </c>
      <c r="F67" s="223" cm="1">
        <f t="array" ref="F67:P67">tinh_du_lieu_cp(E67)</f>
        <v>28.5</v>
      </c>
      <c r="G67" s="224">
        <v>997</v>
      </c>
      <c r="H67" s="225">
        <v>8.8000000000000005E-3</v>
      </c>
      <c r="I67" s="226">
        <v>0.625920303172121</v>
      </c>
      <c r="J67" s="226">
        <v>0.96872915704684204</v>
      </c>
      <c r="K67" s="226">
        <v>0.94565114293844255</v>
      </c>
      <c r="L67" s="225">
        <v>0.2407079646017698</v>
      </c>
      <c r="M67" s="222">
        <v>28.25</v>
      </c>
      <c r="N67" s="222">
        <v>35.049999999999997</v>
      </c>
      <c r="O67" s="225">
        <v>8.8495575221238937E-3</v>
      </c>
      <c r="P67" s="225">
        <v>-0.18687589158345214</v>
      </c>
      <c r="Q67" s="222"/>
      <c r="R67" s="222">
        <f t="shared" si="7"/>
        <v>1</v>
      </c>
      <c r="S67" s="222">
        <f t="shared" si="4"/>
        <v>1</v>
      </c>
      <c r="T67" s="222">
        <f t="shared" si="5"/>
        <v>0</v>
      </c>
      <c r="U67" s="222">
        <f t="shared" si="6"/>
        <v>0</v>
      </c>
    </row>
    <row r="68" spans="1:21" x14ac:dyDescent="0.2">
      <c r="A68" s="376" t="s">
        <v>2233</v>
      </c>
      <c r="B68" s="377">
        <v>1E-3</v>
      </c>
      <c r="C68" s="378">
        <v>0.25175023988059275</v>
      </c>
      <c r="E68" s="222" t="s">
        <v>1440</v>
      </c>
      <c r="F68" s="223" cm="1">
        <f t="array" ref="F68:P68">tinh_du_lieu_cp(E68)</f>
        <v>50</v>
      </c>
      <c r="G68" s="224">
        <v>68.900000000000006</v>
      </c>
      <c r="H68" s="225">
        <v>4.0000000000000001E-3</v>
      </c>
      <c r="I68" s="226">
        <v>0.17703187227730868</v>
      </c>
      <c r="J68" s="226">
        <v>0.99681876022541349</v>
      </c>
      <c r="K68" s="226">
        <v>0.7911961722488039</v>
      </c>
      <c r="L68" s="225">
        <v>0.23076923076923078</v>
      </c>
      <c r="M68" s="222">
        <v>41.6</v>
      </c>
      <c r="N68" s="222">
        <v>51.2</v>
      </c>
      <c r="O68" s="225">
        <v>0.20192307692307687</v>
      </c>
      <c r="P68" s="225">
        <v>-2.3437500000000056E-2</v>
      </c>
      <c r="Q68" s="222"/>
      <c r="R68" s="222">
        <f t="shared" si="7"/>
        <v>1</v>
      </c>
      <c r="S68" s="222">
        <f t="shared" si="4"/>
        <v>1</v>
      </c>
      <c r="T68" s="222">
        <f t="shared" si="5"/>
        <v>0</v>
      </c>
      <c r="U68" s="222">
        <f t="shared" si="6"/>
        <v>0</v>
      </c>
    </row>
    <row r="69" spans="1:21" x14ac:dyDescent="0.2">
      <c r="A69" s="376" t="s">
        <v>981</v>
      </c>
      <c r="B69" s="377">
        <v>2.5999999999999999E-3</v>
      </c>
      <c r="C69" s="378">
        <v>0.37150402060628357</v>
      </c>
      <c r="E69" s="222" t="s">
        <v>1442</v>
      </c>
      <c r="F69" s="223" cm="1">
        <f t="array" ref="F69:P69">tinh_du_lieu_cp(E69)</f>
        <v>19.899999999999999</v>
      </c>
      <c r="G69" s="224">
        <v>3268.6</v>
      </c>
      <c r="H69" s="225">
        <v>5.1000000000000004E-3</v>
      </c>
      <c r="I69" s="226">
        <v>0.91530036212745114</v>
      </c>
      <c r="J69" s="226">
        <v>0.94212162492577467</v>
      </c>
      <c r="K69" s="226">
        <v>0.99330925814310389</v>
      </c>
      <c r="L69" s="225">
        <v>0.31565656565656564</v>
      </c>
      <c r="M69" s="222">
        <v>19.8</v>
      </c>
      <c r="N69" s="222">
        <v>26.05</v>
      </c>
      <c r="O69" s="225">
        <v>5.0505050505049425E-3</v>
      </c>
      <c r="P69" s="225">
        <v>-0.23608445297504807</v>
      </c>
      <c r="Q69" s="222"/>
      <c r="R69" s="222">
        <f t="shared" si="7"/>
        <v>1</v>
      </c>
      <c r="S69" s="222">
        <f t="shared" si="4"/>
        <v>1</v>
      </c>
      <c r="T69" s="222">
        <f t="shared" si="5"/>
        <v>0</v>
      </c>
      <c r="U69" s="222">
        <f t="shared" si="6"/>
        <v>0</v>
      </c>
    </row>
    <row r="70" spans="1:21" x14ac:dyDescent="0.2">
      <c r="A70" s="376" t="s">
        <v>636</v>
      </c>
      <c r="B70" s="377">
        <v>3.0999999999999999E-3</v>
      </c>
      <c r="C70" s="378">
        <v>0.17302164466030559</v>
      </c>
      <c r="E70" s="222" t="s">
        <v>1470</v>
      </c>
      <c r="F70" s="223" cm="1">
        <f t="array" ref="F70:P70">tinh_du_lieu_cp(E70)</f>
        <v>38.049999999999997</v>
      </c>
      <c r="G70" s="224">
        <v>168.6</v>
      </c>
      <c r="H70" s="225">
        <v>0</v>
      </c>
      <c r="I70" s="226">
        <v>0.58713098535813224</v>
      </c>
      <c r="J70" s="226">
        <v>1.0075909801294929</v>
      </c>
      <c r="K70" s="226">
        <v>0.88049438593437201</v>
      </c>
      <c r="L70" s="225">
        <v>6.5753424657534212E-2</v>
      </c>
      <c r="M70" s="222">
        <v>36.5</v>
      </c>
      <c r="N70" s="222">
        <v>38.9</v>
      </c>
      <c r="O70" s="225">
        <v>4.2465753424657457E-2</v>
      </c>
      <c r="P70" s="225">
        <v>-2.185089974293063E-2</v>
      </c>
      <c r="Q70" s="222"/>
      <c r="R70" s="222">
        <f t="shared" si="7"/>
        <v>0</v>
      </c>
      <c r="S70" s="222">
        <f t="shared" si="4"/>
        <v>0</v>
      </c>
      <c r="T70" s="222">
        <f t="shared" si="5"/>
        <v>0</v>
      </c>
      <c r="U70" s="222">
        <f t="shared" si="6"/>
        <v>1</v>
      </c>
    </row>
    <row r="71" spans="1:21" x14ac:dyDescent="0.2">
      <c r="A71" s="376" t="s">
        <v>2460</v>
      </c>
      <c r="B71" s="377">
        <v>3.0999999999999999E-3</v>
      </c>
      <c r="C71" s="378">
        <v>0.2408837713683426</v>
      </c>
      <c r="E71" s="222" t="s">
        <v>1563</v>
      </c>
      <c r="F71" s="223" cm="1">
        <f t="array" ref="F71:P71">tinh_du_lieu_cp(E71)</f>
        <v>51.5</v>
      </c>
      <c r="G71" s="224">
        <v>2294.6</v>
      </c>
      <c r="H71" s="225">
        <v>-1.9E-3</v>
      </c>
      <c r="I71" s="226">
        <v>0.84937711582078701</v>
      </c>
      <c r="J71" s="226">
        <v>1.02254798068998</v>
      </c>
      <c r="K71" s="226">
        <v>1.2191700759789597</v>
      </c>
      <c r="L71" s="225">
        <v>0.29954515919428204</v>
      </c>
      <c r="M71" s="222">
        <v>43.091999999999999</v>
      </c>
      <c r="N71" s="222">
        <v>56</v>
      </c>
      <c r="O71" s="225">
        <v>0.19511742318759867</v>
      </c>
      <c r="P71" s="225">
        <v>-8.0357142857142863E-2</v>
      </c>
      <c r="Q71" s="222"/>
      <c r="R71" s="222">
        <f t="shared" si="7"/>
        <v>-1</v>
      </c>
      <c r="S71" s="222">
        <f t="shared" si="4"/>
        <v>0</v>
      </c>
      <c r="T71" s="222">
        <f t="shared" si="5"/>
        <v>1</v>
      </c>
      <c r="U71" s="222">
        <f t="shared" si="6"/>
        <v>0</v>
      </c>
    </row>
    <row r="72" spans="1:21" x14ac:dyDescent="0.2">
      <c r="A72" s="376" t="s">
        <v>2731</v>
      </c>
      <c r="B72" s="377">
        <v>3.4000000000000002E-3</v>
      </c>
      <c r="C72" s="378">
        <v>0.34892108547159512</v>
      </c>
      <c r="E72" s="222" t="s">
        <v>1582</v>
      </c>
      <c r="F72" s="223" cm="1">
        <f t="array" ref="F72:P72">tinh_du_lieu_cp(E72)</f>
        <v>24.55</v>
      </c>
      <c r="G72" s="224">
        <v>12268.7</v>
      </c>
      <c r="H72" s="225">
        <v>4.0999999999999995E-3</v>
      </c>
      <c r="I72" s="226">
        <v>0.97552747106854654</v>
      </c>
      <c r="J72" s="226">
        <v>1.0149207489112562</v>
      </c>
      <c r="K72" s="226">
        <v>0.88905254191800931</v>
      </c>
      <c r="L72" s="225">
        <v>7.5215626585489595E-2</v>
      </c>
      <c r="M72" s="222">
        <v>23.652000000000001</v>
      </c>
      <c r="N72" s="222">
        <v>25.431000000000001</v>
      </c>
      <c r="O72" s="225">
        <v>3.7967190935227449E-2</v>
      </c>
      <c r="P72" s="225">
        <v>-3.4642758837639107E-2</v>
      </c>
      <c r="Q72" s="222"/>
      <c r="R72" s="222">
        <f t="shared" si="7"/>
        <v>1</v>
      </c>
      <c r="S72" s="222">
        <f t="shared" si="4"/>
        <v>1</v>
      </c>
      <c r="T72" s="222">
        <f t="shared" si="5"/>
        <v>0</v>
      </c>
      <c r="U72" s="222">
        <f t="shared" si="6"/>
        <v>0</v>
      </c>
    </row>
    <row r="73" spans="1:21" x14ac:dyDescent="0.2">
      <c r="A73" s="376" t="s">
        <v>123</v>
      </c>
      <c r="B73" s="377">
        <v>3.4000000000000002E-3</v>
      </c>
      <c r="C73" s="378">
        <v>0.45847017376246491</v>
      </c>
      <c r="E73" s="222" t="s">
        <v>1649</v>
      </c>
      <c r="F73" s="223" cm="1">
        <f t="array" ref="F73:P73">tinh_du_lieu_cp(E73)</f>
        <v>16.2</v>
      </c>
      <c r="G73" s="224">
        <v>7768</v>
      </c>
      <c r="H73" s="225">
        <v>1.2500000000000001E-2</v>
      </c>
      <c r="I73" s="226">
        <v>0.91227343433879726</v>
      </c>
      <c r="J73" s="226">
        <v>1.0133659097441794</v>
      </c>
      <c r="K73" s="226">
        <v>1.363221564452348</v>
      </c>
      <c r="L73" s="225">
        <v>0.30120481927710846</v>
      </c>
      <c r="M73" s="222">
        <v>12.45</v>
      </c>
      <c r="N73" s="222">
        <v>16.2</v>
      </c>
      <c r="O73" s="225">
        <v>0.30120481927710846</v>
      </c>
      <c r="P73" s="225">
        <v>0</v>
      </c>
      <c r="Q73" s="222"/>
      <c r="R73" s="222">
        <f t="shared" si="7"/>
        <v>1</v>
      </c>
      <c r="S73" s="222">
        <f t="shared" si="4"/>
        <v>1</v>
      </c>
      <c r="T73" s="222">
        <f t="shared" si="5"/>
        <v>0</v>
      </c>
      <c r="U73" s="222">
        <f t="shared" si="6"/>
        <v>0</v>
      </c>
    </row>
    <row r="74" spans="1:21" x14ac:dyDescent="0.2">
      <c r="A74" s="376" t="s">
        <v>2700</v>
      </c>
      <c r="B74" s="377">
        <v>3.4999999999999996E-3</v>
      </c>
      <c r="C74" s="378">
        <v>0.34485957825154145</v>
      </c>
      <c r="E74" s="222" t="s">
        <v>1653</v>
      </c>
      <c r="F74" s="223" cm="1">
        <f t="array" ref="F74:P74">tinh_du_lieu_cp(E74)</f>
        <v>68.400000000000006</v>
      </c>
      <c r="G74" s="224">
        <v>2364.8000000000002</v>
      </c>
      <c r="H74" s="225">
        <v>7.4000000000000003E-3</v>
      </c>
      <c r="I74" s="226">
        <v>0.70043243883656181</v>
      </c>
      <c r="J74" s="226">
        <v>0.96607348610933308</v>
      </c>
      <c r="K74" s="226">
        <v>0.42364743819419565</v>
      </c>
      <c r="L74" s="225">
        <v>0.19293078055964644</v>
      </c>
      <c r="M74" s="222">
        <v>67.900000000000006</v>
      </c>
      <c r="N74" s="222">
        <v>81</v>
      </c>
      <c r="O74" s="225">
        <v>7.3637702503681875E-3</v>
      </c>
      <c r="P74" s="225">
        <v>-0.15555555555555547</v>
      </c>
      <c r="Q74" s="222"/>
      <c r="R74" s="222">
        <f t="shared" si="7"/>
        <v>1</v>
      </c>
      <c r="S74" s="222">
        <f t="shared" si="4"/>
        <v>1</v>
      </c>
      <c r="T74" s="222">
        <f t="shared" si="5"/>
        <v>0</v>
      </c>
      <c r="U74" s="222">
        <f t="shared" si="6"/>
        <v>0</v>
      </c>
    </row>
    <row r="75" spans="1:21" x14ac:dyDescent="0.2">
      <c r="A75" s="376" t="s">
        <v>2776</v>
      </c>
      <c r="B75" s="377">
        <v>3.5999999999999999E-3</v>
      </c>
      <c r="C75" s="378">
        <v>0.31573446450228648</v>
      </c>
      <c r="E75" s="222" t="s">
        <v>1673</v>
      </c>
      <c r="F75" s="223" cm="1">
        <f t="array" ref="F75:P75">tinh_du_lieu_cp(E75)</f>
        <v>76.8</v>
      </c>
      <c r="G75" s="224">
        <v>2788</v>
      </c>
      <c r="H75" s="225">
        <v>1.0500000000000001E-2</v>
      </c>
      <c r="I75" s="226">
        <v>0.7097045173428429</v>
      </c>
      <c r="J75" s="226">
        <v>0.990034124398945</v>
      </c>
      <c r="K75" s="226">
        <v>1.0100168456898582</v>
      </c>
      <c r="L75" s="225">
        <v>0.14868421052631575</v>
      </c>
      <c r="M75" s="222">
        <v>76</v>
      </c>
      <c r="N75" s="222">
        <v>87.3</v>
      </c>
      <c r="O75" s="225">
        <v>1.0526315789473648E-2</v>
      </c>
      <c r="P75" s="225">
        <v>-0.12027491408934708</v>
      </c>
      <c r="Q75" s="222"/>
      <c r="R75" s="222">
        <f t="shared" si="7"/>
        <v>1</v>
      </c>
      <c r="S75" s="222">
        <f t="shared" si="4"/>
        <v>1</v>
      </c>
      <c r="T75" s="222">
        <f t="shared" si="5"/>
        <v>0</v>
      </c>
      <c r="U75" s="222">
        <f t="shared" si="6"/>
        <v>0</v>
      </c>
    </row>
    <row r="76" spans="1:21" x14ac:dyDescent="0.2">
      <c r="A76" s="376" t="s">
        <v>2371</v>
      </c>
      <c r="B76" s="377">
        <v>3.5999999999999999E-3</v>
      </c>
      <c r="C76" s="378">
        <v>0.3019095665540108</v>
      </c>
      <c r="E76" s="222" t="s">
        <v>1675</v>
      </c>
      <c r="F76" s="223" cm="1">
        <f t="array" ref="F76:P76">tinh_du_lieu_cp(E76)</f>
        <v>13.05</v>
      </c>
      <c r="G76" s="224">
        <v>2082.9</v>
      </c>
      <c r="H76" s="225">
        <v>7.7000000000000002E-3</v>
      </c>
      <c r="I76" s="226">
        <v>0.80454171963115639</v>
      </c>
      <c r="J76" s="226">
        <v>1.0178027641133753</v>
      </c>
      <c r="K76" s="226">
        <v>0.74410545870248646</v>
      </c>
      <c r="L76" s="225">
        <v>0.18677215752511325</v>
      </c>
      <c r="M76" s="222">
        <v>11.249000000000001</v>
      </c>
      <c r="N76" s="222">
        <v>13.35</v>
      </c>
      <c r="O76" s="225">
        <v>0.16010312027735799</v>
      </c>
      <c r="P76" s="225">
        <v>-2.247191011235947E-2</v>
      </c>
      <c r="Q76" s="222"/>
      <c r="R76" s="222">
        <f t="shared" si="7"/>
        <v>1</v>
      </c>
      <c r="S76" s="222">
        <f t="shared" si="4"/>
        <v>1</v>
      </c>
      <c r="T76" s="222">
        <f t="shared" si="5"/>
        <v>0</v>
      </c>
      <c r="U76" s="222">
        <f t="shared" si="6"/>
        <v>0</v>
      </c>
    </row>
    <row r="77" spans="1:21" x14ac:dyDescent="0.2">
      <c r="A77" s="376" t="s">
        <v>1948</v>
      </c>
      <c r="B77" s="377">
        <v>3.5999999999999999E-3</v>
      </c>
      <c r="C77" s="378">
        <v>0.29443752890907748</v>
      </c>
      <c r="E77" s="222" t="s">
        <v>1739</v>
      </c>
      <c r="F77" s="223" cm="1">
        <f t="array" ref="F77:P77">tinh_du_lieu_cp(E77)</f>
        <v>11.8</v>
      </c>
      <c r="G77" s="224">
        <v>1306.5</v>
      </c>
      <c r="H77" s="225">
        <v>8.5000000000000006E-3</v>
      </c>
      <c r="I77" s="226">
        <v>0.88924716315985408</v>
      </c>
      <c r="J77" s="226">
        <v>0.98817457206324322</v>
      </c>
      <c r="K77" s="226">
        <v>0.95230574857864814</v>
      </c>
      <c r="L77" s="225">
        <v>0.14606837606837619</v>
      </c>
      <c r="M77" s="222">
        <v>11.7</v>
      </c>
      <c r="N77" s="222">
        <v>13.409000000000001</v>
      </c>
      <c r="O77" s="225">
        <v>8.5470085470086693E-3</v>
      </c>
      <c r="P77" s="225">
        <v>-0.11999403385785666</v>
      </c>
      <c r="Q77" s="222"/>
      <c r="R77" s="222">
        <f t="shared" si="7"/>
        <v>1</v>
      </c>
      <c r="S77" s="222">
        <f t="shared" si="4"/>
        <v>1</v>
      </c>
      <c r="T77" s="222">
        <f t="shared" si="5"/>
        <v>0</v>
      </c>
      <c r="U77" s="222">
        <f t="shared" si="6"/>
        <v>0</v>
      </c>
    </row>
    <row r="78" spans="1:21" x14ac:dyDescent="0.2">
      <c r="A78" s="376" t="s">
        <v>1675</v>
      </c>
      <c r="B78" s="377">
        <v>3.9000000000000003E-3</v>
      </c>
      <c r="C78" s="378">
        <v>0.34502886212550088</v>
      </c>
      <c r="E78" s="222" t="s">
        <v>1741</v>
      </c>
      <c r="F78" s="223" cm="1">
        <f t="array" ref="F78:P78">tinh_du_lieu_cp(E78)</f>
        <v>25.3</v>
      </c>
      <c r="G78" s="224">
        <v>1394</v>
      </c>
      <c r="H78" s="225">
        <v>-2E-3</v>
      </c>
      <c r="I78" s="226">
        <v>0.63521126760563384</v>
      </c>
      <c r="J78" s="226">
        <v>0.97246376811594204</v>
      </c>
      <c r="K78" s="226">
        <v>0.9518282066163668</v>
      </c>
      <c r="L78" s="225">
        <v>0.13071209430001629</v>
      </c>
      <c r="M78" s="222">
        <v>24.771999999999998</v>
      </c>
      <c r="N78" s="222">
        <v>28.01</v>
      </c>
      <c r="O78" s="225">
        <v>2.1314387211367764E-2</v>
      </c>
      <c r="P78" s="225">
        <v>-9.6751160299892919E-2</v>
      </c>
      <c r="Q78" s="222"/>
      <c r="R78" s="222">
        <f t="shared" si="7"/>
        <v>-1</v>
      </c>
      <c r="S78" s="222">
        <f t="shared" si="4"/>
        <v>0</v>
      </c>
      <c r="T78" s="222">
        <f t="shared" si="5"/>
        <v>1</v>
      </c>
      <c r="U78" s="222">
        <f t="shared" si="6"/>
        <v>0</v>
      </c>
    </row>
    <row r="79" spans="1:21" x14ac:dyDescent="0.2">
      <c r="A79" s="376" t="s">
        <v>2109</v>
      </c>
      <c r="B79" s="377">
        <v>4.3E-3</v>
      </c>
      <c r="C79" s="378">
        <v>0.38187130195674057</v>
      </c>
      <c r="E79" s="222" t="s">
        <v>1772</v>
      </c>
      <c r="F79" s="223" cm="1">
        <f t="array" ref="F79:P79">tinh_du_lieu_cp(E79)</f>
        <v>21.6</v>
      </c>
      <c r="G79" s="224">
        <v>379.4</v>
      </c>
      <c r="H79" s="225">
        <v>1.41E-2</v>
      </c>
      <c r="I79" s="226">
        <v>0.87695815253364717</v>
      </c>
      <c r="J79" s="226">
        <v>0.96786986623647242</v>
      </c>
      <c r="K79" s="226">
        <v>1.1934570619691727</v>
      </c>
      <c r="L79" s="225">
        <v>0.23474178403755869</v>
      </c>
      <c r="M79" s="222">
        <v>21.3</v>
      </c>
      <c r="N79" s="222">
        <v>26.3</v>
      </c>
      <c r="O79" s="225">
        <v>1.4084507042253554E-2</v>
      </c>
      <c r="P79" s="225">
        <v>-0.17870722433460073</v>
      </c>
      <c r="Q79" s="222"/>
      <c r="R79" s="222">
        <f t="shared" si="7"/>
        <v>1</v>
      </c>
      <c r="S79" s="222">
        <f t="shared" si="4"/>
        <v>1</v>
      </c>
      <c r="T79" s="222">
        <f t="shared" si="5"/>
        <v>0</v>
      </c>
      <c r="U79" s="222">
        <f t="shared" si="6"/>
        <v>0</v>
      </c>
    </row>
    <row r="80" spans="1:21" x14ac:dyDescent="0.2">
      <c r="A80" s="376" t="s">
        <v>1207</v>
      </c>
      <c r="B80" s="377">
        <v>5.3E-3</v>
      </c>
      <c r="C80" s="378">
        <v>0.27853329974284258</v>
      </c>
      <c r="E80" s="222" t="s">
        <v>1800</v>
      </c>
      <c r="F80" s="223" cm="1">
        <f t="array" ref="F80:P80">tinh_du_lieu_cp(E80)</f>
        <v>10.95</v>
      </c>
      <c r="G80" s="224">
        <v>1474.8</v>
      </c>
      <c r="H80" s="225">
        <v>9.1999999999999998E-3</v>
      </c>
      <c r="I80" s="226">
        <v>0.31049846374287632</v>
      </c>
      <c r="J80" s="226">
        <v>1.0097143327570595</v>
      </c>
      <c r="K80" s="226">
        <v>0.43904617308207555</v>
      </c>
      <c r="L80" s="225">
        <v>0.20230005227391537</v>
      </c>
      <c r="M80" s="222">
        <v>9.5649999999999995</v>
      </c>
      <c r="N80" s="222">
        <v>11.5</v>
      </c>
      <c r="O80" s="225">
        <v>0.14479874542603238</v>
      </c>
      <c r="P80" s="225">
        <v>-4.7826086956521803E-2</v>
      </c>
      <c r="Q80" s="222"/>
      <c r="R80" s="222">
        <f t="shared" si="7"/>
        <v>1</v>
      </c>
      <c r="S80" s="222">
        <f t="shared" si="4"/>
        <v>1</v>
      </c>
      <c r="T80" s="222">
        <f t="shared" si="5"/>
        <v>0</v>
      </c>
      <c r="U80" s="222">
        <f t="shared" si="6"/>
        <v>0</v>
      </c>
    </row>
    <row r="81" spans="1:21" x14ac:dyDescent="0.2">
      <c r="A81" s="376" t="s">
        <v>776</v>
      </c>
      <c r="B81" s="377">
        <v>5.8999999999999999E-3</v>
      </c>
      <c r="C81" s="378">
        <v>0.65064166236242993</v>
      </c>
      <c r="E81" s="222" t="s">
        <v>1822</v>
      </c>
      <c r="F81" s="223" cm="1">
        <f t="array" ref="F81:P81">tinh_du_lieu_cp(E81)</f>
        <v>21.65</v>
      </c>
      <c r="G81" s="224">
        <v>248.5</v>
      </c>
      <c r="H81" s="225">
        <v>-4.5999999999999999E-3</v>
      </c>
      <c r="I81" s="226">
        <v>0.75249132852502343</v>
      </c>
      <c r="J81" s="226">
        <v>0.97251169004676008</v>
      </c>
      <c r="K81" s="226">
        <v>1.022914379802415</v>
      </c>
      <c r="L81" s="225">
        <v>0.17353348729792156</v>
      </c>
      <c r="M81" s="222">
        <v>21.65</v>
      </c>
      <c r="N81" s="222">
        <v>25.407</v>
      </c>
      <c r="O81" s="225">
        <v>0</v>
      </c>
      <c r="P81" s="225">
        <v>-0.14787263352619362</v>
      </c>
      <c r="Q81" s="222"/>
      <c r="R81" s="222">
        <f t="shared" si="7"/>
        <v>-1</v>
      </c>
      <c r="S81" s="222">
        <f t="shared" si="4"/>
        <v>0</v>
      </c>
      <c r="T81" s="222">
        <f t="shared" si="5"/>
        <v>1</v>
      </c>
      <c r="U81" s="222">
        <f t="shared" si="6"/>
        <v>0</v>
      </c>
    </row>
    <row r="82" spans="1:21" x14ac:dyDescent="0.2">
      <c r="A82" s="376" t="s">
        <v>478</v>
      </c>
      <c r="B82" s="377">
        <v>6.0999999999999995E-3</v>
      </c>
      <c r="C82" s="378">
        <v>0.16130250214294461</v>
      </c>
      <c r="E82" s="222" t="s">
        <v>1833</v>
      </c>
      <c r="F82" s="223" cm="1">
        <f t="array" ref="F82:P82">tinh_du_lieu_cp(E82)</f>
        <v>21.35</v>
      </c>
      <c r="G82" s="224">
        <v>1476.6</v>
      </c>
      <c r="H82" s="225">
        <v>4.6999999999999993E-3</v>
      </c>
      <c r="I82" s="226">
        <v>0.32166844737631661</v>
      </c>
      <c r="J82" s="226">
        <v>1.0019694731659283</v>
      </c>
      <c r="K82" s="226">
        <v>0.6241264652840397</v>
      </c>
      <c r="L82" s="225">
        <v>0.50991501416430596</v>
      </c>
      <c r="M82" s="222">
        <v>17.649999999999999</v>
      </c>
      <c r="N82" s="222">
        <v>26.65</v>
      </c>
      <c r="O82" s="225">
        <v>0.20963172804532595</v>
      </c>
      <c r="P82" s="225">
        <v>-0.19887429643527194</v>
      </c>
      <c r="Q82" s="222"/>
      <c r="R82" s="222">
        <f t="shared" si="7"/>
        <v>1</v>
      </c>
      <c r="S82" s="222">
        <f t="shared" si="4"/>
        <v>1</v>
      </c>
      <c r="T82" s="222">
        <f t="shared" si="5"/>
        <v>0</v>
      </c>
      <c r="U82" s="222">
        <f t="shared" si="6"/>
        <v>0</v>
      </c>
    </row>
    <row r="83" spans="1:21" x14ac:dyDescent="0.2">
      <c r="A83" s="376" t="s">
        <v>1884</v>
      </c>
      <c r="B83" s="377">
        <v>6.5000000000000006E-3</v>
      </c>
      <c r="C83" s="378">
        <v>0.38537777163140186</v>
      </c>
      <c r="E83" s="222" t="s">
        <v>1850</v>
      </c>
      <c r="F83" s="223" cm="1">
        <f t="array" ref="F83:P83">tinh_du_lieu_cp(E83)</f>
        <v>13.9</v>
      </c>
      <c r="G83" s="224">
        <v>6860.1</v>
      </c>
      <c r="H83" s="225">
        <v>7.1999999999999998E-3</v>
      </c>
      <c r="I83" s="226">
        <v>1.1074436563599301</v>
      </c>
      <c r="J83" s="226">
        <v>0.9636241332919383</v>
      </c>
      <c r="K83" s="226">
        <v>0.95590055620710879</v>
      </c>
      <c r="L83" s="225">
        <v>0.23188405797101444</v>
      </c>
      <c r="M83" s="222">
        <v>13.8</v>
      </c>
      <c r="N83" s="222">
        <v>17</v>
      </c>
      <c r="O83" s="225">
        <v>7.246376811594177E-3</v>
      </c>
      <c r="P83" s="225">
        <v>-0.18235294117647058</v>
      </c>
      <c r="Q83" s="222"/>
      <c r="R83" s="222">
        <f t="shared" si="7"/>
        <v>1</v>
      </c>
      <c r="S83" s="222">
        <f t="shared" si="4"/>
        <v>1</v>
      </c>
      <c r="T83" s="222">
        <f t="shared" si="5"/>
        <v>0</v>
      </c>
      <c r="U83" s="222">
        <f t="shared" si="6"/>
        <v>0</v>
      </c>
    </row>
    <row r="84" spans="1:21" x14ac:dyDescent="0.2">
      <c r="A84" s="376" t="s">
        <v>118</v>
      </c>
      <c r="B84" s="377">
        <v>6.7000000000000002E-3</v>
      </c>
      <c r="C84" s="378">
        <v>0.51973405007780449</v>
      </c>
      <c r="E84" s="222" t="s">
        <v>1884</v>
      </c>
      <c r="F84" s="223" cm="1">
        <f t="array" ref="F84:P84">tinh_du_lieu_cp(E84)</f>
        <v>62.9</v>
      </c>
      <c r="G84" s="224">
        <v>228.2</v>
      </c>
      <c r="H84" s="225">
        <v>2.1099999999999997E-2</v>
      </c>
      <c r="I84" s="226">
        <v>0.75812808625662553</v>
      </c>
      <c r="J84" s="226">
        <v>0.9946348093568923</v>
      </c>
      <c r="K84" s="226">
        <v>1.1356058721074895</v>
      </c>
      <c r="L84" s="227">
        <v>0.17462932454695212</v>
      </c>
      <c r="M84" s="222">
        <v>60.7</v>
      </c>
      <c r="N84" s="222">
        <v>71.3</v>
      </c>
      <c r="O84" s="225">
        <v>3.6243822075782466E-2</v>
      </c>
      <c r="P84" s="225">
        <v>-0.11781206171107993</v>
      </c>
      <c r="Q84" s="222"/>
      <c r="R84" s="222">
        <f t="shared" si="7"/>
        <v>1</v>
      </c>
      <c r="S84" s="222">
        <f t="shared" si="4"/>
        <v>1</v>
      </c>
      <c r="T84" s="222">
        <f t="shared" si="5"/>
        <v>0</v>
      </c>
      <c r="U84" s="222">
        <f t="shared" si="6"/>
        <v>0</v>
      </c>
    </row>
    <row r="85" spans="1:21" x14ac:dyDescent="0.2">
      <c r="A85" s="376" t="s">
        <v>368</v>
      </c>
      <c r="B85" s="377">
        <v>8.6999999999999994E-3</v>
      </c>
      <c r="C85" s="378">
        <v>0.36270530194217199</v>
      </c>
      <c r="E85" s="222" t="s">
        <v>1912</v>
      </c>
      <c r="F85" s="223" cm="1">
        <f t="array" ref="F85:P85">tinh_du_lieu_cp(E85)</f>
        <v>36.799999999999997</v>
      </c>
      <c r="G85" s="224">
        <v>3602.8</v>
      </c>
      <c r="H85" s="225">
        <v>3.5200000000000002E-2</v>
      </c>
      <c r="I85" s="226">
        <v>1.6688233622132622</v>
      </c>
      <c r="J85" s="226">
        <v>0.9631398481508695</v>
      </c>
      <c r="K85" s="226">
        <v>1.3990188591325057</v>
      </c>
      <c r="L85" s="225">
        <v>0.29369627507163326</v>
      </c>
      <c r="M85" s="222">
        <v>34.9</v>
      </c>
      <c r="N85" s="222">
        <v>45.15</v>
      </c>
      <c r="O85" s="225">
        <v>5.4441260744985634E-2</v>
      </c>
      <c r="P85" s="225">
        <v>-0.18493909191583613</v>
      </c>
      <c r="Q85" s="222"/>
      <c r="R85" s="222">
        <f t="shared" si="7"/>
        <v>1</v>
      </c>
      <c r="S85" s="222">
        <f t="shared" si="4"/>
        <v>1</v>
      </c>
      <c r="T85" s="222">
        <f t="shared" si="5"/>
        <v>0</v>
      </c>
      <c r="U85" s="222">
        <f t="shared" si="6"/>
        <v>0</v>
      </c>
    </row>
    <row r="86" spans="1:21" x14ac:dyDescent="0.2">
      <c r="A86" s="376" t="s">
        <v>117</v>
      </c>
      <c r="B86" s="377">
        <v>8.8999999999999999E-3</v>
      </c>
      <c r="C86" s="378">
        <v>0.39274986213955881</v>
      </c>
      <c r="E86" s="222" t="s">
        <v>1934</v>
      </c>
      <c r="F86" s="223" cm="1">
        <f t="array" ref="F86:P86">tinh_du_lieu_cp(E86)</f>
        <v>46.9</v>
      </c>
      <c r="G86" s="224">
        <v>5620</v>
      </c>
      <c r="H86" s="225">
        <v>6.9599999999999995E-2</v>
      </c>
      <c r="I86" s="226">
        <v>1.7626144402088222</v>
      </c>
      <c r="J86" s="226">
        <v>0.80839127186150461</v>
      </c>
      <c r="K86" s="226">
        <v>0.62635599013284982</v>
      </c>
      <c r="L86" s="225">
        <v>0.74846066134549594</v>
      </c>
      <c r="M86" s="222">
        <v>43.85</v>
      </c>
      <c r="N86" s="222">
        <v>76.67</v>
      </c>
      <c r="O86" s="225">
        <v>6.9555302166476554E-2</v>
      </c>
      <c r="P86" s="225">
        <v>-0.38828746576235817</v>
      </c>
      <c r="Q86" s="222"/>
      <c r="R86" s="222">
        <f t="shared" si="7"/>
        <v>1</v>
      </c>
      <c r="S86" s="222">
        <f t="shared" si="4"/>
        <v>1</v>
      </c>
      <c r="T86" s="222">
        <f t="shared" si="5"/>
        <v>0</v>
      </c>
      <c r="U86" s="222">
        <f t="shared" si="6"/>
        <v>0</v>
      </c>
    </row>
    <row r="87" spans="1:21" x14ac:dyDescent="0.2">
      <c r="A87" s="376" t="s">
        <v>1111</v>
      </c>
      <c r="B87" s="377">
        <v>9.5999999999999992E-3</v>
      </c>
      <c r="C87" s="378">
        <v>0.34005215415677215</v>
      </c>
      <c r="E87" s="222" t="s">
        <v>1948</v>
      </c>
      <c r="F87" s="223" cm="1">
        <f t="array" ref="F87:P87">tinh_du_lieu_cp(E87)</f>
        <v>14.1</v>
      </c>
      <c r="G87" s="224">
        <v>6043.8</v>
      </c>
      <c r="H87" s="225">
        <v>2.1700000000000001E-2</v>
      </c>
      <c r="I87" s="226">
        <v>0.49264407022062789</v>
      </c>
      <c r="J87" s="226">
        <v>0.99074074074074114</v>
      </c>
      <c r="K87" s="226">
        <v>0.63479070679345162</v>
      </c>
      <c r="L87" s="225">
        <v>0.17786561264822134</v>
      </c>
      <c r="M87" s="222">
        <v>12.65</v>
      </c>
      <c r="N87" s="222">
        <v>14.9</v>
      </c>
      <c r="O87" s="225">
        <v>0.11462450592885369</v>
      </c>
      <c r="P87" s="225">
        <v>-5.3691275167785282E-2</v>
      </c>
      <c r="Q87" s="222"/>
      <c r="R87" s="222">
        <f t="shared" si="7"/>
        <v>1</v>
      </c>
      <c r="S87" s="222">
        <f t="shared" si="4"/>
        <v>1</v>
      </c>
      <c r="T87" s="222">
        <f t="shared" si="5"/>
        <v>0</v>
      </c>
      <c r="U87" s="222">
        <f t="shared" si="6"/>
        <v>0</v>
      </c>
    </row>
    <row r="88" spans="1:21" x14ac:dyDescent="0.2">
      <c r="A88" s="376" t="s">
        <v>3007</v>
      </c>
      <c r="B88" s="377">
        <v>0.01</v>
      </c>
      <c r="C88" s="378">
        <v>0.48025682182985552</v>
      </c>
      <c r="E88" s="222" t="s">
        <v>1950</v>
      </c>
      <c r="F88" s="223" cm="1">
        <f t="array" ref="F88:P88">tinh_du_lieu_cp(E88)</f>
        <v>9.14</v>
      </c>
      <c r="G88" s="224">
        <v>171.9</v>
      </c>
      <c r="H88" s="225">
        <v>-2.2000000000000001E-3</v>
      </c>
      <c r="I88" s="226">
        <v>1.5859928706227722</v>
      </c>
      <c r="J88" s="226">
        <v>0.97325427564991507</v>
      </c>
      <c r="K88" s="226">
        <v>1.4604927782497876</v>
      </c>
      <c r="L88" s="225">
        <v>0.11050328227571113</v>
      </c>
      <c r="M88" s="222">
        <v>9.14</v>
      </c>
      <c r="N88" s="222">
        <v>10.15</v>
      </c>
      <c r="O88" s="225">
        <v>0</v>
      </c>
      <c r="P88" s="225">
        <v>-9.9507389162561549E-2</v>
      </c>
      <c r="Q88" s="222"/>
      <c r="R88" s="222">
        <f t="shared" ref="R88:R121" si="8">IF(H88&gt;0,1,IF(H88=0,0,-1))</f>
        <v>-1</v>
      </c>
      <c r="S88" s="222">
        <f t="shared" si="4"/>
        <v>0</v>
      </c>
      <c r="T88" s="222">
        <f t="shared" si="5"/>
        <v>1</v>
      </c>
      <c r="U88" s="222">
        <f t="shared" si="6"/>
        <v>0</v>
      </c>
    </row>
    <row r="89" spans="1:21" x14ac:dyDescent="0.2">
      <c r="A89" s="376" t="s">
        <v>2821</v>
      </c>
      <c r="B89" s="377">
        <v>1.29E-2</v>
      </c>
      <c r="C89" s="378">
        <v>0.69110865173623137</v>
      </c>
      <c r="E89" s="222" t="s">
        <v>1990</v>
      </c>
      <c r="F89" s="223" cm="1">
        <f t="array" ref="F89:P89">tinh_du_lieu_cp(E89)</f>
        <v>35.700000000000003</v>
      </c>
      <c r="G89" s="224">
        <v>38.6</v>
      </c>
      <c r="H89" s="225">
        <v>-1.52E-2</v>
      </c>
      <c r="I89" s="226">
        <v>0.62913024151726182</v>
      </c>
      <c r="J89" s="226">
        <v>0.98033958891867734</v>
      </c>
      <c r="K89" s="226">
        <v>1.180428134556575</v>
      </c>
      <c r="L89" s="225">
        <v>0.16386554621848723</v>
      </c>
      <c r="M89" s="222">
        <v>35.700000000000003</v>
      </c>
      <c r="N89" s="222">
        <v>41.55</v>
      </c>
      <c r="O89" s="225">
        <v>0</v>
      </c>
      <c r="P89" s="225">
        <v>-0.14079422382671467</v>
      </c>
      <c r="Q89" s="222"/>
      <c r="R89" s="222">
        <f t="shared" si="8"/>
        <v>-1</v>
      </c>
      <c r="S89" s="222">
        <f t="shared" si="4"/>
        <v>0</v>
      </c>
      <c r="T89" s="222">
        <f t="shared" si="5"/>
        <v>1</v>
      </c>
      <c r="U89" s="222">
        <f t="shared" si="6"/>
        <v>0</v>
      </c>
    </row>
    <row r="90" spans="1:21" x14ac:dyDescent="0.2">
      <c r="A90" s="376" t="s">
        <v>446</v>
      </c>
      <c r="B90" s="377">
        <v>1.4800000000000001E-2</v>
      </c>
      <c r="C90" s="378">
        <v>0.69740267252848964</v>
      </c>
      <c r="E90" s="222" t="s">
        <v>2018</v>
      </c>
      <c r="F90" s="223" cm="1">
        <f t="array" ref="F90:P90">tinh_du_lieu_cp(E90)</f>
        <v>19.899999999999999</v>
      </c>
      <c r="G90" s="224">
        <v>6788.1</v>
      </c>
      <c r="H90" s="225">
        <v>6.9599999999999995E-2</v>
      </c>
      <c r="I90" s="226">
        <v>1.9541992923891762</v>
      </c>
      <c r="J90" s="226">
        <v>1.0211394812112902</v>
      </c>
      <c r="K90" s="226">
        <v>1.5161254022123385</v>
      </c>
      <c r="L90" s="225">
        <v>0.22395298413785239</v>
      </c>
      <c r="M90" s="222">
        <v>17.526</v>
      </c>
      <c r="N90" s="222">
        <v>21.451000000000001</v>
      </c>
      <c r="O90" s="225">
        <v>0.13545589410019393</v>
      </c>
      <c r="P90" s="225">
        <v>-7.2304321476854311E-2</v>
      </c>
      <c r="Q90" s="222"/>
      <c r="R90" s="222">
        <f t="shared" si="8"/>
        <v>1</v>
      </c>
      <c r="S90" s="222">
        <f t="shared" si="4"/>
        <v>1</v>
      </c>
      <c r="T90" s="222">
        <f t="shared" si="5"/>
        <v>0</v>
      </c>
      <c r="U90" s="222">
        <f t="shared" si="6"/>
        <v>0</v>
      </c>
    </row>
    <row r="91" spans="1:21" x14ac:dyDescent="0.2">
      <c r="A91" s="376" t="s">
        <v>524</v>
      </c>
      <c r="B91" s="377">
        <v>2.0899999999999998E-2</v>
      </c>
      <c r="C91" s="378">
        <v>0.60708582834331337</v>
      </c>
      <c r="E91" s="222" t="s">
        <v>2038</v>
      </c>
      <c r="F91" s="223" cm="1">
        <f t="array" ref="F91:P91">tinh_du_lieu_cp(E91)</f>
        <v>19.2</v>
      </c>
      <c r="G91" s="224">
        <v>3397.6</v>
      </c>
      <c r="H91" s="225">
        <v>1.32E-2</v>
      </c>
      <c r="I91" s="226">
        <v>1.2021738046567283</v>
      </c>
      <c r="J91" s="226">
        <v>0.97430266605023907</v>
      </c>
      <c r="K91" s="226">
        <v>1.1648248671504484</v>
      </c>
      <c r="L91" s="225">
        <v>0.21693121693121703</v>
      </c>
      <c r="M91" s="222">
        <v>18.899999999999999</v>
      </c>
      <c r="N91" s="222">
        <v>23</v>
      </c>
      <c r="O91" s="225">
        <v>1.587301587301591E-2</v>
      </c>
      <c r="P91" s="225">
        <v>-0.16521739130434784</v>
      </c>
      <c r="Q91" s="222"/>
      <c r="R91" s="222">
        <f t="shared" si="8"/>
        <v>1</v>
      </c>
      <c r="S91" s="222">
        <f t="shared" si="4"/>
        <v>1</v>
      </c>
      <c r="T91" s="222">
        <f t="shared" si="5"/>
        <v>0</v>
      </c>
      <c r="U91" s="222">
        <f t="shared" si="6"/>
        <v>0</v>
      </c>
    </row>
    <row r="92" spans="1:21" x14ac:dyDescent="0.2">
      <c r="A92" s="376" t="s">
        <v>1133</v>
      </c>
      <c r="B92" s="377">
        <v>2.12E-2</v>
      </c>
      <c r="C92" s="378">
        <v>0.7735681458309196</v>
      </c>
      <c r="E92" s="222" t="s">
        <v>2094</v>
      </c>
      <c r="F92" s="223" cm="1">
        <f t="array" ref="F92:P92">tinh_du_lieu_cp(E92)</f>
        <v>46.15</v>
      </c>
      <c r="G92" s="224">
        <v>377.8</v>
      </c>
      <c r="H92" s="225">
        <v>0</v>
      </c>
      <c r="I92" s="226">
        <v>0.92222000310676167</v>
      </c>
      <c r="J92" s="226">
        <v>0.95363860622880048</v>
      </c>
      <c r="K92" s="226">
        <v>0.81922659920491503</v>
      </c>
      <c r="L92" s="225">
        <v>0.23042253521126763</v>
      </c>
      <c r="M92" s="222">
        <v>46.15</v>
      </c>
      <c r="N92" s="222">
        <v>56.783999999999999</v>
      </c>
      <c r="O92" s="225">
        <v>0</v>
      </c>
      <c r="P92" s="225">
        <v>-0.18727106227106227</v>
      </c>
      <c r="Q92" s="222"/>
      <c r="R92" s="222">
        <f t="shared" si="8"/>
        <v>0</v>
      </c>
      <c r="S92" s="222">
        <f t="shared" si="4"/>
        <v>0</v>
      </c>
      <c r="T92" s="222">
        <f t="shared" si="5"/>
        <v>0</v>
      </c>
      <c r="U92" s="222">
        <f t="shared" si="6"/>
        <v>1</v>
      </c>
    </row>
    <row r="93" spans="1:21" x14ac:dyDescent="0.2">
      <c r="A93" s="376" t="s">
        <v>2038</v>
      </c>
      <c r="B93" s="377">
        <v>2.3700000000000002E-2</v>
      </c>
      <c r="C93" s="378">
        <v>0.71601886217935529</v>
      </c>
      <c r="E93" s="222" t="s">
        <v>2109</v>
      </c>
      <c r="F93" s="223" cm="1">
        <f t="array" ref="F93:P93">tinh_du_lieu_cp(E93)</f>
        <v>46.8</v>
      </c>
      <c r="G93" s="224">
        <v>400.6</v>
      </c>
      <c r="H93" s="225">
        <v>1.41E-2</v>
      </c>
      <c r="I93" s="226">
        <v>0.71029513692999569</v>
      </c>
      <c r="J93" s="226">
        <v>0.97993453820976206</v>
      </c>
      <c r="K93" s="226">
        <v>0.83883576464018983</v>
      </c>
      <c r="L93" s="225">
        <v>8.9900110987791437E-2</v>
      </c>
      <c r="M93" s="222">
        <v>45.05</v>
      </c>
      <c r="N93" s="222">
        <v>49.1</v>
      </c>
      <c r="O93" s="225">
        <v>3.8845726970033301E-2</v>
      </c>
      <c r="P93" s="225">
        <v>-4.6843177189409453E-2</v>
      </c>
      <c r="Q93" s="222"/>
      <c r="R93" s="222">
        <f t="shared" si="8"/>
        <v>1</v>
      </c>
      <c r="S93" s="222">
        <f t="shared" si="4"/>
        <v>1</v>
      </c>
      <c r="T93" s="222">
        <f t="shared" si="5"/>
        <v>0</v>
      </c>
      <c r="U93" s="222">
        <f t="shared" si="6"/>
        <v>0</v>
      </c>
    </row>
    <row r="94" spans="1:21" x14ac:dyDescent="0.2">
      <c r="A94" s="376" t="s">
        <v>2315</v>
      </c>
      <c r="B94" s="377">
        <v>2.4799999999999999E-2</v>
      </c>
      <c r="C94" s="378">
        <v>0.54589518794773706</v>
      </c>
      <c r="E94" s="222" t="s">
        <v>2142</v>
      </c>
      <c r="F94" s="223" cm="1">
        <f t="array" ref="F94:P94">tinh_du_lieu_cp(E94)</f>
        <v>20.9</v>
      </c>
      <c r="G94" s="224">
        <v>627.9</v>
      </c>
      <c r="H94" s="225">
        <v>-1.6500000000000001E-2</v>
      </c>
      <c r="I94" s="226">
        <v>1.173485337592171</v>
      </c>
      <c r="J94" s="226">
        <v>0.99279528676888118</v>
      </c>
      <c r="K94" s="226">
        <v>1.1464305276611284</v>
      </c>
      <c r="L94" s="225">
        <v>8.9552238805970005E-2</v>
      </c>
      <c r="M94" s="222">
        <v>20.100000000000001</v>
      </c>
      <c r="N94" s="222">
        <v>21.9</v>
      </c>
      <c r="O94" s="225">
        <v>3.9800995024875475E-2</v>
      </c>
      <c r="P94" s="225">
        <v>-4.5662100456621009E-2</v>
      </c>
      <c r="Q94" s="222"/>
      <c r="R94" s="222">
        <f t="shared" si="8"/>
        <v>-1</v>
      </c>
      <c r="S94" s="222">
        <f t="shared" si="4"/>
        <v>0</v>
      </c>
      <c r="T94" s="222">
        <f t="shared" si="5"/>
        <v>1</v>
      </c>
      <c r="U94" s="222">
        <f t="shared" si="6"/>
        <v>0</v>
      </c>
    </row>
    <row r="95" spans="1:21" x14ac:dyDescent="0.2">
      <c r="A95" s="376" t="s">
        <v>1150</v>
      </c>
      <c r="B95" s="377">
        <v>2.7099999999999999E-2</v>
      </c>
      <c r="C95" s="378">
        <v>0.55288715348679685</v>
      </c>
      <c r="E95" s="222" t="s">
        <v>2157</v>
      </c>
      <c r="F95" s="223" cm="1">
        <f t="array" ref="F95:P95">tinh_du_lieu_cp(E95)</f>
        <v>48.5</v>
      </c>
      <c r="G95" s="224">
        <v>160.5</v>
      </c>
      <c r="H95" s="225">
        <v>2.0999999999999999E-3</v>
      </c>
      <c r="I95" s="226">
        <v>1.2376012057060741</v>
      </c>
      <c r="J95" s="226">
        <v>0.98708855318103672</v>
      </c>
      <c r="K95" s="226">
        <v>1.3341645885286784</v>
      </c>
      <c r="L95" s="225">
        <v>0.12008281573498975</v>
      </c>
      <c r="M95" s="222">
        <v>48.3</v>
      </c>
      <c r="N95" s="222">
        <v>54.1</v>
      </c>
      <c r="O95" s="225">
        <v>4.1407867494824609E-3</v>
      </c>
      <c r="P95" s="225">
        <v>-0.1035120147874307</v>
      </c>
      <c r="Q95" s="222"/>
      <c r="R95" s="222">
        <f t="shared" si="8"/>
        <v>1</v>
      </c>
      <c r="S95" s="222">
        <f t="shared" si="4"/>
        <v>1</v>
      </c>
      <c r="T95" s="222">
        <f t="shared" si="5"/>
        <v>0</v>
      </c>
      <c r="U95" s="222">
        <f t="shared" si="6"/>
        <v>0</v>
      </c>
    </row>
    <row r="96" spans="1:21" x14ac:dyDescent="0.2">
      <c r="A96" s="376" t="s">
        <v>794</v>
      </c>
      <c r="B96" s="377">
        <v>2.76E-2</v>
      </c>
      <c r="C96" s="378">
        <v>0.6256539368122328</v>
      </c>
      <c r="E96" s="222" t="s">
        <v>110</v>
      </c>
      <c r="F96" s="223" cm="1">
        <f t="array" ref="F96:P96">tinh_du_lieu_cp(E96)</f>
        <v>12.8</v>
      </c>
      <c r="G96" s="224">
        <v>43115.6</v>
      </c>
      <c r="H96" s="225">
        <v>1.5900000000000001E-2</v>
      </c>
      <c r="I96" s="226">
        <v>0.91803639168607587</v>
      </c>
      <c r="J96" s="226">
        <v>0.96818207235922404</v>
      </c>
      <c r="K96" s="226">
        <v>0.92847480512134539</v>
      </c>
      <c r="L96" s="225">
        <v>0.21428571428571438</v>
      </c>
      <c r="M96" s="222">
        <v>12.6</v>
      </c>
      <c r="N96" s="222">
        <v>15.3</v>
      </c>
      <c r="O96" s="225">
        <v>1.5873015873015959E-2</v>
      </c>
      <c r="P96" s="225">
        <v>-0.16339869281045752</v>
      </c>
      <c r="Q96" s="222"/>
      <c r="R96" s="222">
        <f t="shared" si="8"/>
        <v>1</v>
      </c>
      <c r="S96" s="222">
        <f t="shared" si="4"/>
        <v>1</v>
      </c>
      <c r="T96" s="222">
        <f t="shared" si="5"/>
        <v>0</v>
      </c>
      <c r="U96" s="222">
        <f t="shared" si="6"/>
        <v>0</v>
      </c>
    </row>
    <row r="97" spans="1:21" x14ac:dyDescent="0.2">
      <c r="A97" s="376" t="s">
        <v>894</v>
      </c>
      <c r="B97" s="377">
        <v>3.2099999999999997E-2</v>
      </c>
      <c r="C97" s="378">
        <v>1.0700176970565261</v>
      </c>
      <c r="E97" s="222" t="s">
        <v>2233</v>
      </c>
      <c r="F97" s="223" cm="1">
        <f t="array" ref="F97:P97">tinh_du_lieu_cp(E97)</f>
        <v>49.5</v>
      </c>
      <c r="G97" s="224">
        <v>58.9</v>
      </c>
      <c r="H97" s="225">
        <v>5.1000000000000004E-3</v>
      </c>
      <c r="I97" s="226">
        <v>0.45617123142997956</v>
      </c>
      <c r="J97" s="226">
        <v>0.98670104491789923</v>
      </c>
      <c r="K97" s="226">
        <v>0.92368008363826459</v>
      </c>
      <c r="L97" s="225">
        <v>0.17163451776649752</v>
      </c>
      <c r="M97" s="222">
        <v>49.25</v>
      </c>
      <c r="N97" s="222">
        <v>57.703000000000003</v>
      </c>
      <c r="O97" s="225">
        <v>5.076142131979695E-3</v>
      </c>
      <c r="P97" s="225">
        <v>-0.14215898653449566</v>
      </c>
      <c r="Q97" s="222"/>
      <c r="R97" s="222">
        <f t="shared" si="8"/>
        <v>1</v>
      </c>
      <c r="S97" s="222">
        <f t="shared" si="4"/>
        <v>1</v>
      </c>
      <c r="T97" s="222">
        <f t="shared" si="5"/>
        <v>0</v>
      </c>
      <c r="U97" s="222">
        <f t="shared" si="6"/>
        <v>0</v>
      </c>
    </row>
    <row r="98" spans="1:21" x14ac:dyDescent="0.2">
      <c r="A98" s="376" t="s">
        <v>1934</v>
      </c>
      <c r="B98" s="377">
        <v>3.4200000000000001E-2</v>
      </c>
      <c r="C98" s="378">
        <v>0.85962686300439617</v>
      </c>
      <c r="E98" s="222" t="s">
        <v>2247</v>
      </c>
      <c r="F98" s="223" cm="1">
        <f t="array" ref="F98:P98">tinh_du_lieu_cp(E98)</f>
        <v>48.5</v>
      </c>
      <c r="G98" s="224">
        <v>26.7</v>
      </c>
      <c r="H98" s="225">
        <v>1.46E-2</v>
      </c>
      <c r="I98" s="226">
        <v>1.4110016814797022</v>
      </c>
      <c r="J98" s="226">
        <v>0.9950478705843514</v>
      </c>
      <c r="K98" s="226">
        <v>1.2486360093530788</v>
      </c>
      <c r="L98" s="225">
        <v>0.29894736842105268</v>
      </c>
      <c r="M98" s="222">
        <v>47.5</v>
      </c>
      <c r="N98" s="222">
        <v>61.7</v>
      </c>
      <c r="O98" s="225">
        <v>2.1052631578947368E-2</v>
      </c>
      <c r="P98" s="225">
        <v>-0.21393841166936794</v>
      </c>
      <c r="Q98" s="222"/>
      <c r="R98" s="222">
        <f t="shared" si="8"/>
        <v>1</v>
      </c>
      <c r="S98" s="222">
        <f t="shared" si="4"/>
        <v>1</v>
      </c>
      <c r="T98" s="222">
        <f t="shared" si="5"/>
        <v>0</v>
      </c>
      <c r="U98" s="222">
        <f t="shared" si="6"/>
        <v>0</v>
      </c>
    </row>
    <row r="99" spans="1:21" x14ac:dyDescent="0.2">
      <c r="A99" s="376" t="s">
        <v>1095</v>
      </c>
      <c r="B99" s="377">
        <v>3.4500000000000003E-2</v>
      </c>
      <c r="C99" s="378">
        <v>1.1216593064749909</v>
      </c>
      <c r="E99" s="222" t="s">
        <v>2298</v>
      </c>
      <c r="F99" s="223" cm="1">
        <f t="array" ref="F99:P99">tinh_du_lieu_cp(E99)</f>
        <v>15.9</v>
      </c>
      <c r="G99" s="224">
        <v>2117.1</v>
      </c>
      <c r="H99" s="225">
        <v>1.6E-2</v>
      </c>
      <c r="I99" s="226">
        <v>0.8881740032494031</v>
      </c>
      <c r="J99" s="226">
        <v>1.0240574679394467</v>
      </c>
      <c r="K99" s="226">
        <v>0.93799428457499834</v>
      </c>
      <c r="L99" s="225">
        <v>0.20896834701055103</v>
      </c>
      <c r="M99" s="222">
        <v>13.648</v>
      </c>
      <c r="N99" s="222">
        <v>16.5</v>
      </c>
      <c r="O99" s="225">
        <v>0.16500586166471284</v>
      </c>
      <c r="P99" s="225">
        <v>-3.6363636363636341E-2</v>
      </c>
      <c r="Q99" s="222"/>
      <c r="R99" s="222">
        <f t="shared" si="8"/>
        <v>1</v>
      </c>
      <c r="S99" s="222">
        <f t="shared" si="4"/>
        <v>1</v>
      </c>
      <c r="T99" s="222">
        <f t="shared" si="5"/>
        <v>0</v>
      </c>
      <c r="U99" s="222">
        <f t="shared" si="6"/>
        <v>0</v>
      </c>
    </row>
    <row r="100" spans="1:21" x14ac:dyDescent="0.2">
      <c r="A100" s="376" t="s">
        <v>1912</v>
      </c>
      <c r="B100" s="377">
        <v>3.5200000000000002E-2</v>
      </c>
      <c r="C100" s="378">
        <v>1.0839100402232751</v>
      </c>
      <c r="E100" s="222" t="s">
        <v>106</v>
      </c>
      <c r="F100" s="223" cm="1">
        <f t="array" ref="F100:P100">tinh_du_lieu_cp(E100)</f>
        <v>25.55</v>
      </c>
      <c r="G100" s="224">
        <v>17962.099999999999</v>
      </c>
      <c r="H100" s="225">
        <v>-3.9000000000000003E-3</v>
      </c>
      <c r="I100" s="226">
        <v>1.1424386038506826</v>
      </c>
      <c r="J100" s="226">
        <v>0.98602305069462082</v>
      </c>
      <c r="K100" s="226">
        <v>0.92870105629979682</v>
      </c>
      <c r="L100" s="225">
        <v>0.13307240704500972</v>
      </c>
      <c r="M100" s="222">
        <v>25.55</v>
      </c>
      <c r="N100" s="222">
        <v>28.95</v>
      </c>
      <c r="O100" s="225">
        <v>0</v>
      </c>
      <c r="P100" s="225">
        <v>-0.11744386873920548</v>
      </c>
      <c r="Q100" s="222"/>
      <c r="R100" s="222">
        <f t="shared" si="8"/>
        <v>-1</v>
      </c>
      <c r="S100" s="222">
        <f t="shared" si="4"/>
        <v>0</v>
      </c>
      <c r="T100" s="222">
        <f t="shared" si="5"/>
        <v>1</v>
      </c>
      <c r="U100" s="222">
        <f t="shared" si="6"/>
        <v>0</v>
      </c>
    </row>
    <row r="101" spans="1:21" x14ac:dyDescent="0.2">
      <c r="A101" s="376" t="s">
        <v>2018</v>
      </c>
      <c r="B101" s="377">
        <v>6.9599999999999995E-2</v>
      </c>
      <c r="C101" s="378">
        <v>1.8659107480183914</v>
      </c>
      <c r="E101" s="222" t="s">
        <v>2315</v>
      </c>
      <c r="F101" s="223" cm="1">
        <f t="array" ref="F101:P101">tinh_du_lieu_cp(E101)</f>
        <v>70.400000000000006</v>
      </c>
      <c r="G101" s="224">
        <v>4375.1000000000004</v>
      </c>
      <c r="H101" s="225">
        <v>2.7699999999999999E-2</v>
      </c>
      <c r="I101" s="226">
        <v>1.0356447319436106</v>
      </c>
      <c r="J101" s="226">
        <v>0.98024174802417496</v>
      </c>
      <c r="K101" s="226">
        <v>1.4950621362098622</v>
      </c>
      <c r="L101" s="225">
        <v>0.19999999999999996</v>
      </c>
      <c r="M101" s="222">
        <v>64</v>
      </c>
      <c r="N101" s="222">
        <v>76.8</v>
      </c>
      <c r="O101" s="225">
        <v>0.10000000000000009</v>
      </c>
      <c r="P101" s="225">
        <v>-8.3333333333333232E-2</v>
      </c>
      <c r="Q101" s="222"/>
      <c r="R101" s="222">
        <f t="shared" si="8"/>
        <v>1</v>
      </c>
      <c r="S101" s="222">
        <f t="shared" si="4"/>
        <v>1</v>
      </c>
      <c r="T101" s="222">
        <f t="shared" si="5"/>
        <v>0</v>
      </c>
      <c r="U101" s="222">
        <f t="shared" si="6"/>
        <v>0</v>
      </c>
    </row>
    <row r="102" spans="1:21" x14ac:dyDescent="0.2">
      <c r="A102" s="376" t="s">
        <v>2969</v>
      </c>
      <c r="B102" s="377">
        <v>-0.11659999999999998</v>
      </c>
      <c r="C102" s="378">
        <v>43.704723734976774</v>
      </c>
      <c r="E102" s="222" t="s">
        <v>2346</v>
      </c>
      <c r="F102" s="223" cm="1">
        <f t="array" ref="F102:P102">tinh_du_lieu_cp(E102)</f>
        <v>20.65</v>
      </c>
      <c r="G102" s="224">
        <v>172.3</v>
      </c>
      <c r="H102" s="225">
        <v>4.8999999999999998E-3</v>
      </c>
      <c r="I102" s="226">
        <v>0.48338391695784133</v>
      </c>
      <c r="J102" s="226">
        <v>0.94530665033013406</v>
      </c>
      <c r="K102" s="226">
        <v>0.58098235360233785</v>
      </c>
      <c r="L102" s="225">
        <v>0.41605839416058399</v>
      </c>
      <c r="M102" s="222">
        <v>20.55</v>
      </c>
      <c r="N102" s="222">
        <v>29.1</v>
      </c>
      <c r="O102" s="225">
        <v>4.8661800486616965E-3</v>
      </c>
      <c r="P102" s="225">
        <v>-0.29037800687285231</v>
      </c>
      <c r="Q102" s="222"/>
      <c r="R102" s="222">
        <f t="shared" si="8"/>
        <v>1</v>
      </c>
      <c r="S102" s="222">
        <f t="shared" si="4"/>
        <v>1</v>
      </c>
      <c r="T102" s="222">
        <f t="shared" si="5"/>
        <v>0</v>
      </c>
      <c r="U102" s="222">
        <f t="shared" si="6"/>
        <v>0</v>
      </c>
    </row>
    <row r="103" spans="1:21" x14ac:dyDescent="0.2">
      <c r="E103" s="222" t="s">
        <v>111</v>
      </c>
      <c r="F103" s="223" cm="1">
        <f t="array" ref="F103:P103">tinh_du_lieu_cp(E103)</f>
        <v>32.200000000000003</v>
      </c>
      <c r="G103" s="224">
        <v>11243.7</v>
      </c>
      <c r="H103" s="225">
        <v>-4.5999999999999999E-3</v>
      </c>
      <c r="I103" s="226">
        <v>0.84409972987323556</v>
      </c>
      <c r="J103" s="226">
        <v>1.0070853014726311</v>
      </c>
      <c r="K103" s="226">
        <v>0.85343659587818499</v>
      </c>
      <c r="L103" s="225">
        <v>0.11183144246353308</v>
      </c>
      <c r="M103" s="222">
        <v>30.85</v>
      </c>
      <c r="N103" s="222">
        <v>34.299999999999997</v>
      </c>
      <c r="O103" s="225">
        <v>4.3760129659643481E-2</v>
      </c>
      <c r="P103" s="225">
        <v>-6.1224489795918206E-2</v>
      </c>
      <c r="Q103" s="222"/>
      <c r="R103" s="222">
        <f t="shared" si="8"/>
        <v>-1</v>
      </c>
      <c r="S103" s="222">
        <f t="shared" si="4"/>
        <v>0</v>
      </c>
      <c r="T103" s="222">
        <f t="shared" si="5"/>
        <v>1</v>
      </c>
      <c r="U103" s="222">
        <f t="shared" si="6"/>
        <v>0</v>
      </c>
    </row>
    <row r="104" spans="1:21" x14ac:dyDescent="0.2">
      <c r="E104" s="222" t="s">
        <v>2371</v>
      </c>
      <c r="F104" s="223" cm="1">
        <f t="array" ref="F104:P104">tinh_du_lieu_cp(E104)</f>
        <v>14.3</v>
      </c>
      <c r="G104" s="224">
        <v>8887.2999999999993</v>
      </c>
      <c r="H104" s="225">
        <v>3.6200000000000003E-2</v>
      </c>
      <c r="I104" s="226">
        <v>2.1977422404267779</v>
      </c>
      <c r="J104" s="226">
        <v>0.96327194501285451</v>
      </c>
      <c r="K104" s="226">
        <v>2.1685244754960369</v>
      </c>
      <c r="L104" s="225">
        <v>0.32967032967032955</v>
      </c>
      <c r="M104" s="222">
        <v>13.65</v>
      </c>
      <c r="N104" s="222">
        <v>18.149999999999999</v>
      </c>
      <c r="O104" s="225">
        <v>4.7619047619047644E-2</v>
      </c>
      <c r="P104" s="225">
        <v>-0.21212121212121202</v>
      </c>
      <c r="Q104" s="222"/>
      <c r="R104" s="222">
        <f t="shared" si="8"/>
        <v>1</v>
      </c>
      <c r="S104" s="222">
        <f t="shared" si="4"/>
        <v>1</v>
      </c>
      <c r="T104" s="222">
        <f t="shared" si="5"/>
        <v>0</v>
      </c>
      <c r="U104" s="222">
        <f t="shared" si="6"/>
        <v>0</v>
      </c>
    </row>
    <row r="105" spans="1:21" x14ac:dyDescent="0.2">
      <c r="E105" s="222" t="s">
        <v>2460</v>
      </c>
      <c r="F105" s="223" cm="1">
        <f t="array" ref="F105:P105">tinh_du_lieu_cp(E105)</f>
        <v>48.1</v>
      </c>
      <c r="G105" s="224">
        <v>23.8</v>
      </c>
      <c r="H105" s="225">
        <v>1.1000000000000001E-3</v>
      </c>
      <c r="I105" s="226">
        <v>0.28890810283495211</v>
      </c>
      <c r="J105" s="226">
        <v>0.99745780927833438</v>
      </c>
      <c r="K105" s="226">
        <v>0.58515237318625302</v>
      </c>
      <c r="L105" s="225">
        <v>6.9727421445112417E-2</v>
      </c>
      <c r="M105" s="222">
        <v>47.069000000000003</v>
      </c>
      <c r="N105" s="222">
        <v>50.350999999999999</v>
      </c>
      <c r="O105" s="225">
        <v>2.1904013257133117E-2</v>
      </c>
      <c r="P105" s="225">
        <v>-4.4706162737582128E-2</v>
      </c>
      <c r="Q105" s="222"/>
      <c r="R105" s="222">
        <f t="shared" si="8"/>
        <v>1</v>
      </c>
      <c r="S105" s="222">
        <f t="shared" si="4"/>
        <v>1</v>
      </c>
      <c r="T105" s="222">
        <f t="shared" si="5"/>
        <v>0</v>
      </c>
      <c r="U105" s="222">
        <f t="shared" si="6"/>
        <v>0</v>
      </c>
    </row>
    <row r="106" spans="1:21" x14ac:dyDescent="0.2">
      <c r="E106" s="222" t="s">
        <v>2514</v>
      </c>
      <c r="F106" s="223" cm="1">
        <f t="array" ref="F106:P106">tinh_du_lieu_cp(E106)</f>
        <v>15.5</v>
      </c>
      <c r="G106" s="224">
        <v>7153.7</v>
      </c>
      <c r="H106" s="225">
        <v>-3.2000000000000002E-3</v>
      </c>
      <c r="I106" s="226">
        <v>0.5883850137748462</v>
      </c>
      <c r="J106" s="226">
        <v>0.98318856822639422</v>
      </c>
      <c r="K106" s="226">
        <v>0.80335174409355237</v>
      </c>
      <c r="L106" s="225">
        <v>9.1205211726384391E-2</v>
      </c>
      <c r="M106" s="222">
        <v>15.35</v>
      </c>
      <c r="N106" s="222">
        <v>16.75</v>
      </c>
      <c r="O106" s="225">
        <v>9.7719869706840625E-3</v>
      </c>
      <c r="P106" s="225">
        <v>-7.4626865671641784E-2</v>
      </c>
      <c r="Q106" s="222"/>
      <c r="R106" s="222">
        <f t="shared" si="8"/>
        <v>-1</v>
      </c>
      <c r="S106" s="222">
        <f t="shared" si="4"/>
        <v>0</v>
      </c>
      <c r="T106" s="222">
        <f t="shared" si="5"/>
        <v>1</v>
      </c>
      <c r="U106" s="222">
        <f t="shared" si="6"/>
        <v>0</v>
      </c>
    </row>
    <row r="107" spans="1:21" x14ac:dyDescent="0.2">
      <c r="E107" s="222" t="s">
        <v>123</v>
      </c>
      <c r="F107" s="223" cm="1">
        <f t="array" ref="F107:P107">tinh_du_lieu_cp(E107)</f>
        <v>59.2</v>
      </c>
      <c r="G107" s="224">
        <v>2829.2</v>
      </c>
      <c r="H107" s="225">
        <v>5.1000000000000004E-3</v>
      </c>
      <c r="I107" s="226">
        <v>0.73382441711310653</v>
      </c>
      <c r="J107" s="226">
        <v>0.98498542994023819</v>
      </c>
      <c r="K107" s="226">
        <v>0.87309310483165825</v>
      </c>
      <c r="L107" s="225">
        <v>0.10186757215619707</v>
      </c>
      <c r="M107" s="222">
        <v>58.9</v>
      </c>
      <c r="N107" s="222">
        <v>64.900000000000006</v>
      </c>
      <c r="O107" s="225">
        <v>5.0933786078099196E-3</v>
      </c>
      <c r="P107" s="225">
        <v>-8.7827426810477699E-2</v>
      </c>
      <c r="Q107" s="222"/>
      <c r="R107" s="222">
        <f t="shared" si="8"/>
        <v>1</v>
      </c>
      <c r="S107" s="222">
        <f t="shared" si="4"/>
        <v>1</v>
      </c>
      <c r="T107" s="222">
        <f t="shared" si="5"/>
        <v>0</v>
      </c>
      <c r="U107" s="222">
        <f t="shared" si="6"/>
        <v>0</v>
      </c>
    </row>
    <row r="108" spans="1:21" x14ac:dyDescent="0.2">
      <c r="E108" s="222" t="s">
        <v>2638</v>
      </c>
      <c r="F108" s="223" cm="1">
        <f t="array" ref="F108:P108">tinh_du_lieu_cp(E108)</f>
        <v>17.600000000000001</v>
      </c>
      <c r="G108" s="224">
        <v>1961</v>
      </c>
      <c r="H108" s="225">
        <v>5.0000000000000001E-4</v>
      </c>
      <c r="I108" s="226">
        <v>0.54832288971119669</v>
      </c>
      <c r="J108" s="226">
        <v>1.004027144625369</v>
      </c>
      <c r="K108" s="226">
        <v>0.5461887136318091</v>
      </c>
      <c r="L108" s="225">
        <v>0.20833577583680157</v>
      </c>
      <c r="M108" s="222">
        <v>17.059000000000001</v>
      </c>
      <c r="N108" s="222">
        <v>20.613</v>
      </c>
      <c r="O108" s="225">
        <v>3.1713465033120364E-2</v>
      </c>
      <c r="P108" s="225">
        <v>-0.14616989278610576</v>
      </c>
      <c r="Q108" s="222"/>
      <c r="R108" s="222">
        <f t="shared" si="8"/>
        <v>1</v>
      </c>
      <c r="S108" s="222">
        <f t="shared" si="4"/>
        <v>1</v>
      </c>
      <c r="T108" s="222">
        <f t="shared" si="5"/>
        <v>0</v>
      </c>
      <c r="U108" s="222">
        <f t="shared" si="6"/>
        <v>0</v>
      </c>
    </row>
    <row r="109" spans="1:21" x14ac:dyDescent="0.2">
      <c r="E109" s="222" t="s">
        <v>2700</v>
      </c>
      <c r="F109" s="223" cm="1">
        <f t="array" ref="F109:P109">tinh_du_lieu_cp(E109)</f>
        <v>57.4</v>
      </c>
      <c r="G109" s="224">
        <v>171.8</v>
      </c>
      <c r="H109" s="225">
        <v>6.9999999999999993E-3</v>
      </c>
      <c r="I109" s="226">
        <v>0.71795456272319735</v>
      </c>
      <c r="J109" s="226">
        <v>0.98423894788517663</v>
      </c>
      <c r="K109" s="226">
        <v>0.76605231866825207</v>
      </c>
      <c r="L109" s="225">
        <v>0.13176895306859213</v>
      </c>
      <c r="M109" s="222">
        <v>55.4</v>
      </c>
      <c r="N109" s="222">
        <v>62.7</v>
      </c>
      <c r="O109" s="225">
        <v>3.6101083032490974E-2</v>
      </c>
      <c r="P109" s="225">
        <v>-8.4529505582137232E-2</v>
      </c>
      <c r="Q109" s="222"/>
      <c r="R109" s="222">
        <f t="shared" si="8"/>
        <v>1</v>
      </c>
      <c r="S109" s="222">
        <f t="shared" si="4"/>
        <v>1</v>
      </c>
      <c r="T109" s="222">
        <f t="shared" si="5"/>
        <v>0</v>
      </c>
      <c r="U109" s="222">
        <f t="shared" si="6"/>
        <v>0</v>
      </c>
    </row>
    <row r="110" spans="1:21" x14ac:dyDescent="0.2">
      <c r="E110" s="222" t="s">
        <v>2711</v>
      </c>
      <c r="F110" s="223" cm="1">
        <f t="array" ref="F110:P110">tinh_du_lieu_cp(E110)</f>
        <v>140.80000000000001</v>
      </c>
      <c r="G110" s="224">
        <v>4386.2</v>
      </c>
      <c r="H110" s="225">
        <v>-1.54E-2</v>
      </c>
      <c r="I110" s="226">
        <v>0.86812258204221904</v>
      </c>
      <c r="J110" s="226">
        <v>1.0021486599229092</v>
      </c>
      <c r="K110" s="226">
        <v>1.1854594594594594</v>
      </c>
      <c r="L110" s="225">
        <v>0.21481481481481476</v>
      </c>
      <c r="M110" s="222">
        <v>130.005</v>
      </c>
      <c r="N110" s="222">
        <v>157.93199999999999</v>
      </c>
      <c r="O110" s="225">
        <v>8.3035267874312646E-2</v>
      </c>
      <c r="P110" s="225">
        <v>-0.10847706607907187</v>
      </c>
      <c r="Q110" s="222"/>
      <c r="R110" s="222">
        <f t="shared" si="8"/>
        <v>-1</v>
      </c>
      <c r="S110" s="222">
        <f t="shared" si="4"/>
        <v>0</v>
      </c>
      <c r="T110" s="222">
        <f t="shared" si="5"/>
        <v>1</v>
      </c>
      <c r="U110" s="222">
        <f t="shared" si="6"/>
        <v>0</v>
      </c>
    </row>
    <row r="111" spans="1:21" x14ac:dyDescent="0.2">
      <c r="E111" s="222" t="s">
        <v>2713</v>
      </c>
      <c r="F111" s="223" cm="1">
        <f t="array" ref="F111:P111">tinh_du_lieu_cp(E111)</f>
        <v>15.75</v>
      </c>
      <c r="G111" s="224">
        <v>6137.2</v>
      </c>
      <c r="H111" s="225">
        <v>1.61E-2</v>
      </c>
      <c r="I111" s="226">
        <v>0.66497310427228851</v>
      </c>
      <c r="J111" s="226">
        <v>0.98628854883242079</v>
      </c>
      <c r="K111" s="226">
        <v>0.81441670979471048</v>
      </c>
      <c r="L111" s="225">
        <v>7.7419354838709625E-2</v>
      </c>
      <c r="M111" s="222">
        <v>15.5</v>
      </c>
      <c r="N111" s="222">
        <v>16.7</v>
      </c>
      <c r="O111" s="225">
        <v>1.6129032258064516E-2</v>
      </c>
      <c r="P111" s="225">
        <v>-5.6886227544910142E-2</v>
      </c>
      <c r="Q111" s="222"/>
      <c r="R111" s="222">
        <f t="shared" si="8"/>
        <v>1</v>
      </c>
      <c r="S111" s="222">
        <f t="shared" si="4"/>
        <v>1</v>
      </c>
      <c r="T111" s="222">
        <f t="shared" si="5"/>
        <v>0</v>
      </c>
      <c r="U111" s="222">
        <f t="shared" si="6"/>
        <v>0</v>
      </c>
    </row>
    <row r="112" spans="1:21" x14ac:dyDescent="0.2">
      <c r="E112" s="222" t="s">
        <v>2715</v>
      </c>
      <c r="F112" s="223" cm="1">
        <f t="array" ref="F112:P112">tinh_du_lieu_cp(E112)</f>
        <v>219</v>
      </c>
      <c r="G112" s="224">
        <v>3450.7</v>
      </c>
      <c r="H112" s="225">
        <v>-1.1299999999999999E-2</v>
      </c>
      <c r="I112" s="226">
        <v>1.0075758581238736</v>
      </c>
      <c r="J112" s="226">
        <v>1.0205074365704287</v>
      </c>
      <c r="K112" s="226">
        <v>1.1195090299556612</v>
      </c>
      <c r="L112" s="225">
        <v>0.22671633847791375</v>
      </c>
      <c r="M112" s="222">
        <v>187.9</v>
      </c>
      <c r="N112" s="222">
        <v>230.5</v>
      </c>
      <c r="O112" s="225">
        <v>0.16551357104842998</v>
      </c>
      <c r="P112" s="225">
        <v>-4.9891540130151846E-2</v>
      </c>
      <c r="Q112" s="222"/>
      <c r="R112" s="222">
        <f t="shared" si="8"/>
        <v>-1</v>
      </c>
      <c r="S112" s="222">
        <f t="shared" si="4"/>
        <v>0</v>
      </c>
      <c r="T112" s="222">
        <f t="shared" si="5"/>
        <v>1</v>
      </c>
      <c r="U112" s="222">
        <f t="shared" si="6"/>
        <v>0</v>
      </c>
    </row>
    <row r="113" spans="5:21" x14ac:dyDescent="0.2">
      <c r="E113" s="222" t="s">
        <v>2731</v>
      </c>
      <c r="F113" s="223" cm="1">
        <f t="array" ref="F113:P113">tinh_du_lieu_cp(E113)</f>
        <v>14.7</v>
      </c>
      <c r="G113" s="224">
        <v>21992</v>
      </c>
      <c r="H113" s="225">
        <v>3.4000000000000002E-3</v>
      </c>
      <c r="I113" s="226">
        <v>0.68725595491665481</v>
      </c>
      <c r="J113" s="226">
        <v>0.93357750045216126</v>
      </c>
      <c r="K113" s="226">
        <v>0.61959185973347852</v>
      </c>
      <c r="L113" s="225">
        <v>0.3208191126279864</v>
      </c>
      <c r="M113" s="222">
        <v>14.65</v>
      </c>
      <c r="N113" s="222">
        <v>19.350000000000001</v>
      </c>
      <c r="O113" s="225">
        <v>3.4129692832763777E-3</v>
      </c>
      <c r="P113" s="225">
        <v>-0.24031007751937994</v>
      </c>
      <c r="Q113" s="222"/>
      <c r="R113" s="222">
        <f t="shared" si="8"/>
        <v>1</v>
      </c>
      <c r="S113" s="222">
        <f t="shared" si="4"/>
        <v>1</v>
      </c>
      <c r="T113" s="222">
        <f t="shared" si="5"/>
        <v>0</v>
      </c>
      <c r="U113" s="222">
        <f t="shared" si="6"/>
        <v>0</v>
      </c>
    </row>
    <row r="114" spans="5:21" x14ac:dyDescent="0.2">
      <c r="E114" s="222" t="s">
        <v>2733</v>
      </c>
      <c r="F114" s="223" cm="1">
        <f t="array" ref="F114:P114">tinh_du_lieu_cp(E114)</f>
        <v>133.30000000000001</v>
      </c>
      <c r="G114" s="224">
        <v>925.9</v>
      </c>
      <c r="H114" s="225">
        <v>-8.199999999999999E-3</v>
      </c>
      <c r="I114" s="226">
        <v>0.97058470512160711</v>
      </c>
      <c r="J114" s="226">
        <v>0.9875894564359452</v>
      </c>
      <c r="K114" s="226">
        <v>1.0665821909918212</v>
      </c>
      <c r="L114" s="227">
        <v>9.981656985631307E-2</v>
      </c>
      <c r="M114" s="222">
        <v>130.84</v>
      </c>
      <c r="N114" s="222">
        <v>143.9</v>
      </c>
      <c r="O114" s="225">
        <v>1.8801589727912012E-2</v>
      </c>
      <c r="P114" s="225">
        <v>-7.3662265462126439E-2</v>
      </c>
      <c r="Q114" s="222"/>
      <c r="R114" s="222">
        <f t="shared" si="8"/>
        <v>-1</v>
      </c>
      <c r="S114" s="222">
        <f t="shared" si="4"/>
        <v>0</v>
      </c>
      <c r="T114" s="222">
        <f t="shared" si="5"/>
        <v>1</v>
      </c>
      <c r="U114" s="222">
        <f t="shared" si="6"/>
        <v>0</v>
      </c>
    </row>
    <row r="115" spans="5:21" x14ac:dyDescent="0.2">
      <c r="E115" s="222" t="s">
        <v>119</v>
      </c>
      <c r="F115" s="223" cm="1">
        <f t="array" ref="F115:P115">tinh_du_lieu_cp(E115)</f>
        <v>17.7</v>
      </c>
      <c r="G115" s="224">
        <v>9105.1</v>
      </c>
      <c r="H115" s="225">
        <v>1.1399999999999999E-2</v>
      </c>
      <c r="I115" s="226">
        <v>0.53087500788445807</v>
      </c>
      <c r="J115" s="226">
        <v>1.0120705663881151</v>
      </c>
      <c r="K115" s="226">
        <v>0.48594484679963068</v>
      </c>
      <c r="L115" s="225">
        <v>0.20578778135048226</v>
      </c>
      <c r="M115" s="222">
        <v>15.55</v>
      </c>
      <c r="N115" s="222">
        <v>18.75</v>
      </c>
      <c r="O115" s="225">
        <v>0.1382636655948552</v>
      </c>
      <c r="P115" s="225">
        <v>-5.6000000000000036E-2</v>
      </c>
      <c r="Q115" s="222"/>
      <c r="R115" s="222">
        <f t="shared" si="8"/>
        <v>1</v>
      </c>
      <c r="S115" s="222">
        <f t="shared" si="4"/>
        <v>1</v>
      </c>
      <c r="T115" s="222">
        <f t="shared" si="5"/>
        <v>0</v>
      </c>
      <c r="U115" s="222">
        <f t="shared" si="6"/>
        <v>0</v>
      </c>
    </row>
    <row r="116" spans="5:21" x14ac:dyDescent="0.2">
      <c r="E116" s="222" t="s">
        <v>2776</v>
      </c>
      <c r="F116" s="223" cm="1">
        <f t="array" ref="F116:P116">tinh_du_lieu_cp(E116)</f>
        <v>56</v>
      </c>
      <c r="G116" s="224">
        <v>1755.1</v>
      </c>
      <c r="H116" s="225">
        <v>1.0800000000000001E-2</v>
      </c>
      <c r="I116" s="226">
        <v>0.5867673820844459</v>
      </c>
      <c r="J116" s="226">
        <v>0.99279103387874124</v>
      </c>
      <c r="K116" s="226">
        <v>0.617051447322161</v>
      </c>
      <c r="L116" s="225">
        <v>9.5510948905109527E-2</v>
      </c>
      <c r="M116" s="222">
        <v>54.8</v>
      </c>
      <c r="N116" s="222">
        <v>60.033999999999999</v>
      </c>
      <c r="O116" s="225">
        <v>2.1897810218978155E-2</v>
      </c>
      <c r="P116" s="225">
        <v>-6.7195256021587754E-2</v>
      </c>
      <c r="Q116" s="222"/>
      <c r="R116" s="222">
        <f t="shared" si="8"/>
        <v>1</v>
      </c>
      <c r="S116" s="222">
        <f t="shared" si="4"/>
        <v>1</v>
      </c>
      <c r="T116" s="222">
        <f t="shared" si="5"/>
        <v>0</v>
      </c>
      <c r="U116" s="222">
        <f t="shared" si="6"/>
        <v>0</v>
      </c>
    </row>
    <row r="117" spans="5:21" x14ac:dyDescent="0.2">
      <c r="E117" s="222" t="s">
        <v>2796</v>
      </c>
      <c r="F117" s="223" cm="1">
        <f t="array" ref="F117:P117">tinh_du_lieu_cp(E117)</f>
        <v>26.5</v>
      </c>
      <c r="G117" s="224">
        <v>14462.9</v>
      </c>
      <c r="H117" s="225">
        <v>3.8E-3</v>
      </c>
      <c r="I117" s="226">
        <v>1.0672996547703544</v>
      </c>
      <c r="J117" s="226">
        <v>1.0065724521170065</v>
      </c>
      <c r="K117" s="226">
        <v>1.005040408977302</v>
      </c>
      <c r="L117" s="225">
        <v>9.9531249999999932E-2</v>
      </c>
      <c r="M117" s="222">
        <v>25.6</v>
      </c>
      <c r="N117" s="222">
        <v>28.148</v>
      </c>
      <c r="O117" s="225">
        <v>3.5156249999999944E-2</v>
      </c>
      <c r="P117" s="225">
        <v>-5.8547676566718762E-2</v>
      </c>
      <c r="Q117" s="222"/>
      <c r="R117" s="222">
        <f t="shared" si="8"/>
        <v>1</v>
      </c>
      <c r="S117" s="222">
        <f t="shared" si="4"/>
        <v>1</v>
      </c>
      <c r="T117" s="222">
        <f t="shared" si="5"/>
        <v>0</v>
      </c>
      <c r="U117" s="222">
        <f t="shared" si="6"/>
        <v>0</v>
      </c>
    </row>
    <row r="118" spans="5:21" x14ac:dyDescent="0.2">
      <c r="E118" s="222" t="s">
        <v>2805</v>
      </c>
      <c r="F118" s="223" cm="1">
        <f t="array" ref="F118:P118">tinh_du_lieu_cp(E118)</f>
        <v>61.8</v>
      </c>
      <c r="G118" s="224">
        <v>1121</v>
      </c>
      <c r="H118" s="225">
        <v>1.15E-2</v>
      </c>
      <c r="I118" s="226">
        <v>1.0559623207022051</v>
      </c>
      <c r="J118" s="226">
        <v>1.007248520710059</v>
      </c>
      <c r="K118" s="226">
        <v>1.7058510233584419</v>
      </c>
      <c r="L118" s="225">
        <v>7.142857142857148E-2</v>
      </c>
      <c r="M118" s="222">
        <v>58.8</v>
      </c>
      <c r="N118" s="222">
        <v>63</v>
      </c>
      <c r="O118" s="225">
        <v>5.1020408163265307E-2</v>
      </c>
      <c r="P118" s="225">
        <v>-1.9047619047619094E-2</v>
      </c>
      <c r="Q118" s="222"/>
      <c r="R118" s="222">
        <f t="shared" si="8"/>
        <v>1</v>
      </c>
      <c r="S118" s="222">
        <f t="shared" ref="S118:S121" si="9">IF(R118=1,1,0)</f>
        <v>1</v>
      </c>
      <c r="T118" s="222">
        <f t="shared" ref="T118:T121" si="10">IF(R118&lt;0,1,0)</f>
        <v>0</v>
      </c>
      <c r="U118" s="222">
        <f t="shared" ref="U118:U121" si="11">IF(R118=0,1,0)</f>
        <v>0</v>
      </c>
    </row>
    <row r="119" spans="5:21" x14ac:dyDescent="0.2">
      <c r="E119" s="222" t="s">
        <v>2816</v>
      </c>
      <c r="F119" s="223" cm="1">
        <f t="array" ref="F119:P119">tinh_du_lieu_cp(E119)</f>
        <v>25.6</v>
      </c>
      <c r="G119" s="224">
        <v>3288.6</v>
      </c>
      <c r="H119" s="225">
        <v>-1.1599999999999999E-2</v>
      </c>
      <c r="I119" s="226">
        <v>0.63443798318993483</v>
      </c>
      <c r="J119" s="226">
        <v>0.95156795504613945</v>
      </c>
      <c r="K119" s="226">
        <v>0.81391252696665828</v>
      </c>
      <c r="L119" s="225">
        <v>0.3807812499999999</v>
      </c>
      <c r="M119" s="222">
        <v>25.6</v>
      </c>
      <c r="N119" s="222">
        <v>35.347999999999999</v>
      </c>
      <c r="O119" s="225">
        <v>0</v>
      </c>
      <c r="P119" s="225">
        <v>-0.27577232092339021</v>
      </c>
      <c r="Q119" s="222"/>
      <c r="R119" s="222">
        <f t="shared" si="8"/>
        <v>-1</v>
      </c>
      <c r="S119" s="222">
        <f t="shared" si="9"/>
        <v>0</v>
      </c>
      <c r="T119" s="222">
        <f t="shared" si="10"/>
        <v>1</v>
      </c>
      <c r="U119" s="222">
        <f t="shared" si="11"/>
        <v>0</v>
      </c>
    </row>
    <row r="120" spans="5:21" x14ac:dyDescent="0.2">
      <c r="E120" s="222" t="s">
        <v>2821</v>
      </c>
      <c r="F120" s="223" cm="1">
        <f t="array" ref="F120:P120">tinh_du_lieu_cp(E120)</f>
        <v>15.9</v>
      </c>
      <c r="G120" s="224">
        <v>5095.8999999999996</v>
      </c>
      <c r="H120" s="225">
        <v>2.2499999999999999E-2</v>
      </c>
      <c r="I120" s="226">
        <v>1.164288444123194</v>
      </c>
      <c r="J120" s="226">
        <v>0.90697674418604668</v>
      </c>
      <c r="K120" s="226">
        <v>0.92257974967713907</v>
      </c>
      <c r="L120" s="225">
        <v>0.50803858520900314</v>
      </c>
      <c r="M120" s="222">
        <v>15.55</v>
      </c>
      <c r="N120" s="222">
        <v>23.45</v>
      </c>
      <c r="O120" s="225">
        <v>2.250803858520898E-2</v>
      </c>
      <c r="P120" s="225">
        <v>-0.32196162046908311</v>
      </c>
      <c r="Q120" s="222"/>
      <c r="R120" s="222">
        <f t="shared" si="8"/>
        <v>1</v>
      </c>
      <c r="S120" s="222">
        <f t="shared" si="9"/>
        <v>1</v>
      </c>
      <c r="T120" s="222">
        <f t="shared" si="10"/>
        <v>0</v>
      </c>
      <c r="U120" s="222">
        <f t="shared" si="11"/>
        <v>0</v>
      </c>
    </row>
    <row r="121" spans="5:21" x14ac:dyDescent="0.2">
      <c r="E121" s="222" t="s">
        <v>2859</v>
      </c>
      <c r="F121" s="223" cm="1">
        <f t="array" ref="F121:P121">tinh_du_lieu_cp(E121)</f>
        <v>52.5</v>
      </c>
      <c r="G121" s="224">
        <v>275.2</v>
      </c>
      <c r="H121" s="225">
        <v>3.4999999999999996E-3</v>
      </c>
      <c r="I121" s="226">
        <v>1.1136652636098139</v>
      </c>
      <c r="J121" s="226">
        <v>0.98242973146310897</v>
      </c>
      <c r="K121" s="226">
        <v>1.1217299858968541</v>
      </c>
      <c r="L121" s="225">
        <v>0.16776252914866779</v>
      </c>
      <c r="M121" s="222">
        <v>52.317999999999998</v>
      </c>
      <c r="N121" s="222">
        <v>61.094999999999999</v>
      </c>
      <c r="O121" s="225">
        <v>3.4787262510035202E-3</v>
      </c>
      <c r="P121" s="225">
        <v>-0.140682543579671</v>
      </c>
      <c r="Q121" s="222"/>
      <c r="R121" s="222">
        <f t="shared" si="8"/>
        <v>1</v>
      </c>
      <c r="S121" s="222">
        <f t="shared" si="9"/>
        <v>1</v>
      </c>
      <c r="T121" s="222">
        <f t="shared" si="10"/>
        <v>0</v>
      </c>
      <c r="U121" s="222">
        <f t="shared" si="11"/>
        <v>0</v>
      </c>
    </row>
  </sheetData>
  <mergeCells count="15">
    <mergeCell ref="P22:P23"/>
    <mergeCell ref="Q22:Q23"/>
    <mergeCell ref="J22:J23"/>
    <mergeCell ref="K22:K23"/>
    <mergeCell ref="L22:L23"/>
    <mergeCell ref="M22:M23"/>
    <mergeCell ref="N22:N23"/>
    <mergeCell ref="O22:O23"/>
    <mergeCell ref="A1:I2"/>
    <mergeCell ref="J1:L2"/>
    <mergeCell ref="E22:E23"/>
    <mergeCell ref="F22:F23"/>
    <mergeCell ref="G22:G23"/>
    <mergeCell ref="H22:H23"/>
    <mergeCell ref="I22:I23"/>
  </mergeCells>
  <conditionalFormatting sqref="I25:I53">
    <cfRule type="colorScale" priority="54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J25:J53">
    <cfRule type="expression" dxfId="326" priority="50" stopIfTrue="1">
      <formula>J25&gt;2</formula>
    </cfRule>
    <cfRule type="expression" dxfId="325" priority="51" stopIfTrue="1">
      <formula>AND(J25&gt;0.5, J25&lt;1)</formula>
    </cfRule>
    <cfRule type="expression" dxfId="324" priority="52" stopIfTrue="1">
      <formula>J25&lt;=0.5</formula>
    </cfRule>
    <cfRule type="expression" dxfId="323" priority="53" stopIfTrue="1">
      <formula>AND(J25&gt;=1,J25&lt;2)</formula>
    </cfRule>
  </conditionalFormatting>
  <conditionalFormatting sqref="K25:K53">
    <cfRule type="expression" dxfId="322" priority="46" stopIfTrue="1">
      <formula>K25&gt;=2</formula>
    </cfRule>
    <cfRule type="expression" dxfId="321" priority="47" stopIfTrue="1">
      <formula>AND(K25&gt;=1,K25&lt;2)</formula>
    </cfRule>
    <cfRule type="expression" dxfId="320" priority="48" stopIfTrue="1">
      <formula>AND(K25&gt;0.5, K25&lt;1)</formula>
    </cfRule>
    <cfRule type="expression" dxfId="319" priority="49" stopIfTrue="1">
      <formula>K25&lt;=0.5</formula>
    </cfRule>
  </conditionalFormatting>
  <conditionalFormatting sqref="L25:L53">
    <cfRule type="colorScale" priority="45">
      <colorScale>
        <cfvo type="min"/>
        <cfvo type="percentile" val="50"/>
        <cfvo type="max"/>
        <color rgb="FFFF3829"/>
        <color rgb="FFFFC000"/>
        <color rgb="FF00A400"/>
      </colorScale>
    </cfRule>
  </conditionalFormatting>
  <conditionalFormatting sqref="O25:P53">
    <cfRule type="colorScale" priority="44">
      <colorScale>
        <cfvo type="min"/>
        <cfvo type="percentile" val="50"/>
        <cfvo type="max"/>
        <color rgb="FFFF3829"/>
        <color rgb="FFFFC000"/>
        <color rgb="FF00BC55"/>
      </colorScale>
    </cfRule>
  </conditionalFormatting>
  <conditionalFormatting sqref="L24:L121">
    <cfRule type="colorScale" priority="37">
      <colorScale>
        <cfvo type="min"/>
        <cfvo type="max"/>
        <color theme="0" tint="-4.9989318521683403E-2"/>
        <color rgb="FF00B050"/>
      </colorScale>
    </cfRule>
  </conditionalFormatting>
  <conditionalFormatting sqref="O24:O121">
    <cfRule type="colorScale" priority="36">
      <colorScale>
        <cfvo type="min"/>
        <cfvo type="max"/>
        <color theme="0" tint="-4.9989318521683403E-2"/>
        <color rgb="FF00B050"/>
      </colorScale>
    </cfRule>
  </conditionalFormatting>
  <conditionalFormatting sqref="P24:P121">
    <cfRule type="colorScale" priority="35">
      <colorScale>
        <cfvo type="min"/>
        <cfvo type="max"/>
        <color rgb="FFFF7C80"/>
        <color theme="0" tint="-4.9989318521683403E-2"/>
      </colorScale>
    </cfRule>
  </conditionalFormatting>
  <conditionalFormatting sqref="F24:F121">
    <cfRule type="expression" dxfId="318" priority="17" stopIfTrue="1">
      <formula>H24&gt;=6.8%</formula>
    </cfRule>
    <cfRule type="expression" dxfId="317" priority="18" stopIfTrue="1">
      <formula>AND(H24&gt;0%,H24&lt;6.8%)</formula>
    </cfRule>
    <cfRule type="expression" dxfId="316" priority="19" stopIfTrue="1">
      <formula>H24=0%</formula>
    </cfRule>
    <cfRule type="expression" dxfId="315" priority="20" stopIfTrue="1">
      <formula>AND(H24&gt;-6.8%, H24&lt;0%)</formula>
    </cfRule>
    <cfRule type="expression" dxfId="314" priority="21" stopIfTrue="1">
      <formula>H24&lt;=-6.8%</formula>
    </cfRule>
  </conditionalFormatting>
  <conditionalFormatting sqref="E24:E121">
    <cfRule type="expression" dxfId="313" priority="22" stopIfTrue="1">
      <formula>H24&gt;=6.8%</formula>
    </cfRule>
    <cfRule type="expression" dxfId="312" priority="23" stopIfTrue="1">
      <formula>AND(H24&gt;0%,H24&lt;6.8%)</formula>
    </cfRule>
    <cfRule type="expression" dxfId="311" priority="24" stopIfTrue="1">
      <formula>H24=0%</formula>
    </cfRule>
    <cfRule type="expression" dxfId="310" priority="25" stopIfTrue="1">
      <formula>AND(H24&gt;-6.8%, H24&lt;0%)</formula>
    </cfRule>
    <cfRule type="expression" dxfId="309" priority="26" stopIfTrue="1">
      <formula>H24&lt;=-6.8%</formula>
    </cfRule>
  </conditionalFormatting>
  <conditionalFormatting sqref="N20">
    <cfRule type="expression" dxfId="308" priority="12" stopIfTrue="1">
      <formula>P20&gt;=6.8%</formula>
    </cfRule>
    <cfRule type="expression" dxfId="307" priority="13" stopIfTrue="1">
      <formula>AND(P20&gt;0%,P20&lt;6.8%)</formula>
    </cfRule>
    <cfRule type="expression" dxfId="306" priority="14" stopIfTrue="1">
      <formula>P20=0%</formula>
    </cfRule>
    <cfRule type="expression" dxfId="305" priority="15" stopIfTrue="1">
      <formula>AND(P20&gt;-6.8%, P20&lt;0%)</formula>
    </cfRule>
    <cfRule type="expression" dxfId="304" priority="16" stopIfTrue="1">
      <formula>P20&lt;=-6.8%</formula>
    </cfRule>
  </conditionalFormatting>
  <conditionalFormatting sqref="I55:I83 I85:I113 I115:I121">
    <cfRule type="colorScale" priority="11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J55:J83 J85:J113 J115:J121">
    <cfRule type="expression" dxfId="303" priority="7" stopIfTrue="1">
      <formula>J55&gt;2</formula>
    </cfRule>
    <cfRule type="expression" dxfId="302" priority="8" stopIfTrue="1">
      <formula>AND(J55&gt;0.5, J55&lt;1)</formula>
    </cfRule>
    <cfRule type="expression" dxfId="301" priority="9" stopIfTrue="1">
      <formula>J55&lt;=0.5</formula>
    </cfRule>
    <cfRule type="expression" dxfId="300" priority="10" stopIfTrue="1">
      <formula>AND(J55&gt;=1,J55&lt;2)</formula>
    </cfRule>
  </conditionalFormatting>
  <conditionalFormatting sqref="K55:K83 K85:K113 K115:K121">
    <cfRule type="expression" dxfId="299" priority="3" stopIfTrue="1">
      <formula>K55&gt;=2</formula>
    </cfRule>
    <cfRule type="expression" dxfId="298" priority="4" stopIfTrue="1">
      <formula>AND(K55&gt;=1,K55&lt;2)</formula>
    </cfRule>
    <cfRule type="expression" dxfId="297" priority="5" stopIfTrue="1">
      <formula>AND(K55&gt;0.5, K55&lt;1)</formula>
    </cfRule>
    <cfRule type="expression" dxfId="296" priority="6" stopIfTrue="1">
      <formula>K55&lt;=0.5</formula>
    </cfRule>
  </conditionalFormatting>
  <conditionalFormatting sqref="L55:L83 L85:L113 L115:L121">
    <cfRule type="colorScale" priority="2">
      <colorScale>
        <cfvo type="min"/>
        <cfvo type="percentile" val="50"/>
        <cfvo type="max"/>
        <color rgb="FFFF3829"/>
        <color rgb="FFFFC000"/>
        <color rgb="FF00A400"/>
      </colorScale>
    </cfRule>
  </conditionalFormatting>
  <conditionalFormatting sqref="O55:P83 O85:P113 O115:P121">
    <cfRule type="colorScale" priority="1">
      <colorScale>
        <cfvo type="min"/>
        <cfvo type="percentile" val="50"/>
        <cfvo type="max"/>
        <color rgb="FFFF3829"/>
        <color rgb="FFFFC000"/>
        <color rgb="FF00BC55"/>
      </colorScale>
    </cfRule>
  </conditionalFormatting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DFC2812-47A6-4282-8CED-9483E34372FF}">
          <x14:formula1>
            <xm:f>'Nơi chứ dữ liệu'!$I$2:$N$2</xm:f>
          </x14:formula1>
          <xm:sqref>Q24:Q53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5251-4CD2-4012-AB90-8FCCE41422FA}">
  <sheetPr codeName="Sheet10">
    <tabColor rgb="FFFF00FF"/>
  </sheetPr>
  <dimension ref="A1:V1646"/>
  <sheetViews>
    <sheetView zoomScaleNormal="100" workbookViewId="0">
      <selection activeCell="S24" sqref="S24"/>
    </sheetView>
  </sheetViews>
  <sheetFormatPr defaultRowHeight="15" x14ac:dyDescent="0.2"/>
  <cols>
    <col min="1" max="1" width="8.6640625" style="146" customWidth="1"/>
    <col min="2" max="2" width="9" style="146"/>
    <col min="3" max="3" width="13.88671875" style="146" customWidth="1"/>
    <col min="4" max="4" width="14.88671875" style="146" customWidth="1"/>
    <col min="5" max="5" width="12.33203125" style="146" customWidth="1"/>
    <col min="6" max="8" width="12.21875" style="146" customWidth="1"/>
    <col min="9" max="9" width="10.33203125" style="146" bestFit="1" customWidth="1"/>
    <col min="10" max="11" width="10.33203125" style="146" customWidth="1"/>
    <col min="12" max="13" width="11.21875" style="146" customWidth="1"/>
    <col min="14" max="14" width="9.88671875" style="146" customWidth="1"/>
    <col min="15" max="17" width="6.21875" style="146" customWidth="1"/>
    <col min="19" max="19" width="11.109375" bestFit="1" customWidth="1"/>
    <col min="20" max="20" width="11.33203125" bestFit="1" customWidth="1"/>
    <col min="21" max="21" width="18.77734375" bestFit="1" customWidth="1"/>
  </cols>
  <sheetData>
    <row r="1" spans="1:17" ht="15.75" x14ac:dyDescent="0.25">
      <c r="A1" s="332" t="s">
        <v>3140</v>
      </c>
      <c r="B1" s="332"/>
      <c r="C1" s="332"/>
      <c r="D1" s="332"/>
      <c r="E1" s="332"/>
      <c r="F1" s="332"/>
      <c r="G1"/>
      <c r="H1"/>
      <c r="I1"/>
      <c r="J1" s="150"/>
      <c r="K1"/>
      <c r="L1"/>
      <c r="M1"/>
      <c r="N1"/>
      <c r="O1"/>
      <c r="P1"/>
      <c r="Q1"/>
    </row>
    <row r="2" spans="1:17" ht="15.75" x14ac:dyDescent="0.25">
      <c r="A2" s="332" t="s">
        <v>3141</v>
      </c>
      <c r="B2" s="332"/>
      <c r="C2" s="242" t="s">
        <v>3015</v>
      </c>
      <c r="D2" s="242" t="s">
        <v>3142</v>
      </c>
      <c r="E2" s="242" t="s">
        <v>3143</v>
      </c>
      <c r="F2" s="242" t="s">
        <v>3144</v>
      </c>
      <c r="G2"/>
      <c r="H2"/>
      <c r="I2"/>
      <c r="J2"/>
      <c r="K2"/>
      <c r="L2"/>
      <c r="M2"/>
      <c r="N2"/>
      <c r="O2"/>
      <c r="P2"/>
      <c r="Q2"/>
    </row>
    <row r="3" spans="1:17" x14ac:dyDescent="0.2">
      <c r="A3" s="333">
        <v>45839</v>
      </c>
      <c r="B3" s="333"/>
      <c r="C3" s="3" t="s">
        <v>2514</v>
      </c>
      <c r="D3"/>
      <c r="E3"/>
      <c r="F3"/>
      <c r="G3"/>
      <c r="H3"/>
      <c r="I3"/>
      <c r="J3"/>
      <c r="K3"/>
      <c r="L3"/>
      <c r="M3"/>
      <c r="N3"/>
      <c r="O3"/>
      <c r="P3"/>
      <c r="Q3"/>
    </row>
    <row r="4" spans="1:17" x14ac:dyDescent="0.2">
      <c r="A4" s="333">
        <v>45872</v>
      </c>
      <c r="B4" s="333"/>
      <c r="C4" s="3" t="s">
        <v>1563</v>
      </c>
      <c r="D4"/>
      <c r="E4"/>
      <c r="F4"/>
      <c r="G4"/>
      <c r="H4"/>
      <c r="I4"/>
      <c r="J4"/>
      <c r="K4"/>
      <c r="L4"/>
      <c r="M4"/>
      <c r="N4"/>
      <c r="O4"/>
      <c r="P4"/>
      <c r="Q4"/>
    </row>
    <row r="5" spans="1:17" x14ac:dyDescent="0.2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</row>
    <row r="6" spans="1:17" x14ac:dyDescent="0.2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</row>
    <row r="7" spans="1:17" x14ac:dyDescent="0.2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</row>
    <row r="8" spans="1:17" x14ac:dyDescent="0.2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</row>
    <row r="9" spans="1:17" x14ac:dyDescent="0.2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</row>
    <row r="10" spans="1:17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</row>
    <row r="11" spans="1:17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7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7" ht="18" customHeight="1" x14ac:dyDescent="0.2">
      <c r="A13"/>
      <c r="B13"/>
      <c r="C13" s="149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7" ht="15.75" x14ac:dyDescent="0.2">
      <c r="A14" s="155" t="str">
        <f>"Tổng điểm nhóm Ngân Hàng hôm nay"&amp;" "&amp;SUM(O21:O38)&amp;" "&amp;"trên tổng"&amp;" "&amp;O19</f>
        <v>Tổng điểm nhóm Ngân Hàng hôm nay 10 trên tổng 18</v>
      </c>
      <c r="B14" s="155"/>
      <c r="C14" s="155"/>
      <c r="D14" s="155"/>
      <c r="E14" s="336" t="s">
        <v>3013</v>
      </c>
      <c r="F14" s="337"/>
      <c r="G14"/>
      <c r="H14"/>
      <c r="I14"/>
      <c r="J14"/>
      <c r="K14"/>
      <c r="L14"/>
      <c r="M14"/>
      <c r="N14"/>
      <c r="O14"/>
      <c r="P14"/>
      <c r="Q14"/>
    </row>
    <row r="15" spans="1:17" ht="15.75" x14ac:dyDescent="0.2">
      <c r="A15" s="155" t="str">
        <f>"Tổng điểm tăng nhóm Ngân Hàng  hôm nay"&amp;" "&amp;$P$19</f>
        <v>Tổng điểm tăng nhóm Ngân Hàng  hôm nay 13</v>
      </c>
      <c r="B15" s="155"/>
      <c r="C15" s="155"/>
      <c r="D15" s="155"/>
      <c r="E15" s="155" t="s">
        <v>3014</v>
      </c>
      <c r="F15" s="156" t="s">
        <v>3008</v>
      </c>
      <c r="G15"/>
      <c r="H15"/>
      <c r="I15"/>
      <c r="J15"/>
      <c r="K15"/>
      <c r="L15"/>
      <c r="M15"/>
      <c r="N15"/>
      <c r="O15"/>
      <c r="P15"/>
      <c r="Q15"/>
    </row>
    <row r="16" spans="1:17" ht="15.75" x14ac:dyDescent="0.2">
      <c r="A16" s="155" t="str">
        <f>"Tổng điểm giảm nhóm Ngân Hàng hôm nay"&amp;" "&amp;$Q$19</f>
        <v>Tổng điểm giảm nhóm Ngân Hàng hôm nay 3</v>
      </c>
      <c r="B16" s="155"/>
      <c r="C16" s="155"/>
      <c r="D16" s="155"/>
      <c r="E16" s="173">
        <f>AVERAGE(E20:E46)</f>
        <v>6.2999999999999992E-3</v>
      </c>
      <c r="F16" s="162">
        <f>AVERAGE(F20:F46)</f>
        <v>0.97610638241678682</v>
      </c>
      <c r="G16"/>
      <c r="H16"/>
      <c r="I16"/>
      <c r="J16"/>
      <c r="K16"/>
      <c r="L16"/>
      <c r="M16"/>
      <c r="N16"/>
      <c r="O16"/>
      <c r="P16"/>
      <c r="Q16"/>
    </row>
    <row r="17" spans="1:22" ht="15.75" x14ac:dyDescent="0.2">
      <c r="A17" s="155" t="str">
        <f>"Tổng điểm tham chiếu nhóm Ngân Hàng hôm nay"&amp;" "&amp;(O19-(P19+Q19))</f>
        <v>Tổng điểm tham chiếu nhóm Ngân Hàng hôm nay 2</v>
      </c>
      <c r="B17" s="155"/>
      <c r="C17" s="155"/>
      <c r="D17" s="155"/>
      <c r="E17" s="155"/>
      <c r="F17" s="156"/>
      <c r="G17"/>
      <c r="H17"/>
      <c r="I17"/>
      <c r="J17"/>
      <c r="K17"/>
      <c r="L17"/>
      <c r="M17"/>
      <c r="N17"/>
      <c r="O17"/>
      <c r="P17"/>
      <c r="Q17"/>
    </row>
    <row r="18" spans="1:22" s="86" customFormat="1" x14ac:dyDescent="0.25">
      <c r="A18" s="339" t="s">
        <v>127</v>
      </c>
      <c r="B18" s="339" t="s">
        <v>16</v>
      </c>
      <c r="C18" s="339" t="s">
        <v>2949</v>
      </c>
      <c r="D18" s="339" t="s">
        <v>2950</v>
      </c>
      <c r="E18" s="339" t="s">
        <v>2951</v>
      </c>
      <c r="F18" s="338" t="s">
        <v>2952</v>
      </c>
      <c r="G18" s="338" t="s">
        <v>2964</v>
      </c>
      <c r="H18" s="338" t="s">
        <v>2953</v>
      </c>
      <c r="I18" s="338" t="s">
        <v>2954</v>
      </c>
      <c r="J18" s="338" t="s">
        <v>2956</v>
      </c>
      <c r="K18" s="338" t="s">
        <v>2955</v>
      </c>
      <c r="L18" s="338" t="s">
        <v>2957</v>
      </c>
      <c r="M18" s="338" t="s">
        <v>2963</v>
      </c>
      <c r="N18" s="338" t="s">
        <v>2958</v>
      </c>
      <c r="O18" s="169" t="s">
        <v>2959</v>
      </c>
      <c r="P18" s="137" t="s">
        <v>2972</v>
      </c>
      <c r="Q18" s="137" t="s">
        <v>2973</v>
      </c>
      <c r="S18" s="380" t="s">
        <v>2968</v>
      </c>
      <c r="T18" s="380" t="s">
        <v>2974</v>
      </c>
      <c r="U18" s="380" t="s">
        <v>2975</v>
      </c>
    </row>
    <row r="19" spans="1:22" s="86" customFormat="1" ht="15.75" x14ac:dyDescent="0.25">
      <c r="A19" s="339"/>
      <c r="B19" s="339"/>
      <c r="C19" s="339"/>
      <c r="D19" s="339"/>
      <c r="E19" s="339"/>
      <c r="F19" s="339"/>
      <c r="G19" s="339"/>
      <c r="H19" s="339"/>
      <c r="I19" s="339"/>
      <c r="J19" s="339"/>
      <c r="K19" s="338"/>
      <c r="L19" s="338"/>
      <c r="M19" s="338"/>
      <c r="N19" s="338"/>
      <c r="O19" s="137">
        <f>COUNT(O21:O38)</f>
        <v>18</v>
      </c>
      <c r="P19" s="137">
        <f>SUM(P21:P38)</f>
        <v>13</v>
      </c>
      <c r="Q19" s="137">
        <f>SUM(Q21:Q38)</f>
        <v>3</v>
      </c>
      <c r="S19" s="376" t="s">
        <v>1864</v>
      </c>
      <c r="T19" s="381">
        <v>-2.86E-2</v>
      </c>
      <c r="U19" s="382">
        <v>0.58244170096021941</v>
      </c>
      <c r="V19" s="151"/>
    </row>
    <row r="20" spans="1:22" x14ac:dyDescent="0.2">
      <c r="A20" s="334" t="s">
        <v>2948</v>
      </c>
      <c r="B20" s="222" t="s">
        <v>168</v>
      </c>
      <c r="C20" s="223" cm="1">
        <f t="array" ref="C20:M20">tinh_du_lieu_cp(B20)</f>
        <v>17</v>
      </c>
      <c r="D20" s="224">
        <v>2606.4</v>
      </c>
      <c r="E20" s="225">
        <v>0</v>
      </c>
      <c r="F20" s="226">
        <v>1.3586994446873331</v>
      </c>
      <c r="G20" s="226">
        <v>1.0654631478377279</v>
      </c>
      <c r="H20" s="226">
        <v>0.93796344423266798</v>
      </c>
      <c r="I20" s="227">
        <v>0.38626339004410853</v>
      </c>
      <c r="J20" s="222">
        <v>12.696</v>
      </c>
      <c r="K20" s="222">
        <v>17.600000000000001</v>
      </c>
      <c r="L20" s="225">
        <v>0.33900441083805927</v>
      </c>
      <c r="M20" s="225">
        <v>-3.4090909090909172E-2</v>
      </c>
      <c r="N20" s="228"/>
      <c r="O20" s="222">
        <f>IF(E20&gt;0,1,IF(E20=0,0,-1))</f>
        <v>0</v>
      </c>
      <c r="P20" s="222">
        <f>IF(O20=1,1,0)</f>
        <v>0</v>
      </c>
      <c r="Q20" s="222">
        <f>IF(O20&lt;0,1,0)</f>
        <v>0</v>
      </c>
      <c r="S20" s="376" t="s">
        <v>2618</v>
      </c>
      <c r="T20" s="381">
        <v>-1.8200000000000001E-2</v>
      </c>
      <c r="U20" s="382">
        <v>3.8030751037701367</v>
      </c>
      <c r="V20" s="99"/>
    </row>
    <row r="21" spans="1:22" ht="15" customHeight="1" x14ac:dyDescent="0.2">
      <c r="A21" s="335"/>
      <c r="B21" s="222" t="s">
        <v>118</v>
      </c>
      <c r="C21" s="223" cm="1">
        <f t="array" ref="C21:M21">tinh_du_lieu_cp(B21)</f>
        <v>22.85</v>
      </c>
      <c r="D21" s="224">
        <v>18290.5</v>
      </c>
      <c r="E21" s="225">
        <v>1.78E-2</v>
      </c>
      <c r="F21" s="226">
        <v>1.4413002653069045</v>
      </c>
      <c r="G21" s="226">
        <v>1.0067319667440844</v>
      </c>
      <c r="H21" s="226">
        <v>1.3650526713825664</v>
      </c>
      <c r="I21" s="227">
        <v>0.1812648302898999</v>
      </c>
      <c r="J21" s="222">
        <v>19.385999999999999</v>
      </c>
      <c r="K21" s="222">
        <v>22.9</v>
      </c>
      <c r="L21" s="225">
        <v>0.17868564943773868</v>
      </c>
      <c r="M21" s="225">
        <v>-2.1834061135369938E-3</v>
      </c>
      <c r="N21" s="228"/>
      <c r="O21" s="222">
        <f>IF(E21&gt;0,1,IF(E21=0,0,-1))</f>
        <v>1</v>
      </c>
      <c r="P21" s="222">
        <f>IF(O21=1,1,0)</f>
        <v>1</v>
      </c>
      <c r="Q21" s="222">
        <f>IF(O21&lt;0,1,0)</f>
        <v>0</v>
      </c>
      <c r="S21" s="376" t="s">
        <v>2796</v>
      </c>
      <c r="T21" s="381">
        <v>-1.7000000000000001E-2</v>
      </c>
      <c r="U21" s="382">
        <v>0.41846453283607277</v>
      </c>
      <c r="V21" s="99"/>
    </row>
    <row r="22" spans="1:22" ht="15" customHeight="1" x14ac:dyDescent="0.2">
      <c r="A22" s="335"/>
      <c r="B22" s="222" t="s">
        <v>333</v>
      </c>
      <c r="C22" s="223" cm="1">
        <f t="array" ref="C22:M22">tinh_du_lieu_cp(B22)</f>
        <v>11.3</v>
      </c>
      <c r="D22" s="224">
        <v>8.5</v>
      </c>
      <c r="E22" s="225">
        <v>1.8000000000000002E-2</v>
      </c>
      <c r="F22" s="226">
        <v>0.21258189234261834</v>
      </c>
      <c r="G22" s="226">
        <v>1.0074401795752677</v>
      </c>
      <c r="H22" s="226">
        <v>0.29548088064889916</v>
      </c>
      <c r="I22" s="225">
        <v>0.2071670702179178</v>
      </c>
      <c r="J22" s="222">
        <v>10.324999999999999</v>
      </c>
      <c r="K22" s="222">
        <v>12.464</v>
      </c>
      <c r="L22" s="225">
        <v>9.4430992736077621E-2</v>
      </c>
      <c r="M22" s="225">
        <v>-9.3388960205391502E-2</v>
      </c>
      <c r="N22" s="228"/>
      <c r="O22" s="222">
        <f t="shared" ref="O22:O38" si="0">IF(E22&gt;0,1,IF(E22=0,0,-1))</f>
        <v>1</v>
      </c>
      <c r="P22" s="222">
        <f t="shared" ref="P22:P38" si="1">IF(O22=1,1,0)</f>
        <v>1</v>
      </c>
      <c r="Q22" s="222">
        <f t="shared" ref="Q22:Q38" si="2">IF(O22&lt;0,1,0)</f>
        <v>0</v>
      </c>
      <c r="S22" s="376" t="s">
        <v>111</v>
      </c>
      <c r="T22" s="381">
        <v>-1.55E-2</v>
      </c>
      <c r="U22" s="382">
        <v>0.28672985781990523</v>
      </c>
      <c r="V22" s="99"/>
    </row>
    <row r="23" spans="1:22" ht="15" customHeight="1" x14ac:dyDescent="0.2">
      <c r="A23" s="335"/>
      <c r="B23" s="222" t="s">
        <v>411</v>
      </c>
      <c r="C23" s="223" cm="1">
        <f t="array" ref="C23:M23">tinh_du_lieu_cp(B23)</f>
        <v>40.25</v>
      </c>
      <c r="D23" s="224">
        <v>2737.3</v>
      </c>
      <c r="E23" s="225">
        <v>7.4999999999999997E-3</v>
      </c>
      <c r="F23" s="226">
        <v>0.68429856119195398</v>
      </c>
      <c r="G23" s="226">
        <v>0.97822863549238726</v>
      </c>
      <c r="H23" s="226">
        <v>0.86914967930399445</v>
      </c>
      <c r="I23" s="225">
        <v>0.13391739674593225</v>
      </c>
      <c r="J23" s="222">
        <v>39.950000000000003</v>
      </c>
      <c r="K23" s="222">
        <v>45.3</v>
      </c>
      <c r="L23" s="225">
        <v>7.5093867334166996E-3</v>
      </c>
      <c r="M23" s="225">
        <v>-0.11147902869757169</v>
      </c>
      <c r="N23" s="228"/>
      <c r="O23" s="222">
        <f t="shared" si="0"/>
        <v>1</v>
      </c>
      <c r="P23" s="222">
        <f t="shared" si="1"/>
        <v>1</v>
      </c>
      <c r="Q23" s="222">
        <f t="shared" si="2"/>
        <v>0</v>
      </c>
      <c r="S23" s="376" t="s">
        <v>1582</v>
      </c>
      <c r="T23" s="381">
        <v>-1.43E-2</v>
      </c>
      <c r="U23" s="382">
        <v>0.41476746209342708</v>
      </c>
      <c r="V23" s="99"/>
    </row>
    <row r="24" spans="1:22" ht="15" customHeight="1" x14ac:dyDescent="0.2">
      <c r="A24" s="335"/>
      <c r="B24" s="222" t="s">
        <v>520</v>
      </c>
      <c r="C24" s="223" cm="1">
        <f t="array" ref="C24:M24">tinh_du_lieu_cp(B24)</f>
        <v>13.3</v>
      </c>
      <c r="D24" s="224">
        <v>4349.8999999999996</v>
      </c>
      <c r="E24" s="225">
        <v>-7.4999999999999997E-3</v>
      </c>
      <c r="F24" s="226">
        <v>1.647541886745677</v>
      </c>
      <c r="G24" s="226">
        <v>1.0102929532858276</v>
      </c>
      <c r="H24" s="226">
        <v>1.4921190292427751</v>
      </c>
      <c r="I24" s="225">
        <v>0.14754098360655746</v>
      </c>
      <c r="J24" s="222">
        <v>12.2</v>
      </c>
      <c r="K24" s="222">
        <v>14</v>
      </c>
      <c r="L24" s="225">
        <v>9.0163934426229636E-2</v>
      </c>
      <c r="M24" s="225">
        <v>-4.9999999999999947E-2</v>
      </c>
      <c r="N24" s="228"/>
      <c r="O24" s="222">
        <f t="shared" si="0"/>
        <v>-1</v>
      </c>
      <c r="P24" s="222">
        <f t="shared" si="1"/>
        <v>0</v>
      </c>
      <c r="Q24" s="222">
        <f t="shared" si="2"/>
        <v>1</v>
      </c>
      <c r="S24" s="376" t="s">
        <v>1203</v>
      </c>
      <c r="T24" s="381">
        <v>-1.3100000000000001E-2</v>
      </c>
      <c r="U24" s="382">
        <v>0.33628938373234524</v>
      </c>
      <c r="V24" s="99"/>
    </row>
    <row r="25" spans="1:22" ht="15" customHeight="1" x14ac:dyDescent="0.2">
      <c r="A25" s="335"/>
      <c r="B25" s="222" t="s">
        <v>737</v>
      </c>
      <c r="C25" s="223" cm="1">
        <f t="array" ref="C25:M25">tinh_du_lieu_cp(B25)</f>
        <v>32.6</v>
      </c>
      <c r="D25" s="224">
        <v>11189.7</v>
      </c>
      <c r="E25" s="225">
        <v>0</v>
      </c>
      <c r="F25" s="226">
        <v>1.5092921623590174</v>
      </c>
      <c r="G25" s="226">
        <v>0.99304017007944478</v>
      </c>
      <c r="H25" s="226">
        <v>1.2704523908193446</v>
      </c>
      <c r="I25" s="225">
        <v>0.11349693251533728</v>
      </c>
      <c r="J25" s="222">
        <v>32.6</v>
      </c>
      <c r="K25" s="222">
        <v>36.299999999999997</v>
      </c>
      <c r="L25" s="225">
        <v>0</v>
      </c>
      <c r="M25" s="225">
        <v>-0.10192837465564727</v>
      </c>
      <c r="N25" s="228"/>
      <c r="O25" s="222">
        <f t="shared" si="0"/>
        <v>0</v>
      </c>
      <c r="P25" s="222">
        <f t="shared" si="1"/>
        <v>0</v>
      </c>
      <c r="Q25" s="222">
        <f t="shared" si="2"/>
        <v>0</v>
      </c>
      <c r="S25" s="376" t="s">
        <v>737</v>
      </c>
      <c r="T25" s="381">
        <v>-1.23E-2</v>
      </c>
      <c r="U25" s="382">
        <v>0.91267299932803536</v>
      </c>
      <c r="V25" s="99"/>
    </row>
    <row r="26" spans="1:22" ht="15" customHeight="1" x14ac:dyDescent="0.2">
      <c r="A26" s="335"/>
      <c r="B26" s="222" t="s">
        <v>981</v>
      </c>
      <c r="C26" s="223" cm="1">
        <f t="array" ref="C26:M26">tinh_du_lieu_cp(B26)</f>
        <v>19.5</v>
      </c>
      <c r="D26" s="224">
        <v>2695.3</v>
      </c>
      <c r="E26" s="225">
        <v>7.8000000000000005E-3</v>
      </c>
      <c r="F26" s="226">
        <v>0.63395770521949246</v>
      </c>
      <c r="G26" s="226">
        <v>0.96433697692392628</v>
      </c>
      <c r="H26" s="226">
        <v>0.58808897810457872</v>
      </c>
      <c r="I26" s="225">
        <v>0.18604651162790686</v>
      </c>
      <c r="J26" s="222">
        <v>19.350000000000001</v>
      </c>
      <c r="K26" s="222">
        <v>22.95</v>
      </c>
      <c r="L26" s="225">
        <v>7.7519379844960502E-3</v>
      </c>
      <c r="M26" s="225">
        <v>-0.15032679738562088</v>
      </c>
      <c r="N26" s="228"/>
      <c r="O26" s="222">
        <f t="shared" si="0"/>
        <v>1</v>
      </c>
      <c r="P26" s="222">
        <f t="shared" si="1"/>
        <v>1</v>
      </c>
      <c r="Q26" s="222">
        <f t="shared" si="2"/>
        <v>0</v>
      </c>
      <c r="S26" s="376" t="s">
        <v>168</v>
      </c>
      <c r="T26" s="381">
        <v>-1.18E-2</v>
      </c>
      <c r="U26" s="382">
        <v>0.76858450209410445</v>
      </c>
      <c r="V26" s="99"/>
    </row>
    <row r="27" spans="1:22" ht="15" customHeight="1" x14ac:dyDescent="0.2">
      <c r="A27" s="335"/>
      <c r="B27" s="222" t="s">
        <v>1203</v>
      </c>
      <c r="C27" s="223" cm="1">
        <f t="array" ref="C27:M27">tinh_du_lieu_cp(B27)</f>
        <v>26.8</v>
      </c>
      <c r="D27" s="224">
        <v>9627</v>
      </c>
      <c r="E27" s="225">
        <v>3.7000000000000002E-3</v>
      </c>
      <c r="F27" s="226">
        <v>0.87250265816000527</v>
      </c>
      <c r="G27" s="226">
        <v>1.0385651003213758</v>
      </c>
      <c r="H27" s="226">
        <v>0.82651747131041986</v>
      </c>
      <c r="I27" s="225">
        <v>0.11646586345381535</v>
      </c>
      <c r="J27" s="222">
        <v>24.9</v>
      </c>
      <c r="K27" s="222">
        <v>27.8</v>
      </c>
      <c r="L27" s="225">
        <v>7.6305220883534225E-2</v>
      </c>
      <c r="M27" s="225">
        <v>-3.5971223021582732E-2</v>
      </c>
      <c r="N27" s="228"/>
      <c r="O27" s="222">
        <f t="shared" si="0"/>
        <v>1</v>
      </c>
      <c r="P27" s="222">
        <f t="shared" si="1"/>
        <v>1</v>
      </c>
      <c r="Q27" s="222">
        <f t="shared" si="2"/>
        <v>0</v>
      </c>
      <c r="S27" s="376" t="s">
        <v>2298</v>
      </c>
      <c r="T27" s="381">
        <v>-9.5999999999999992E-3</v>
      </c>
      <c r="U27" s="382">
        <v>0.38561452214028979</v>
      </c>
      <c r="V27" s="99"/>
    </row>
    <row r="28" spans="1:22" ht="15" customHeight="1" x14ac:dyDescent="0.2">
      <c r="A28" s="335"/>
      <c r="B28" s="222" t="s">
        <v>1461</v>
      </c>
      <c r="C28" s="223" cm="1">
        <f t="array" ref="C28:M28">tinh_du_lieu_cp(B28)</f>
        <v>12.6</v>
      </c>
      <c r="D28" s="224">
        <v>719</v>
      </c>
      <c r="E28" s="225">
        <v>2.0199999999999999E-2</v>
      </c>
      <c r="F28" s="226">
        <v>0.83570975416671422</v>
      </c>
      <c r="G28" s="226">
        <v>1.0248750332751635</v>
      </c>
      <c r="H28" s="226">
        <v>1.0265806820074721</v>
      </c>
      <c r="I28" s="225">
        <v>0.20219086520608978</v>
      </c>
      <c r="J28" s="222">
        <v>10.772</v>
      </c>
      <c r="K28" s="222">
        <v>12.95</v>
      </c>
      <c r="L28" s="225">
        <v>0.16969922020051981</v>
      </c>
      <c r="M28" s="225">
        <v>-2.7027027027027001E-2</v>
      </c>
      <c r="N28" s="228"/>
      <c r="O28" s="222">
        <f t="shared" si="0"/>
        <v>1</v>
      </c>
      <c r="P28" s="222">
        <f t="shared" si="1"/>
        <v>1</v>
      </c>
      <c r="Q28" s="222">
        <f t="shared" si="2"/>
        <v>0</v>
      </c>
      <c r="S28" s="376" t="s">
        <v>520</v>
      </c>
      <c r="T28" s="381">
        <v>-7.4999999999999997E-3</v>
      </c>
      <c r="U28" s="382">
        <v>1.647541886745677</v>
      </c>
      <c r="V28" s="99"/>
    </row>
    <row r="29" spans="1:22" ht="15" customHeight="1" x14ac:dyDescent="0.2">
      <c r="A29" s="335"/>
      <c r="B29" s="222" t="s">
        <v>1563</v>
      </c>
      <c r="C29" s="223" cm="1">
        <f t="array" ref="C29:M29">tinh_du_lieu_cp(B29)</f>
        <v>51.5</v>
      </c>
      <c r="D29" s="224">
        <v>2294.6</v>
      </c>
      <c r="E29" s="225">
        <v>-1.9E-3</v>
      </c>
      <c r="F29" s="226">
        <v>0.84937711582078701</v>
      </c>
      <c r="G29" s="226">
        <v>1.02254798068998</v>
      </c>
      <c r="H29" s="226">
        <v>1.2191700759789597</v>
      </c>
      <c r="I29" s="225">
        <v>0.29954515919428204</v>
      </c>
      <c r="J29" s="222">
        <v>43.091999999999999</v>
      </c>
      <c r="K29" s="222">
        <v>56</v>
      </c>
      <c r="L29" s="225">
        <v>0.19511742318759867</v>
      </c>
      <c r="M29" s="225">
        <v>-8.0357142857142863E-2</v>
      </c>
      <c r="N29" s="228"/>
      <c r="O29" s="222">
        <f t="shared" si="0"/>
        <v>-1</v>
      </c>
      <c r="P29" s="222">
        <f t="shared" si="1"/>
        <v>0</v>
      </c>
      <c r="Q29" s="222">
        <f t="shared" si="2"/>
        <v>1</v>
      </c>
      <c r="S29" s="376" t="s">
        <v>2514</v>
      </c>
      <c r="T29" s="381">
        <v>-6.4000000000000003E-3</v>
      </c>
      <c r="U29" s="382">
        <v>0.30067539663354981</v>
      </c>
      <c r="V29" s="99"/>
    </row>
    <row r="30" spans="1:22" ht="15" customHeight="1" x14ac:dyDescent="0.2">
      <c r="A30" s="335"/>
      <c r="B30" s="222" t="s">
        <v>1582</v>
      </c>
      <c r="C30" s="223" cm="1">
        <f t="array" ref="C30:M30">tinh_du_lieu_cp(B30)</f>
        <v>24.55</v>
      </c>
      <c r="D30" s="224">
        <v>12268.7</v>
      </c>
      <c r="E30" s="225">
        <v>4.0999999999999995E-3</v>
      </c>
      <c r="F30" s="226">
        <v>0.97552747106854654</v>
      </c>
      <c r="G30" s="226">
        <v>1.0149207489112562</v>
      </c>
      <c r="H30" s="226">
        <v>0.88905254191800931</v>
      </c>
      <c r="I30" s="225">
        <v>7.5215626585489595E-2</v>
      </c>
      <c r="J30" s="222">
        <v>23.652000000000001</v>
      </c>
      <c r="K30" s="222">
        <v>25.431000000000001</v>
      </c>
      <c r="L30" s="225">
        <v>3.7967190935227449E-2</v>
      </c>
      <c r="M30" s="225">
        <v>-3.4642758837639107E-2</v>
      </c>
      <c r="N30" s="228"/>
      <c r="O30" s="222">
        <f t="shared" si="0"/>
        <v>1</v>
      </c>
      <c r="P30" s="222">
        <f t="shared" si="1"/>
        <v>1</v>
      </c>
      <c r="Q30" s="222">
        <f t="shared" si="2"/>
        <v>0</v>
      </c>
      <c r="S30" s="376" t="s">
        <v>1563</v>
      </c>
      <c r="T30" s="381">
        <v>-5.7999999999999996E-3</v>
      </c>
      <c r="U30" s="382">
        <v>0.33812908729030422</v>
      </c>
      <c r="V30" s="99"/>
    </row>
    <row r="31" spans="1:22" ht="15" customHeight="1" x14ac:dyDescent="0.2">
      <c r="A31" s="335"/>
      <c r="B31" s="222" t="s">
        <v>1649</v>
      </c>
      <c r="C31" s="223" cm="1">
        <f t="array" ref="C31:M31">tinh_du_lieu_cp(B31)</f>
        <v>16.2</v>
      </c>
      <c r="D31" s="224">
        <v>7768</v>
      </c>
      <c r="E31" s="225">
        <v>1.2500000000000001E-2</v>
      </c>
      <c r="F31" s="226">
        <v>0.91227343433879726</v>
      </c>
      <c r="G31" s="226">
        <v>1.0133659097441794</v>
      </c>
      <c r="H31" s="226">
        <v>1.363221564452348</v>
      </c>
      <c r="I31" s="225">
        <v>0.30120481927710846</v>
      </c>
      <c r="J31" s="222">
        <v>12.45</v>
      </c>
      <c r="K31" s="222">
        <v>16.2</v>
      </c>
      <c r="L31" s="225">
        <v>0.30120481927710846</v>
      </c>
      <c r="M31" s="225">
        <v>0</v>
      </c>
      <c r="N31" s="228"/>
      <c r="O31" s="222">
        <f t="shared" si="0"/>
        <v>1</v>
      </c>
      <c r="P31" s="222">
        <f t="shared" si="1"/>
        <v>1</v>
      </c>
      <c r="Q31" s="222">
        <f t="shared" si="2"/>
        <v>0</v>
      </c>
      <c r="S31" s="376" t="s">
        <v>1800</v>
      </c>
      <c r="T31" s="381">
        <v>-4.5999999999999999E-3</v>
      </c>
      <c r="U31" s="382">
        <v>0.12299661032484846</v>
      </c>
      <c r="V31" s="99"/>
    </row>
    <row r="32" spans="1:22" ht="15" customHeight="1" x14ac:dyDescent="0.2">
      <c r="A32" s="335"/>
      <c r="B32" s="222" t="s">
        <v>1675</v>
      </c>
      <c r="C32" s="223" cm="1">
        <f t="array" ref="C32:M32">tinh_du_lieu_cp(B32)</f>
        <v>13.05</v>
      </c>
      <c r="D32" s="224">
        <v>2082.9</v>
      </c>
      <c r="E32" s="225">
        <v>7.7000000000000002E-3</v>
      </c>
      <c r="F32" s="226">
        <v>0.80454171963115639</v>
      </c>
      <c r="G32" s="226">
        <v>1.0178027641133753</v>
      </c>
      <c r="H32" s="226">
        <v>0.74410545870248646</v>
      </c>
      <c r="I32" s="225">
        <v>0.18677215752511325</v>
      </c>
      <c r="J32" s="222">
        <v>11.249000000000001</v>
      </c>
      <c r="K32" s="222">
        <v>13.35</v>
      </c>
      <c r="L32" s="225">
        <v>0.16010312027735799</v>
      </c>
      <c r="M32" s="225">
        <v>-2.247191011235947E-2</v>
      </c>
      <c r="N32" s="228"/>
      <c r="O32" s="222">
        <f t="shared" si="0"/>
        <v>1</v>
      </c>
      <c r="P32" s="222">
        <f t="shared" si="1"/>
        <v>1</v>
      </c>
      <c r="Q32" s="222">
        <f t="shared" si="2"/>
        <v>0</v>
      </c>
      <c r="S32" s="376" t="s">
        <v>110</v>
      </c>
      <c r="T32" s="381">
        <v>-4.0000000000000001E-3</v>
      </c>
      <c r="U32" s="382">
        <v>0.41338369493821869</v>
      </c>
      <c r="V32" s="99"/>
    </row>
    <row r="33" spans="1:22" ht="15" customHeight="1" x14ac:dyDescent="0.2">
      <c r="A33" s="335"/>
      <c r="B33" s="222" t="s">
        <v>1790</v>
      </c>
      <c r="C33" s="223" cm="1">
        <f t="array" ref="C33:M33">tinh_du_lieu_cp(B33)</f>
        <v>13.2</v>
      </c>
      <c r="D33" s="224">
        <v>300.2</v>
      </c>
      <c r="E33" s="225">
        <v>7.6E-3</v>
      </c>
      <c r="F33" s="226">
        <v>0.38063073447369639</v>
      </c>
      <c r="G33" s="226">
        <v>1.0191229805473128</v>
      </c>
      <c r="H33" s="226">
        <v>0.34551418541750589</v>
      </c>
      <c r="I33" s="225">
        <v>0.42857142857142855</v>
      </c>
      <c r="J33" s="222">
        <v>10.5</v>
      </c>
      <c r="K33" s="222">
        <v>15</v>
      </c>
      <c r="L33" s="225">
        <v>0.25714285714285706</v>
      </c>
      <c r="M33" s="225">
        <v>-0.12000000000000005</v>
      </c>
      <c r="N33" s="228"/>
      <c r="O33" s="222">
        <f t="shared" si="0"/>
        <v>1</v>
      </c>
      <c r="P33" s="222">
        <f t="shared" si="1"/>
        <v>1</v>
      </c>
      <c r="Q33" s="222">
        <f t="shared" si="2"/>
        <v>0</v>
      </c>
      <c r="S33" s="376" t="s">
        <v>411</v>
      </c>
      <c r="T33" s="381">
        <v>-3.8E-3</v>
      </c>
      <c r="U33" s="382">
        <v>0.44804437566277988</v>
      </c>
      <c r="V33" s="99"/>
    </row>
    <row r="34" spans="1:22" ht="15" customHeight="1" x14ac:dyDescent="0.2">
      <c r="A34" s="335"/>
      <c r="B34" s="222" t="s">
        <v>1800</v>
      </c>
      <c r="C34" s="223" cm="1">
        <f t="array" ref="C34:M34">tinh_du_lieu_cp(B34)</f>
        <v>10.95</v>
      </c>
      <c r="D34" s="224">
        <v>1474.8</v>
      </c>
      <c r="E34" s="225">
        <v>9.1999999999999998E-3</v>
      </c>
      <c r="F34" s="226">
        <v>0.31049846374287632</v>
      </c>
      <c r="G34" s="226">
        <v>1.0097143327570595</v>
      </c>
      <c r="H34" s="226">
        <v>0.43904617308207555</v>
      </c>
      <c r="I34" s="225">
        <v>0.20230005227391537</v>
      </c>
      <c r="J34" s="222">
        <v>9.5649999999999995</v>
      </c>
      <c r="K34" s="222">
        <v>11.5</v>
      </c>
      <c r="L34" s="225">
        <v>0.14479874542603238</v>
      </c>
      <c r="M34" s="225">
        <v>-4.7826086956521803E-2</v>
      </c>
      <c r="N34" s="228"/>
      <c r="O34" s="222">
        <f t="shared" si="0"/>
        <v>1</v>
      </c>
      <c r="P34" s="222">
        <f t="shared" si="1"/>
        <v>1</v>
      </c>
      <c r="Q34" s="222">
        <f t="shared" si="2"/>
        <v>0</v>
      </c>
      <c r="S34" s="376" t="s">
        <v>1649</v>
      </c>
      <c r="T34" s="381">
        <v>0</v>
      </c>
      <c r="U34" s="382">
        <v>0.2307354035213402</v>
      </c>
      <c r="V34" s="99"/>
    </row>
    <row r="35" spans="1:22" ht="15" customHeight="1" x14ac:dyDescent="0.2">
      <c r="A35" s="335"/>
      <c r="B35" s="222" t="s">
        <v>1864</v>
      </c>
      <c r="C35" s="223" cm="1">
        <f t="array" ref="C35:M35">tinh_du_lieu_cp(B35)</f>
        <v>10.5</v>
      </c>
      <c r="D35" s="224">
        <v>28.9</v>
      </c>
      <c r="E35" s="225">
        <v>0</v>
      </c>
      <c r="F35" s="226">
        <v>0.86081776333604121</v>
      </c>
      <c r="G35" s="226">
        <v>0.98878137708596259</v>
      </c>
      <c r="H35" s="226">
        <v>1.3047404063205417</v>
      </c>
      <c r="I35" s="225">
        <v>9.4605160281469897E-2</v>
      </c>
      <c r="J35" s="222">
        <v>10.231999999999999</v>
      </c>
      <c r="K35" s="222">
        <v>11.2</v>
      </c>
      <c r="L35" s="225">
        <v>2.6192337763878099E-2</v>
      </c>
      <c r="M35" s="225">
        <v>-6.2499999999999938E-2</v>
      </c>
      <c r="N35" s="228" t="s">
        <v>2961</v>
      </c>
      <c r="O35" s="222">
        <f t="shared" si="0"/>
        <v>0</v>
      </c>
      <c r="P35" s="222">
        <f t="shared" si="1"/>
        <v>0</v>
      </c>
      <c r="Q35" s="222">
        <f t="shared" si="2"/>
        <v>0</v>
      </c>
      <c r="S35" s="376" t="s">
        <v>2612</v>
      </c>
      <c r="T35" s="381">
        <v>0</v>
      </c>
      <c r="U35" s="382">
        <v>0.70942145353680219</v>
      </c>
      <c r="V35" s="99"/>
    </row>
    <row r="36" spans="1:22" ht="15" customHeight="1" x14ac:dyDescent="0.2">
      <c r="A36" s="335"/>
      <c r="B36" s="222" t="s">
        <v>2195</v>
      </c>
      <c r="C36" s="223" cm="1">
        <f t="array" ref="C36:M36">tinh_du_lieu_cp(B36)</f>
        <v>12.7</v>
      </c>
      <c r="D36" s="224">
        <v>3.8</v>
      </c>
      <c r="E36" s="225">
        <v>-1.55E-2</v>
      </c>
      <c r="F36" s="226">
        <v>0.29498941425546932</v>
      </c>
      <c r="G36" s="226">
        <v>1.0227930535455863</v>
      </c>
      <c r="H36" s="226">
        <v>0.30079155672823216</v>
      </c>
      <c r="I36" s="225">
        <v>0.17857142857142858</v>
      </c>
      <c r="J36" s="222">
        <v>11.2</v>
      </c>
      <c r="K36" s="222">
        <v>13.2</v>
      </c>
      <c r="L36" s="225">
        <v>0.13392857142857142</v>
      </c>
      <c r="M36" s="225">
        <v>-3.787878787878788E-2</v>
      </c>
      <c r="N36" s="228"/>
      <c r="O36" s="222">
        <f t="shared" si="0"/>
        <v>-1</v>
      </c>
      <c r="P36" s="222">
        <f t="shared" si="1"/>
        <v>0</v>
      </c>
      <c r="Q36" s="222">
        <f t="shared" si="2"/>
        <v>1</v>
      </c>
      <c r="S36" s="376" t="s">
        <v>2713</v>
      </c>
      <c r="T36" s="381">
        <v>0</v>
      </c>
      <c r="U36" s="382">
        <v>0.29869489681208561</v>
      </c>
      <c r="V36" s="99"/>
    </row>
    <row r="37" spans="1:22" ht="15" customHeight="1" x14ac:dyDescent="0.2">
      <c r="A37" s="335"/>
      <c r="B37" s="222" t="s">
        <v>110</v>
      </c>
      <c r="C37" s="223" cm="1">
        <f t="array" ref="C37:M37">tinh_du_lieu_cp(B37)</f>
        <v>12.8</v>
      </c>
      <c r="D37" s="224">
        <v>43115.6</v>
      </c>
      <c r="E37" s="225">
        <v>1.5900000000000001E-2</v>
      </c>
      <c r="F37" s="226">
        <v>0.91803639168607587</v>
      </c>
      <c r="G37" s="226">
        <v>0.96818207235922404</v>
      </c>
      <c r="H37" s="226">
        <v>0.92847480512134539</v>
      </c>
      <c r="I37" s="225">
        <v>0.21428571428571438</v>
      </c>
      <c r="J37" s="222">
        <v>12.6</v>
      </c>
      <c r="K37" s="222">
        <v>15.3</v>
      </c>
      <c r="L37" s="225">
        <v>1.5873015873015959E-2</v>
      </c>
      <c r="M37" s="225">
        <v>-0.16339869281045752</v>
      </c>
      <c r="N37" s="228"/>
      <c r="O37" s="222">
        <f t="shared" si="0"/>
        <v>1</v>
      </c>
      <c r="P37" s="222">
        <f t="shared" si="1"/>
        <v>1</v>
      </c>
      <c r="Q37" s="222">
        <f t="shared" si="2"/>
        <v>0</v>
      </c>
      <c r="S37" s="376" t="s">
        <v>981</v>
      </c>
      <c r="T37" s="381">
        <v>2.5999999999999999E-3</v>
      </c>
      <c r="U37" s="382">
        <v>0.37150402060628357</v>
      </c>
      <c r="V37" s="99"/>
    </row>
    <row r="38" spans="1:22" x14ac:dyDescent="0.2">
      <c r="A38" s="335"/>
      <c r="B38" s="222" t="s">
        <v>2298</v>
      </c>
      <c r="C38" s="223" cm="1">
        <f t="array" ref="C38:M38">tinh_du_lieu_cp(B38)</f>
        <v>15.9</v>
      </c>
      <c r="D38" s="224">
        <v>2117.1</v>
      </c>
      <c r="E38" s="225">
        <v>1.6E-2</v>
      </c>
      <c r="F38" s="226">
        <v>0.8881740032494031</v>
      </c>
      <c r="G38" s="226">
        <v>1.0240574679394467</v>
      </c>
      <c r="H38" s="226">
        <v>0.93799428457499834</v>
      </c>
      <c r="I38" s="225">
        <v>0.20896834701055103</v>
      </c>
      <c r="J38" s="222">
        <v>13.648</v>
      </c>
      <c r="K38" s="222">
        <v>16.5</v>
      </c>
      <c r="L38" s="225">
        <v>0.16500586166471284</v>
      </c>
      <c r="M38" s="225">
        <v>-3.6363636363636341E-2</v>
      </c>
      <c r="N38" s="228"/>
      <c r="O38" s="222">
        <f t="shared" si="0"/>
        <v>1</v>
      </c>
      <c r="P38" s="222">
        <f t="shared" si="1"/>
        <v>1</v>
      </c>
      <c r="Q38" s="222">
        <f t="shared" si="2"/>
        <v>0</v>
      </c>
      <c r="S38" s="376" t="s">
        <v>123</v>
      </c>
      <c r="T38" s="381">
        <v>3.4000000000000002E-3</v>
      </c>
      <c r="U38" s="382">
        <v>0.45847017376246491</v>
      </c>
    </row>
    <row r="39" spans="1:22" x14ac:dyDescent="0.2">
      <c r="A39"/>
      <c r="B39" s="222" t="s">
        <v>2315</v>
      </c>
      <c r="C39" s="223" cm="1">
        <f t="array" ref="C39:M39">tinh_du_lieu_cp(B39)</f>
        <v>70.400000000000006</v>
      </c>
      <c r="D39" s="224">
        <v>4375.1000000000004</v>
      </c>
      <c r="E39" s="225">
        <v>2.7699999999999999E-2</v>
      </c>
      <c r="F39" s="226">
        <v>1.0356447319436106</v>
      </c>
      <c r="G39" s="226">
        <v>0.98024174802417496</v>
      </c>
      <c r="H39" s="226">
        <v>1.4950621362098622</v>
      </c>
      <c r="I39" s="225">
        <v>0.19999999999999996</v>
      </c>
      <c r="J39" s="222">
        <v>64</v>
      </c>
      <c r="K39" s="222">
        <v>76.8</v>
      </c>
      <c r="L39" s="225">
        <v>0.10000000000000009</v>
      </c>
      <c r="M39" s="225">
        <v>-8.3333333333333232E-2</v>
      </c>
      <c r="N39" s="228"/>
      <c r="O39" s="222">
        <f t="shared" ref="O39:O46" si="3">IF(E39&gt;0,1,IF(E39=0,0,-1))</f>
        <v>1</v>
      </c>
      <c r="P39" s="222">
        <f t="shared" ref="P39:P46" si="4">IF(O39=1,1,0)</f>
        <v>1</v>
      </c>
      <c r="Q39" s="222">
        <f t="shared" ref="Q39:Q46" si="5">IF(O39&lt;0,1,0)</f>
        <v>0</v>
      </c>
      <c r="S39" s="376" t="s">
        <v>1675</v>
      </c>
      <c r="T39" s="381">
        <v>3.9000000000000003E-3</v>
      </c>
      <c r="U39" s="382">
        <v>0.34502886212550088</v>
      </c>
    </row>
    <row r="40" spans="1:22" x14ac:dyDescent="0.2">
      <c r="A40"/>
      <c r="B40" s="222" t="s">
        <v>111</v>
      </c>
      <c r="C40" s="223" cm="1">
        <f t="array" ref="C40:M40">tinh_du_lieu_cp(B40)</f>
        <v>32.200000000000003</v>
      </c>
      <c r="D40" s="224">
        <v>11243.7</v>
      </c>
      <c r="E40" s="225">
        <v>-4.5999999999999999E-3</v>
      </c>
      <c r="F40" s="226">
        <v>0.84409972987323556</v>
      </c>
      <c r="G40" s="226">
        <v>1.0070853014726311</v>
      </c>
      <c r="H40" s="226">
        <v>0.85343659587818499</v>
      </c>
      <c r="I40" s="225">
        <v>0.11183144246353308</v>
      </c>
      <c r="J40" s="222">
        <v>30.85</v>
      </c>
      <c r="K40" s="222">
        <v>34.299999999999997</v>
      </c>
      <c r="L40" s="225">
        <v>4.3760129659643481E-2</v>
      </c>
      <c r="M40" s="225">
        <v>-6.1224489795918206E-2</v>
      </c>
      <c r="N40" s="228"/>
      <c r="O40" s="222">
        <f t="shared" si="3"/>
        <v>-1</v>
      </c>
      <c r="P40" s="222">
        <f t="shared" si="4"/>
        <v>0</v>
      </c>
      <c r="Q40" s="222">
        <f t="shared" si="5"/>
        <v>1</v>
      </c>
      <c r="S40" s="376" t="s">
        <v>118</v>
      </c>
      <c r="T40" s="381">
        <v>6.7000000000000002E-3</v>
      </c>
      <c r="U40" s="382">
        <v>0.51973405007780449</v>
      </c>
    </row>
    <row r="41" spans="1:22" x14ac:dyDescent="0.2">
      <c r="A41"/>
      <c r="B41" s="222" t="s">
        <v>2514</v>
      </c>
      <c r="C41" s="223" cm="1">
        <f t="array" ref="C41:M41">tinh_du_lieu_cp(B41)</f>
        <v>15.5</v>
      </c>
      <c r="D41" s="224">
        <v>7153.7</v>
      </c>
      <c r="E41" s="225">
        <v>-3.2000000000000002E-3</v>
      </c>
      <c r="F41" s="226">
        <v>0.5883850137748462</v>
      </c>
      <c r="G41" s="226">
        <v>0.98318856822639422</v>
      </c>
      <c r="H41" s="226">
        <v>0.80335174409355237</v>
      </c>
      <c r="I41" s="225">
        <v>9.1205211726384391E-2</v>
      </c>
      <c r="J41" s="222">
        <v>15.35</v>
      </c>
      <c r="K41" s="222">
        <v>16.75</v>
      </c>
      <c r="L41" s="225">
        <v>9.7719869706840625E-3</v>
      </c>
      <c r="M41" s="225">
        <v>-7.4626865671641784E-2</v>
      </c>
      <c r="N41" s="228"/>
      <c r="O41" s="222">
        <f t="shared" si="3"/>
        <v>-1</v>
      </c>
      <c r="P41" s="222">
        <f t="shared" si="4"/>
        <v>0</v>
      </c>
      <c r="Q41" s="222">
        <f t="shared" si="5"/>
        <v>1</v>
      </c>
      <c r="S41" s="383" t="s">
        <v>1461</v>
      </c>
      <c r="T41" s="384">
        <v>1.21E-2</v>
      </c>
      <c r="U41" s="385">
        <v>0.52344939188600903</v>
      </c>
    </row>
    <row r="42" spans="1:22" x14ac:dyDescent="0.2">
      <c r="A42"/>
      <c r="B42" s="222" t="s">
        <v>2612</v>
      </c>
      <c r="C42" s="223" cm="1">
        <f t="array" ref="C42:M42">tinh_du_lieu_cp(B42)</f>
        <v>10.7</v>
      </c>
      <c r="D42" s="224">
        <v>997.5</v>
      </c>
      <c r="E42" s="225">
        <v>9.3999999999999986E-3</v>
      </c>
      <c r="F42" s="226">
        <v>0.93240538921392413</v>
      </c>
      <c r="G42" s="226">
        <v>0.98778252901649355</v>
      </c>
      <c r="H42" s="226">
        <v>1.0005851375073143</v>
      </c>
      <c r="I42" s="225">
        <v>0.14851485148514851</v>
      </c>
      <c r="J42" s="222">
        <v>10.1</v>
      </c>
      <c r="K42" s="222">
        <v>11.6</v>
      </c>
      <c r="L42" s="225">
        <v>5.9405940594059375E-2</v>
      </c>
      <c r="M42" s="225">
        <v>-7.7586206896551754E-2</v>
      </c>
      <c r="N42" s="228"/>
      <c r="O42" s="222">
        <f t="shared" si="3"/>
        <v>1</v>
      </c>
      <c r="P42" s="222">
        <f t="shared" si="4"/>
        <v>1</v>
      </c>
      <c r="Q42" s="222">
        <f t="shared" si="5"/>
        <v>0</v>
      </c>
      <c r="S42" s="376" t="s">
        <v>1790</v>
      </c>
      <c r="T42" s="381">
        <v>1.5300000000000001E-2</v>
      </c>
      <c r="U42" s="382">
        <v>0.14216374643833141</v>
      </c>
    </row>
    <row r="43" spans="1:22" x14ac:dyDescent="0.2">
      <c r="A43"/>
      <c r="B43" s="222" t="s">
        <v>2618</v>
      </c>
      <c r="C43" s="223" cm="1">
        <f t="array" ref="C43:M43">tinh_du_lieu_cp(B43)</f>
        <v>13.6</v>
      </c>
      <c r="D43" s="224">
        <v>398.3</v>
      </c>
      <c r="E43" s="225">
        <v>-7.3000000000000001E-3</v>
      </c>
      <c r="F43" s="226">
        <v>4.097489442509314</v>
      </c>
      <c r="G43" s="226">
        <v>1.0572398288807405</v>
      </c>
      <c r="H43" s="226">
        <v>2.6367064669810385</v>
      </c>
      <c r="I43" s="225">
        <v>0.382581491573317</v>
      </c>
      <c r="J43" s="222">
        <v>9.9090000000000007</v>
      </c>
      <c r="K43" s="222">
        <v>13.7</v>
      </c>
      <c r="L43" s="225">
        <v>0.37248965586840233</v>
      </c>
      <c r="M43" s="225">
        <v>-7.2992700729926753E-3</v>
      </c>
      <c r="N43" s="228"/>
      <c r="O43" s="222">
        <f t="shared" si="3"/>
        <v>-1</v>
      </c>
      <c r="P43" s="222">
        <f t="shared" si="4"/>
        <v>0</v>
      </c>
      <c r="Q43" s="222">
        <f t="shared" si="5"/>
        <v>1</v>
      </c>
      <c r="S43" s="376" t="s">
        <v>2195</v>
      </c>
      <c r="T43" s="381">
        <v>2.3300000000000001E-2</v>
      </c>
      <c r="U43" s="382">
        <v>0.26431095406360422</v>
      </c>
    </row>
    <row r="44" spans="1:22" x14ac:dyDescent="0.2">
      <c r="A44"/>
      <c r="B44" s="222" t="s">
        <v>123</v>
      </c>
      <c r="C44" s="223" cm="1">
        <f t="array" ref="C44:M44">tinh_du_lieu_cp(B44)</f>
        <v>59.2</v>
      </c>
      <c r="D44" s="224">
        <v>2829.2</v>
      </c>
      <c r="E44" s="225">
        <v>5.1000000000000004E-3</v>
      </c>
      <c r="F44" s="226">
        <v>0.73382441711310653</v>
      </c>
      <c r="G44" s="226">
        <v>0.98498542994023819</v>
      </c>
      <c r="H44" s="226">
        <v>0.87309310483165825</v>
      </c>
      <c r="I44" s="225">
        <v>0.10186757215619707</v>
      </c>
      <c r="J44" s="222">
        <v>58.9</v>
      </c>
      <c r="K44" s="222">
        <v>64.900000000000006</v>
      </c>
      <c r="L44" s="225">
        <v>5.0933786078099196E-3</v>
      </c>
      <c r="M44" s="225">
        <v>-8.7827426810477699E-2</v>
      </c>
      <c r="N44" s="228"/>
      <c r="O44" s="222">
        <f t="shared" si="3"/>
        <v>1</v>
      </c>
      <c r="P44" s="222">
        <f t="shared" si="4"/>
        <v>1</v>
      </c>
      <c r="Q44" s="222">
        <f t="shared" si="5"/>
        <v>0</v>
      </c>
      <c r="S44" s="376" t="s">
        <v>2315</v>
      </c>
      <c r="T44" s="381">
        <v>2.4799999999999999E-2</v>
      </c>
      <c r="U44" s="382">
        <v>0.54589518794773706</v>
      </c>
    </row>
    <row r="45" spans="1:22" x14ac:dyDescent="0.2">
      <c r="A45"/>
      <c r="B45" s="222" t="s">
        <v>2713</v>
      </c>
      <c r="C45" s="223" cm="1">
        <f t="array" ref="C45:M45">tinh_du_lieu_cp(B45)</f>
        <v>15.75</v>
      </c>
      <c r="D45" s="224">
        <v>6137.2</v>
      </c>
      <c r="E45" s="225">
        <v>1.61E-2</v>
      </c>
      <c r="F45" s="226">
        <v>0.66497310427228851</v>
      </c>
      <c r="G45" s="226">
        <v>0.98628854883242079</v>
      </c>
      <c r="H45" s="226">
        <v>0.81441670979471048</v>
      </c>
      <c r="I45" s="225">
        <v>7.7419354838709625E-2</v>
      </c>
      <c r="J45" s="222">
        <v>15.5</v>
      </c>
      <c r="K45" s="222">
        <v>16.7</v>
      </c>
      <c r="L45" s="225">
        <v>1.6129032258064516E-2</v>
      </c>
      <c r="M45" s="225">
        <v>-5.6886227544910142E-2</v>
      </c>
      <c r="N45" s="228"/>
      <c r="O45" s="222">
        <f t="shared" si="3"/>
        <v>1</v>
      </c>
      <c r="P45" s="222">
        <f t="shared" si="4"/>
        <v>1</v>
      </c>
      <c r="Q45" s="222">
        <f t="shared" si="5"/>
        <v>0</v>
      </c>
      <c r="S45" s="376" t="s">
        <v>333</v>
      </c>
      <c r="T45" s="381">
        <v>2.7000000000000003E-2</v>
      </c>
      <c r="U45" s="382">
        <v>0.10055292683289131</v>
      </c>
    </row>
    <row r="46" spans="1:22" x14ac:dyDescent="0.2">
      <c r="A46"/>
      <c r="B46" s="222" t="s">
        <v>2796</v>
      </c>
      <c r="C46" s="223" cm="1">
        <f t="array" ref="C46:M46">tinh_du_lieu_cp(B46)</f>
        <v>26.5</v>
      </c>
      <c r="D46" s="224">
        <v>14462.9</v>
      </c>
      <c r="E46" s="225">
        <v>3.8E-3</v>
      </c>
      <c r="F46" s="226">
        <v>1.0672996547703544</v>
      </c>
      <c r="G46" s="226">
        <v>1.0065724521170065</v>
      </c>
      <c r="H46" s="226">
        <v>1.005040408977302</v>
      </c>
      <c r="I46" s="225">
        <v>9.9531249999999932E-2</v>
      </c>
      <c r="J46" s="222">
        <v>25.6</v>
      </c>
      <c r="K46" s="222">
        <v>28.148</v>
      </c>
      <c r="L46" s="225">
        <v>3.5156249999999944E-2</v>
      </c>
      <c r="M46" s="225">
        <v>-5.8547676566718762E-2</v>
      </c>
      <c r="N46" s="228"/>
      <c r="O46" s="222">
        <f t="shared" si="3"/>
        <v>1</v>
      </c>
      <c r="P46" s="222">
        <f t="shared" si="4"/>
        <v>1</v>
      </c>
      <c r="Q46" s="222">
        <f t="shared" si="5"/>
        <v>0</v>
      </c>
      <c r="S46" s="376" t="s">
        <v>2969</v>
      </c>
      <c r="T46" s="381">
        <v>-5.3399999999999996E-2</v>
      </c>
      <c r="U46" s="382">
        <v>15.689372183980767</v>
      </c>
    </row>
    <row r="47" spans="1:22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1:22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</sheetData>
  <mergeCells count="20">
    <mergeCell ref="H18:H19"/>
    <mergeCell ref="A18:A19"/>
    <mergeCell ref="B18:B19"/>
    <mergeCell ref="C18:C19"/>
    <mergeCell ref="D18:D19"/>
    <mergeCell ref="E18:E19"/>
    <mergeCell ref="F18:F19"/>
    <mergeCell ref="G18:G19"/>
    <mergeCell ref="N18:N19"/>
    <mergeCell ref="J18:J19"/>
    <mergeCell ref="K18:K19"/>
    <mergeCell ref="I18:I19"/>
    <mergeCell ref="L18:L19"/>
    <mergeCell ref="M18:M19"/>
    <mergeCell ref="A1:F1"/>
    <mergeCell ref="A2:B2"/>
    <mergeCell ref="A3:B3"/>
    <mergeCell ref="A20:A38"/>
    <mergeCell ref="E14:F14"/>
    <mergeCell ref="A4:B4"/>
  </mergeCells>
  <conditionalFormatting sqref="A15:F17 A14:E14">
    <cfRule type="expression" dxfId="287" priority="337" stopIfTrue="1">
      <formula>A14="giảm"</formula>
    </cfRule>
    <cfRule type="expression" dxfId="286" priority="338" stopIfTrue="1">
      <formula>A14="tăng"</formula>
    </cfRule>
  </conditionalFormatting>
  <conditionalFormatting sqref="F22:F46">
    <cfRule type="colorScale" priority="51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2:I46">
    <cfRule type="colorScale" priority="42">
      <colorScale>
        <cfvo type="min"/>
        <cfvo type="percentile" val="50"/>
        <cfvo type="max"/>
        <color rgb="FFFF3829"/>
        <color rgb="FFFFC000"/>
        <color rgb="FF00A400"/>
      </colorScale>
    </cfRule>
  </conditionalFormatting>
  <conditionalFormatting sqref="L22:M38">
    <cfRule type="colorScale" priority="41">
      <colorScale>
        <cfvo type="min"/>
        <cfvo type="percentile" val="50"/>
        <cfvo type="max"/>
        <color rgb="FFFF3829"/>
        <color rgb="FFFFC000"/>
        <color rgb="FF00BC55"/>
      </colorScale>
    </cfRule>
  </conditionalFormatting>
  <conditionalFormatting sqref="I20:I46">
    <cfRule type="colorScale" priority="25">
      <colorScale>
        <cfvo type="min"/>
        <cfvo type="max"/>
        <color theme="0" tint="-4.9989318521683403E-2"/>
        <color rgb="FF00B050"/>
      </colorScale>
    </cfRule>
  </conditionalFormatting>
  <conditionalFormatting sqref="L20:L46">
    <cfRule type="colorScale" priority="24">
      <colorScale>
        <cfvo type="min"/>
        <cfvo type="max"/>
        <color theme="0" tint="-4.9989318521683403E-2"/>
        <color rgb="FF00B050"/>
      </colorScale>
    </cfRule>
  </conditionalFormatting>
  <conditionalFormatting sqref="M20:M46">
    <cfRule type="colorScale" priority="23">
      <colorScale>
        <cfvo type="min"/>
        <cfvo type="max"/>
        <color rgb="FFFF7C80"/>
        <color theme="0" tint="-4.9989318521683403E-2"/>
      </colorScale>
    </cfRule>
  </conditionalFormatting>
  <conditionalFormatting sqref="N20:N46">
    <cfRule type="colorScale" priority="22">
      <colorScale>
        <cfvo type="min"/>
        <cfvo type="max"/>
        <color theme="0" tint="-4.9989318521683403E-2"/>
        <color rgb="FFFF0000"/>
      </colorScale>
    </cfRule>
  </conditionalFormatting>
  <conditionalFormatting sqref="C20:C46">
    <cfRule type="expression" dxfId="285" priority="7" stopIfTrue="1">
      <formula>E20&gt;=6.8%</formula>
    </cfRule>
    <cfRule type="expression" dxfId="284" priority="8" stopIfTrue="1">
      <formula>AND(E20&gt;0%,E20&lt;6.8%)</formula>
    </cfRule>
    <cfRule type="expression" dxfId="283" priority="9" stopIfTrue="1">
      <formula>E20=0%</formula>
    </cfRule>
    <cfRule type="expression" dxfId="282" priority="10" stopIfTrue="1">
      <formula>AND(E20&gt;-6.8%, E20&lt;0%)</formula>
    </cfRule>
    <cfRule type="expression" dxfId="281" priority="11" stopIfTrue="1">
      <formula>E20&lt;=-6.8%</formula>
    </cfRule>
  </conditionalFormatting>
  <conditionalFormatting sqref="B20:B46">
    <cfRule type="expression" dxfId="280" priority="17" stopIfTrue="1">
      <formula>E20&gt;=6.8%</formula>
    </cfRule>
    <cfRule type="expression" dxfId="279" priority="18" stopIfTrue="1">
      <formula>AND(E20&gt;0%,E20&lt;6.8%)</formula>
    </cfRule>
    <cfRule type="expression" dxfId="278" priority="19" stopIfTrue="1">
      <formula>E20=0%</formula>
    </cfRule>
    <cfRule type="expression" dxfId="277" priority="20" stopIfTrue="1">
      <formula>AND(E20&gt;-6.8%, E20&lt;0%)</formula>
    </cfRule>
    <cfRule type="expression" dxfId="276" priority="21" stopIfTrue="1">
      <formula>E20&lt;=-6.8%</formula>
    </cfRule>
  </conditionalFormatting>
  <conditionalFormatting sqref="L39:M46">
    <cfRule type="colorScale" priority="1">
      <colorScale>
        <cfvo type="min"/>
        <cfvo type="percentile" val="50"/>
        <cfvo type="max"/>
        <color rgb="FFFF3829"/>
        <color rgb="FFFFC000"/>
        <color rgb="FF00BC55"/>
      </colorScale>
    </cfRule>
  </conditionalFormatting>
  <pageMargins left="0.7" right="0.7" top="0.75" bottom="0.75" header="0.3" footer="0.3"/>
  <pageSetup paperSize="9" scale="37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A275D50-35C0-4763-BAF0-48C693102BE2}">
          <x14:formula1>
            <xm:f>'Nơi chứ dữ liệu'!$I$2:$N$2</xm:f>
          </x14:formula1>
          <xm:sqref>N21:N38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9F19B-0FB0-45A4-9084-EB2DBAFC7D09}">
  <sheetPr codeName="Sheet22">
    <tabColor rgb="FFC00000"/>
  </sheetPr>
  <dimension ref="A1:V1623"/>
  <sheetViews>
    <sheetView topLeftCell="B1" zoomScaleNormal="100" workbookViewId="0">
      <selection activeCell="S12" sqref="S12"/>
    </sheetView>
  </sheetViews>
  <sheetFormatPr defaultRowHeight="15" x14ac:dyDescent="0.2"/>
  <cols>
    <col min="1" max="1" width="8.6640625" style="146" customWidth="1"/>
    <col min="2" max="2" width="8.88671875" style="146"/>
    <col min="3" max="3" width="13.88671875" style="146" customWidth="1"/>
    <col min="4" max="4" width="14.88671875" style="146" customWidth="1"/>
    <col min="5" max="5" width="12.33203125" style="146" customWidth="1"/>
    <col min="6" max="8" width="12.21875" style="146" customWidth="1"/>
    <col min="9" max="9" width="10.33203125" style="146" bestFit="1" customWidth="1"/>
    <col min="10" max="11" width="10.33203125" style="146" customWidth="1"/>
    <col min="12" max="13" width="11.21875" style="146" customWidth="1"/>
    <col min="14" max="14" width="9.88671875" style="146" customWidth="1"/>
    <col min="15" max="17" width="6.21875" style="146" customWidth="1"/>
    <col min="19" max="19" width="11.109375" bestFit="1" customWidth="1"/>
    <col min="20" max="20" width="11.33203125" bestFit="1" customWidth="1"/>
    <col min="21" max="21" width="18.77734375" bestFit="1" customWidth="1"/>
  </cols>
  <sheetData>
    <row r="1" spans="1:17" ht="15.75" x14ac:dyDescent="0.25">
      <c r="A1" s="332" t="s">
        <v>3140</v>
      </c>
      <c r="B1" s="332"/>
      <c r="C1" s="332"/>
      <c r="D1" s="332"/>
      <c r="E1" s="332"/>
      <c r="F1" s="332"/>
      <c r="G1"/>
      <c r="H1"/>
      <c r="I1"/>
      <c r="J1" s="150"/>
      <c r="K1"/>
      <c r="L1"/>
      <c r="M1"/>
      <c r="N1"/>
      <c r="O1"/>
      <c r="P1"/>
      <c r="Q1"/>
    </row>
    <row r="2" spans="1:17" ht="15.75" x14ac:dyDescent="0.25">
      <c r="A2" s="332" t="s">
        <v>3141</v>
      </c>
      <c r="B2" s="332"/>
      <c r="C2" s="242" t="s">
        <v>3015</v>
      </c>
      <c r="D2" s="242" t="s">
        <v>3142</v>
      </c>
      <c r="E2" s="242" t="s">
        <v>3143</v>
      </c>
      <c r="F2" s="242" t="s">
        <v>3144</v>
      </c>
      <c r="G2"/>
      <c r="H2"/>
      <c r="I2"/>
      <c r="J2"/>
      <c r="K2"/>
      <c r="L2"/>
      <c r="M2"/>
      <c r="N2"/>
      <c r="O2"/>
      <c r="P2"/>
      <c r="Q2"/>
    </row>
    <row r="3" spans="1:17" x14ac:dyDescent="0.2">
      <c r="A3" s="333">
        <v>45839</v>
      </c>
      <c r="B3" s="333"/>
      <c r="C3" s="3" t="s">
        <v>2514</v>
      </c>
      <c r="D3"/>
      <c r="E3"/>
      <c r="F3"/>
      <c r="G3"/>
      <c r="H3"/>
      <c r="I3"/>
      <c r="J3"/>
      <c r="K3"/>
      <c r="L3"/>
      <c r="M3"/>
      <c r="N3"/>
      <c r="O3"/>
      <c r="P3"/>
      <c r="Q3"/>
    </row>
    <row r="4" spans="1:17" x14ac:dyDescent="0.2">
      <c r="A4" s="333">
        <v>45872</v>
      </c>
      <c r="B4" s="333"/>
      <c r="C4" s="3" t="s">
        <v>1563</v>
      </c>
      <c r="D4"/>
      <c r="E4"/>
      <c r="F4"/>
      <c r="G4"/>
      <c r="H4"/>
      <c r="I4"/>
      <c r="J4"/>
      <c r="K4"/>
      <c r="L4"/>
      <c r="M4"/>
      <c r="N4"/>
      <c r="O4"/>
      <c r="P4"/>
      <c r="Q4"/>
    </row>
    <row r="5" spans="1:17" x14ac:dyDescent="0.2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</row>
    <row r="6" spans="1:17" x14ac:dyDescent="0.2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</row>
    <row r="7" spans="1:17" x14ac:dyDescent="0.2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</row>
    <row r="8" spans="1:17" x14ac:dyDescent="0.2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</row>
    <row r="9" spans="1:17" x14ac:dyDescent="0.2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</row>
    <row r="10" spans="1:17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</row>
    <row r="11" spans="1:17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7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7" ht="18" customHeight="1" x14ac:dyDescent="0.2">
      <c r="A13"/>
      <c r="B13"/>
      <c r="C13" s="149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7" ht="15.75" x14ac:dyDescent="0.2">
      <c r="A14" s="155" t="str">
        <f>"Tổng điểm nhóm Ngân Hàng hôm nay"&amp;" "&amp;SUM(O21:O23)&amp;" "&amp;"trên tổng"&amp;" "&amp;O19</f>
        <v>Tổng điểm nhóm Ngân Hàng hôm nay -3 trên tổng 3</v>
      </c>
      <c r="B14" s="155"/>
      <c r="C14" s="155"/>
      <c r="D14" s="155"/>
      <c r="E14" s="336" t="s">
        <v>3013</v>
      </c>
      <c r="F14" s="337"/>
      <c r="G14"/>
      <c r="H14"/>
      <c r="I14"/>
      <c r="J14"/>
      <c r="K14"/>
      <c r="L14"/>
      <c r="M14"/>
      <c r="N14"/>
      <c r="O14"/>
      <c r="P14"/>
      <c r="Q14"/>
    </row>
    <row r="15" spans="1:17" ht="15.75" x14ac:dyDescent="0.2">
      <c r="A15" s="155" t="str">
        <f>"Tổng điểm tăng nhóm Ngân Hàng  hôm nay"&amp;" "&amp;$P$19</f>
        <v>Tổng điểm tăng nhóm Ngân Hàng  hôm nay 0</v>
      </c>
      <c r="B15" s="155"/>
      <c r="C15" s="155"/>
      <c r="D15" s="155"/>
      <c r="E15" s="155" t="s">
        <v>3014</v>
      </c>
      <c r="F15" s="156" t="s">
        <v>3008</v>
      </c>
      <c r="G15"/>
      <c r="H15"/>
      <c r="I15"/>
      <c r="J15"/>
      <c r="K15"/>
      <c r="L15"/>
      <c r="M15"/>
      <c r="N15"/>
      <c r="O15"/>
      <c r="P15"/>
      <c r="Q15"/>
    </row>
    <row r="16" spans="1:17" ht="15.75" x14ac:dyDescent="0.2">
      <c r="A16" s="155" t="str">
        <f>"Tổng điểm giảm nhóm Ngân Hàng hôm nay"&amp;" "&amp;$Q$19</f>
        <v>Tổng điểm giảm nhóm Ngân Hàng hôm nay 3</v>
      </c>
      <c r="B16" s="155"/>
      <c r="C16" s="155"/>
      <c r="D16" s="155"/>
      <c r="E16" s="173">
        <f>AVERAGE(E20:E23)</f>
        <v>-1.29E-2</v>
      </c>
      <c r="F16" s="162">
        <f>AVERAGE(F20:F23)</f>
        <v>0.84937769123800111</v>
      </c>
      <c r="G16"/>
      <c r="H16"/>
      <c r="I16"/>
      <c r="J16"/>
      <c r="K16"/>
      <c r="L16"/>
      <c r="M16"/>
      <c r="N16"/>
      <c r="O16"/>
      <c r="P16"/>
      <c r="Q16"/>
    </row>
    <row r="17" spans="1:22" ht="15.75" x14ac:dyDescent="0.2">
      <c r="A17" s="155" t="str">
        <f>"Tổng điểm tham chiếu nhóm Ngân Hàng hôm nay"&amp;" "&amp;(O19-(P19+Q19))</f>
        <v>Tổng điểm tham chiếu nhóm Ngân Hàng hôm nay 0</v>
      </c>
      <c r="B17" s="155"/>
      <c r="C17" s="155"/>
      <c r="D17" s="155"/>
      <c r="E17" s="155"/>
      <c r="F17" s="156"/>
      <c r="G17"/>
      <c r="H17"/>
      <c r="I17"/>
      <c r="J17"/>
      <c r="K17"/>
      <c r="L17"/>
      <c r="M17"/>
      <c r="N17"/>
      <c r="O17"/>
      <c r="P17"/>
      <c r="Q17"/>
    </row>
    <row r="18" spans="1:22" s="86" customFormat="1" x14ac:dyDescent="0.25">
      <c r="A18" s="339" t="s">
        <v>127</v>
      </c>
      <c r="B18" s="339" t="s">
        <v>16</v>
      </c>
      <c r="C18" s="339" t="s">
        <v>2949</v>
      </c>
      <c r="D18" s="339" t="s">
        <v>2950</v>
      </c>
      <c r="E18" s="339" t="s">
        <v>2951</v>
      </c>
      <c r="F18" s="338" t="s">
        <v>2952</v>
      </c>
      <c r="G18" s="338" t="s">
        <v>2964</v>
      </c>
      <c r="H18" s="338" t="s">
        <v>2953</v>
      </c>
      <c r="I18" s="338" t="s">
        <v>2954</v>
      </c>
      <c r="J18" s="338" t="s">
        <v>2956</v>
      </c>
      <c r="K18" s="338" t="s">
        <v>2955</v>
      </c>
      <c r="L18" s="338" t="s">
        <v>2957</v>
      </c>
      <c r="M18" s="338" t="s">
        <v>2963</v>
      </c>
      <c r="N18" s="338" t="s">
        <v>2958</v>
      </c>
      <c r="O18" s="169" t="s">
        <v>2959</v>
      </c>
      <c r="P18" s="137" t="s">
        <v>2972</v>
      </c>
      <c r="Q18" s="137" t="s">
        <v>2973</v>
      </c>
      <c r="S18" s="380" t="s">
        <v>2968</v>
      </c>
      <c r="T18" s="380" t="s">
        <v>2974</v>
      </c>
      <c r="U18" s="380" t="s">
        <v>2975</v>
      </c>
    </row>
    <row r="19" spans="1:22" s="86" customFormat="1" ht="15.75" x14ac:dyDescent="0.25">
      <c r="A19" s="339"/>
      <c r="B19" s="339"/>
      <c r="C19" s="339"/>
      <c r="D19" s="339"/>
      <c r="E19" s="339"/>
      <c r="F19" s="339"/>
      <c r="G19" s="339"/>
      <c r="H19" s="339"/>
      <c r="I19" s="339"/>
      <c r="J19" s="339"/>
      <c r="K19" s="338"/>
      <c r="L19" s="338"/>
      <c r="M19" s="338"/>
      <c r="N19" s="338"/>
      <c r="O19" s="137">
        <f>COUNT(O21:O23)</f>
        <v>3</v>
      </c>
      <c r="P19" s="137">
        <f>SUM(P21:P23)</f>
        <v>0</v>
      </c>
      <c r="Q19" s="137">
        <f>SUM(Q21:Q23)</f>
        <v>3</v>
      </c>
      <c r="S19" s="376" t="s">
        <v>2715</v>
      </c>
      <c r="T19" s="381">
        <v>-3.8399999999999997E-2</v>
      </c>
      <c r="U19" s="382">
        <v>0.2934706083366842</v>
      </c>
      <c r="V19" s="151"/>
    </row>
    <row r="20" spans="1:22" ht="15.75" customHeight="1" x14ac:dyDescent="0.2">
      <c r="A20" s="334" t="s">
        <v>2948</v>
      </c>
      <c r="B20" s="222" t="s">
        <v>2715</v>
      </c>
      <c r="C20" s="223" cm="1">
        <f t="array" ref="C20:M20">tinh_du_lieu_cp(B20)</f>
        <v>219</v>
      </c>
      <c r="D20" s="224">
        <v>3450.7</v>
      </c>
      <c r="E20" s="225">
        <v>-1.1299999999999999E-2</v>
      </c>
      <c r="F20" s="226">
        <v>1.0075758581238736</v>
      </c>
      <c r="G20" s="226">
        <v>1.0205074365704287</v>
      </c>
      <c r="H20" s="226">
        <v>1.1195090299556612</v>
      </c>
      <c r="I20" s="227">
        <v>0.22671633847791375</v>
      </c>
      <c r="J20" s="222">
        <v>187.9</v>
      </c>
      <c r="K20" s="222">
        <v>230.5</v>
      </c>
      <c r="L20" s="225">
        <v>0.16551357104842998</v>
      </c>
      <c r="M20" s="225">
        <v>-4.9891540130151846E-2</v>
      </c>
      <c r="N20" s="228"/>
      <c r="O20" s="222">
        <f>IF(E20&gt;0,1,IF(E20=0,0,-1))</f>
        <v>-1</v>
      </c>
      <c r="P20" s="222">
        <f>IF(O20=1,1,0)</f>
        <v>0</v>
      </c>
      <c r="Q20" s="222">
        <f>IF(O20&lt;0,1,0)</f>
        <v>1</v>
      </c>
      <c r="S20" s="376" t="s">
        <v>2711</v>
      </c>
      <c r="T20" s="381">
        <v>-2.9399999999999999E-2</v>
      </c>
      <c r="U20" s="382">
        <v>0.40009832016160113</v>
      </c>
      <c r="V20" s="99"/>
    </row>
    <row r="21" spans="1:22" ht="15" customHeight="1" x14ac:dyDescent="0.2">
      <c r="A21" s="335"/>
      <c r="B21" s="222" t="s">
        <v>2711</v>
      </c>
      <c r="C21" s="223" cm="1">
        <f t="array" ref="C21:M21">tinh_du_lieu_cp(B21)</f>
        <v>140.80000000000001</v>
      </c>
      <c r="D21" s="224">
        <v>4386.2</v>
      </c>
      <c r="E21" s="225">
        <v>-1.54E-2</v>
      </c>
      <c r="F21" s="226">
        <v>0.86812258204221904</v>
      </c>
      <c r="G21" s="226">
        <v>1.0021486599229092</v>
      </c>
      <c r="H21" s="226">
        <v>1.1854594594594594</v>
      </c>
      <c r="I21" s="227">
        <v>0.21481481481481476</v>
      </c>
      <c r="J21" s="222">
        <v>130.005</v>
      </c>
      <c r="K21" s="222">
        <v>157.93199999999999</v>
      </c>
      <c r="L21" s="225">
        <v>8.3035267874312646E-2</v>
      </c>
      <c r="M21" s="225">
        <v>-0.10847706607907187</v>
      </c>
      <c r="N21" s="228"/>
      <c r="O21" s="222">
        <f>IF(E21&gt;0,1,IF(E21=0,0,-1))</f>
        <v>-1</v>
      </c>
      <c r="P21" s="222">
        <f>IF(O21=1,1,0)</f>
        <v>0</v>
      </c>
      <c r="Q21" s="222">
        <f>IF(O21&lt;0,1,0)</f>
        <v>1</v>
      </c>
      <c r="S21" s="376" t="s">
        <v>3188</v>
      </c>
      <c r="T21" s="381">
        <v>-1.5700000000000002E-2</v>
      </c>
      <c r="U21" s="382">
        <v>0.43357664233576643</v>
      </c>
      <c r="V21" s="99"/>
    </row>
    <row r="22" spans="1:22" ht="15" customHeight="1" x14ac:dyDescent="0.2">
      <c r="A22" s="335"/>
      <c r="B22" s="222" t="s">
        <v>2816</v>
      </c>
      <c r="C22" s="223" cm="1">
        <f t="array" ref="C22:M22">tinh_du_lieu_cp(B22)</f>
        <v>25.6</v>
      </c>
      <c r="D22" s="224">
        <v>3288.6</v>
      </c>
      <c r="E22" s="225">
        <v>-1.1599999999999999E-2</v>
      </c>
      <c r="F22" s="226">
        <v>0.63443798318993483</v>
      </c>
      <c r="G22" s="226">
        <v>0.95156795504613945</v>
      </c>
      <c r="H22" s="226">
        <v>0.81391252696665828</v>
      </c>
      <c r="I22" s="225">
        <v>0.3807812499999999</v>
      </c>
      <c r="J22" s="222">
        <v>25.6</v>
      </c>
      <c r="K22" s="222">
        <v>35.347999999999999</v>
      </c>
      <c r="L22" s="225">
        <v>0</v>
      </c>
      <c r="M22" s="225">
        <v>-0.27577232092339021</v>
      </c>
      <c r="N22" s="228"/>
      <c r="O22" s="222">
        <f t="shared" ref="O22:O23" si="0">IF(E22&gt;0,1,IF(E22=0,0,-1))</f>
        <v>-1</v>
      </c>
      <c r="P22" s="222">
        <f t="shared" ref="P22:P23" si="1">IF(O22=1,1,0)</f>
        <v>0</v>
      </c>
      <c r="Q22" s="222">
        <f t="shared" ref="Q22:Q23" si="2">IF(O22&lt;0,1,0)</f>
        <v>1</v>
      </c>
      <c r="S22" s="376" t="s">
        <v>2816</v>
      </c>
      <c r="T22" s="381">
        <v>-1.54E-2</v>
      </c>
      <c r="U22" s="382">
        <v>0.29391432043698934</v>
      </c>
      <c r="V22" s="99"/>
    </row>
    <row r="23" spans="1:22" ht="15" customHeight="1" x14ac:dyDescent="0.2">
      <c r="A23" s="335"/>
      <c r="B23" s="222" t="s">
        <v>3188</v>
      </c>
      <c r="C23" s="223" cm="1">
        <f t="array" ref="C23:M23">tinh_du_lieu_cp(B23)</f>
        <v>81.8</v>
      </c>
      <c r="D23" s="224">
        <v>745.1</v>
      </c>
      <c r="E23" s="225">
        <v>-1.3300000000000001E-2</v>
      </c>
      <c r="F23" s="226">
        <v>0.88737434159597683</v>
      </c>
      <c r="G23" s="226">
        <v>0.9495054839999304</v>
      </c>
      <c r="H23" s="226">
        <v>0.9856906625509867</v>
      </c>
      <c r="I23" s="225">
        <v>0.17423312883435585</v>
      </c>
      <c r="J23" s="222">
        <v>81.5</v>
      </c>
      <c r="K23" s="222">
        <v>95.7</v>
      </c>
      <c r="L23" s="225">
        <v>3.6809815950919898E-3</v>
      </c>
      <c r="M23" s="225">
        <v>-0.14524555903866254</v>
      </c>
      <c r="N23" s="228"/>
      <c r="O23" s="222">
        <f t="shared" si="0"/>
        <v>-1</v>
      </c>
      <c r="P23" s="222">
        <f t="shared" si="1"/>
        <v>0</v>
      </c>
      <c r="Q23" s="222">
        <f t="shared" si="2"/>
        <v>1</v>
      </c>
      <c r="S23" s="376" t="s">
        <v>2969</v>
      </c>
      <c r="T23" s="381">
        <v>-9.8900000000000002E-2</v>
      </c>
      <c r="U23" s="382">
        <v>1.421059891271041</v>
      </c>
      <c r="V23" s="99"/>
    </row>
    <row r="24" spans="1:22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</row>
    <row r="25" spans="1:22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1:22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1:22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1:22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1:22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1:22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1:22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1:22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</row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</sheetData>
  <mergeCells count="20">
    <mergeCell ref="L18:L19"/>
    <mergeCell ref="M18:M19"/>
    <mergeCell ref="N18:N19"/>
    <mergeCell ref="A20:A23"/>
    <mergeCell ref="F18:F19"/>
    <mergeCell ref="G18:G19"/>
    <mergeCell ref="H18:H19"/>
    <mergeCell ref="I18:I19"/>
    <mergeCell ref="J18:J19"/>
    <mergeCell ref="K18:K19"/>
    <mergeCell ref="A18:A19"/>
    <mergeCell ref="B18:B19"/>
    <mergeCell ref="C18:C19"/>
    <mergeCell ref="D18:D19"/>
    <mergeCell ref="E18:E19"/>
    <mergeCell ref="A1:F1"/>
    <mergeCell ref="A2:B2"/>
    <mergeCell ref="A3:B3"/>
    <mergeCell ref="A4:B4"/>
    <mergeCell ref="E14:F14"/>
  </mergeCells>
  <conditionalFormatting sqref="A15:F17 A14:E14">
    <cfRule type="expression" dxfId="262" priority="19" stopIfTrue="1">
      <formula>A14="giảm"</formula>
    </cfRule>
    <cfRule type="expression" dxfId="261" priority="20" stopIfTrue="1">
      <formula>A14="tăng"</formula>
    </cfRule>
  </conditionalFormatting>
  <conditionalFormatting sqref="C20:C23">
    <cfRule type="expression" dxfId="260" priority="2" stopIfTrue="1">
      <formula>E20&gt;=6.8%</formula>
    </cfRule>
    <cfRule type="expression" dxfId="259" priority="3" stopIfTrue="1">
      <formula>AND(E20&gt;0%,E20&lt;6.8%)</formula>
    </cfRule>
    <cfRule type="expression" dxfId="258" priority="4" stopIfTrue="1">
      <formula>E20=0%</formula>
    </cfRule>
    <cfRule type="expression" dxfId="257" priority="5" stopIfTrue="1">
      <formula>AND(E20&gt;-6.8%, E20&lt;0%)</formula>
    </cfRule>
    <cfRule type="expression" dxfId="256" priority="6" stopIfTrue="1">
      <formula>E20&lt;=-6.8%</formula>
    </cfRule>
  </conditionalFormatting>
  <conditionalFormatting sqref="B20:B23">
    <cfRule type="expression" dxfId="255" priority="7" stopIfTrue="1">
      <formula>E20&gt;=6.8%</formula>
    </cfRule>
    <cfRule type="expression" dxfId="254" priority="8" stopIfTrue="1">
      <formula>AND(E20&gt;0%,E20&lt;6.8%)</formula>
    </cfRule>
    <cfRule type="expression" dxfId="253" priority="9" stopIfTrue="1">
      <formula>E20=0%</formula>
    </cfRule>
    <cfRule type="expression" dxfId="252" priority="10" stopIfTrue="1">
      <formula>AND(E20&gt;-6.8%, E20&lt;0%)</formula>
    </cfRule>
    <cfRule type="expression" dxfId="251" priority="11" stopIfTrue="1">
      <formula>E20&lt;=-6.8%</formula>
    </cfRule>
  </conditionalFormatting>
  <conditionalFormatting sqref="L22:M23">
    <cfRule type="colorScale" priority="18884">
      <colorScale>
        <cfvo type="min"/>
        <cfvo type="percentile" val="50"/>
        <cfvo type="max"/>
        <color rgb="FFFF3829"/>
        <color rgb="FFFFC000"/>
        <color rgb="FF00BC55"/>
      </colorScale>
    </cfRule>
  </conditionalFormatting>
  <conditionalFormatting sqref="F22:F23">
    <cfRule type="colorScale" priority="18924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2:I23">
    <cfRule type="colorScale" priority="18925">
      <colorScale>
        <cfvo type="min"/>
        <cfvo type="percentile" val="50"/>
        <cfvo type="max"/>
        <color rgb="FFFF3829"/>
        <color rgb="FFFFC000"/>
        <color rgb="FF00A400"/>
      </colorScale>
    </cfRule>
  </conditionalFormatting>
  <conditionalFormatting sqref="I20:I23">
    <cfRule type="colorScale" priority="18926">
      <colorScale>
        <cfvo type="min"/>
        <cfvo type="max"/>
        <color theme="0" tint="-4.9989318521683403E-2"/>
        <color rgb="FF00B050"/>
      </colorScale>
    </cfRule>
  </conditionalFormatting>
  <conditionalFormatting sqref="L20:L23">
    <cfRule type="colorScale" priority="18927">
      <colorScale>
        <cfvo type="min"/>
        <cfvo type="max"/>
        <color theme="0" tint="-4.9989318521683403E-2"/>
        <color rgb="FF00B050"/>
      </colorScale>
    </cfRule>
  </conditionalFormatting>
  <conditionalFormatting sqref="M20:M23">
    <cfRule type="colorScale" priority="18928">
      <colorScale>
        <cfvo type="min"/>
        <cfvo type="max"/>
        <color rgb="FFFF7C80"/>
        <color theme="0" tint="-4.9989318521683403E-2"/>
      </colorScale>
    </cfRule>
  </conditionalFormatting>
  <conditionalFormatting sqref="N20:N23">
    <cfRule type="colorScale" priority="18929">
      <colorScale>
        <cfvo type="min"/>
        <cfvo type="max"/>
        <color theme="0" tint="-4.9989318521683403E-2"/>
        <color rgb="FFFF0000"/>
      </colorScale>
    </cfRule>
  </conditionalFormatting>
  <pageMargins left="0.7" right="0.7" top="0.75" bottom="0.75" header="0.3" footer="0.3"/>
  <pageSetup paperSize="9" scale="37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CB7E7BB-7B20-4CE8-96B7-665C9D6EF63C}">
          <x14:formula1>
            <xm:f>'Nơi chứ dữ liệu'!$I$2:$N$2</xm:f>
          </x14:formula1>
          <xm:sqref>N21:N23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53013-BBD4-4958-868A-DF4AC1D22C6F}">
  <sheetPr codeName="Sheet13">
    <tabColor rgb="FF008000"/>
  </sheetPr>
  <dimension ref="A1:W43"/>
  <sheetViews>
    <sheetView topLeftCell="A38" zoomScaleNormal="100" workbookViewId="0">
      <selection activeCell="Q20" sqref="Q20"/>
    </sheetView>
  </sheetViews>
  <sheetFormatPr defaultRowHeight="15" x14ac:dyDescent="0.2"/>
  <cols>
    <col min="1" max="1" width="8" customWidth="1"/>
    <col min="3" max="3" width="11.21875" customWidth="1"/>
    <col min="4" max="4" width="14.77734375" customWidth="1"/>
    <col min="5" max="5" width="12.33203125" customWidth="1"/>
    <col min="6" max="8" width="12.21875" customWidth="1"/>
    <col min="9" max="9" width="11.33203125" bestFit="1" customWidth="1"/>
    <col min="10" max="11" width="10.33203125" customWidth="1"/>
    <col min="12" max="13" width="11.21875" customWidth="1"/>
    <col min="14" max="14" width="8.33203125" customWidth="1"/>
    <col min="15" max="17" width="6.21875" customWidth="1"/>
    <col min="19" max="19" width="11.88671875" bestFit="1" customWidth="1"/>
    <col min="20" max="20" width="12.33203125" bestFit="1" customWidth="1"/>
    <col min="21" max="21" width="20.33203125" bestFit="1" customWidth="1"/>
    <col min="22" max="23" width="20.109375" bestFit="1" customWidth="1"/>
  </cols>
  <sheetData>
    <row r="1" spans="1:10" ht="15.75" x14ac:dyDescent="0.25">
      <c r="A1" s="332" t="s">
        <v>3140</v>
      </c>
      <c r="B1" s="332"/>
      <c r="C1" s="332"/>
      <c r="D1" s="332"/>
      <c r="E1" s="332"/>
      <c r="F1" s="332"/>
      <c r="J1" s="150"/>
    </row>
    <row r="2" spans="1:10" ht="15.75" x14ac:dyDescent="0.25">
      <c r="A2" s="332" t="s">
        <v>3141</v>
      </c>
      <c r="B2" s="332"/>
      <c r="C2" s="242" t="s">
        <v>3015</v>
      </c>
      <c r="D2" s="242" t="s">
        <v>3142</v>
      </c>
      <c r="E2" s="242" t="s">
        <v>3143</v>
      </c>
      <c r="F2" s="242" t="s">
        <v>3144</v>
      </c>
    </row>
    <row r="3" spans="1:10" x14ac:dyDescent="0.2">
      <c r="A3" s="340">
        <v>45839</v>
      </c>
      <c r="B3" s="340"/>
    </row>
    <row r="13" spans="1:10" ht="17.25" customHeight="1" x14ac:dyDescent="0.2"/>
    <row r="14" spans="1:10" ht="15.75" x14ac:dyDescent="0.2">
      <c r="A14" s="155" t="str">
        <f>"Tổng điểm nhóm Chứng Khoán hôm nay"&amp;" "&amp;SUM($O$20:O36)&amp;" "&amp;"trên tổng"&amp;" "&amp;$O$19</f>
        <v>Tổng điểm nhóm Chứng Khoán hôm nay 5 trên tổng 23</v>
      </c>
      <c r="B14" s="155"/>
      <c r="C14" s="155"/>
      <c r="D14" s="155"/>
      <c r="E14" s="155" t="s">
        <v>3013</v>
      </c>
      <c r="F14" s="156"/>
    </row>
    <row r="15" spans="1:10" ht="15.75" x14ac:dyDescent="0.2">
      <c r="A15" s="155" t="str">
        <f>"Tổng điểm tăng nhóm Chứng Khoán hôm nay"&amp;" "&amp;$P$19</f>
        <v>Tổng điểm tăng nhóm Chứng Khoán hôm nay 14</v>
      </c>
      <c r="B15" s="155"/>
      <c r="C15" s="155"/>
      <c r="D15" s="155"/>
      <c r="E15" s="155" t="s">
        <v>3014</v>
      </c>
      <c r="F15" s="156" t="s">
        <v>3008</v>
      </c>
    </row>
    <row r="16" spans="1:10" ht="15.75" x14ac:dyDescent="0.2">
      <c r="A16" s="155" t="str">
        <f>"Tổng điểm giảm nhóm Chứng Khoán hôm nay"&amp;" "&amp;$Q$19</f>
        <v>Tổng điểm giảm nhóm Chứng Khoán hôm nay 7</v>
      </c>
      <c r="B16" s="155"/>
      <c r="C16" s="155"/>
      <c r="D16" s="155"/>
      <c r="E16" s="172">
        <f>AVERAGE(E20:E43)</f>
        <v>5.4499999999999991E-3</v>
      </c>
      <c r="F16" s="171">
        <f>AVERAGE(F20:F43)</f>
        <v>0.65057002990416057</v>
      </c>
    </row>
    <row r="17" spans="1:23" ht="15.75" x14ac:dyDescent="0.2">
      <c r="A17" s="155" t="str">
        <f>"Tổng điểm tham chiếu nhóm Chứng Khoán hôm nay"&amp;" "&amp;(O19-(P19+Q19))</f>
        <v>Tổng điểm tham chiếu nhóm Chứng Khoán hôm nay 2</v>
      </c>
      <c r="B17" s="155"/>
      <c r="C17" s="155"/>
      <c r="D17" s="155"/>
      <c r="E17" s="155"/>
      <c r="F17" s="157"/>
    </row>
    <row r="18" spans="1:23" s="86" customFormat="1" ht="15.75" x14ac:dyDescent="0.25">
      <c r="A18" s="339" t="s">
        <v>127</v>
      </c>
      <c r="B18" s="339" t="s">
        <v>16</v>
      </c>
      <c r="C18" s="339" t="s">
        <v>2949</v>
      </c>
      <c r="D18" s="339" t="s">
        <v>2950</v>
      </c>
      <c r="E18" s="344" t="s">
        <v>2951</v>
      </c>
      <c r="F18" s="343" t="s">
        <v>2952</v>
      </c>
      <c r="G18" s="338" t="s">
        <v>2964</v>
      </c>
      <c r="H18" s="338" t="s">
        <v>2953</v>
      </c>
      <c r="I18" s="338" t="s">
        <v>2954</v>
      </c>
      <c r="J18" s="338" t="s">
        <v>2956</v>
      </c>
      <c r="K18" s="338" t="s">
        <v>2955</v>
      </c>
      <c r="L18" s="338" t="s">
        <v>2957</v>
      </c>
      <c r="M18" s="338" t="s">
        <v>2963</v>
      </c>
      <c r="N18" s="338" t="s">
        <v>2958</v>
      </c>
      <c r="O18" s="169" t="s">
        <v>2959</v>
      </c>
      <c r="P18" s="137" t="s">
        <v>2972</v>
      </c>
      <c r="Q18" s="137" t="s">
        <v>2973</v>
      </c>
      <c r="S18" s="82" t="s">
        <v>2968</v>
      </c>
      <c r="T18" t="s">
        <v>2974</v>
      </c>
      <c r="U18" t="s">
        <v>2975</v>
      </c>
      <c r="W18"/>
    </row>
    <row r="19" spans="1:23" s="86" customFormat="1" ht="15.75" x14ac:dyDescent="0.25">
      <c r="A19" s="339"/>
      <c r="B19" s="339"/>
      <c r="C19" s="339"/>
      <c r="D19" s="339"/>
      <c r="E19" s="339"/>
      <c r="F19" s="339"/>
      <c r="G19" s="339"/>
      <c r="H19" s="339"/>
      <c r="I19" s="339"/>
      <c r="J19" s="339"/>
      <c r="K19" s="338"/>
      <c r="L19" s="338"/>
      <c r="M19" s="338"/>
      <c r="N19" s="338"/>
      <c r="O19" s="137">
        <f>COUNT(O20:O43)</f>
        <v>23</v>
      </c>
      <c r="P19" s="137">
        <f>SUM(P20:P43)</f>
        <v>14</v>
      </c>
      <c r="Q19" s="137">
        <f>SUM(Q20:Q43)</f>
        <v>7</v>
      </c>
      <c r="S19" s="229" t="s">
        <v>529</v>
      </c>
      <c r="T19" s="230">
        <v>-4.41E-2</v>
      </c>
      <c r="U19" s="386">
        <v>0.50595506772911925</v>
      </c>
      <c r="W19"/>
    </row>
    <row r="20" spans="1:23" ht="15.75" customHeight="1" x14ac:dyDescent="0.2">
      <c r="A20" s="341" t="s">
        <v>2990</v>
      </c>
      <c r="B20" s="222" t="s">
        <v>156</v>
      </c>
      <c r="C20" s="223" cm="1">
        <f t="array" ref="C20:M20">tinh_du_lieu_cp(B20)</f>
        <v>8.4</v>
      </c>
      <c r="D20" s="224">
        <v>634.6</v>
      </c>
      <c r="E20" s="225">
        <v>0</v>
      </c>
      <c r="F20" s="226">
        <v>0.40653900808349058</v>
      </c>
      <c r="G20" s="226">
        <v>1.0123653064829536</v>
      </c>
      <c r="H20" s="226">
        <v>0.3363099181218368</v>
      </c>
      <c r="I20" s="227">
        <v>0.14634146341463428</v>
      </c>
      <c r="J20" s="222">
        <v>8.1999999999999993</v>
      </c>
      <c r="K20" s="222">
        <v>9.4</v>
      </c>
      <c r="L20" s="225">
        <v>2.4390243902439157E-2</v>
      </c>
      <c r="M20" s="225">
        <v>-0.10638297872340426</v>
      </c>
      <c r="N20" s="228"/>
      <c r="O20" s="222">
        <f>IF(E20&gt;0,1,IF(E20=0,0,-1))</f>
        <v>0</v>
      </c>
      <c r="P20" s="222">
        <f>IF(O20=1,1,0)</f>
        <v>0</v>
      </c>
      <c r="Q20" s="222">
        <f>IF(O20&lt;0,1,0)</f>
        <v>0</v>
      </c>
      <c r="S20" s="229" t="s">
        <v>189</v>
      </c>
      <c r="T20" s="230">
        <v>-2.1600000000000001E-2</v>
      </c>
      <c r="U20" s="386">
        <v>0.73634188848356263</v>
      </c>
    </row>
    <row r="21" spans="1:23" ht="15.75" customHeight="1" x14ac:dyDescent="0.2">
      <c r="A21" s="341"/>
      <c r="B21" s="222" t="s">
        <v>189</v>
      </c>
      <c r="C21" s="223" cm="1">
        <f t="array" ref="C21:M21">tinh_du_lieu_cp(B21)</f>
        <v>13.8</v>
      </c>
      <c r="D21" s="224">
        <v>437.3</v>
      </c>
      <c r="E21" s="225">
        <v>-7.1999999999999998E-3</v>
      </c>
      <c r="F21" s="226">
        <v>1.0271614955905277</v>
      </c>
      <c r="G21" s="226">
        <v>1.0882495751395971</v>
      </c>
      <c r="H21" s="226">
        <v>0.9218931168968062</v>
      </c>
      <c r="I21" s="225">
        <v>0.34951456310679607</v>
      </c>
      <c r="J21" s="222">
        <v>10.3</v>
      </c>
      <c r="K21" s="222">
        <v>13.9</v>
      </c>
      <c r="L21" s="225">
        <v>0.33980582524271841</v>
      </c>
      <c r="M21" s="225">
        <v>-7.1942446043165211E-3</v>
      </c>
      <c r="N21" s="228"/>
      <c r="O21" s="222">
        <f t="shared" ref="O21:O27" si="0">IF(E21&gt;0,1,IF(E21=0,0,-1))</f>
        <v>-1</v>
      </c>
      <c r="P21" s="222">
        <f t="shared" ref="P21:P27" si="1">IF(O21=1,1,0)</f>
        <v>0</v>
      </c>
      <c r="Q21" s="222">
        <f t="shared" ref="Q21:Q27" si="2">IF(O21&lt;0,1,0)</f>
        <v>1</v>
      </c>
      <c r="S21" s="229" t="s">
        <v>2640</v>
      </c>
      <c r="T21" s="230">
        <v>-1.6899999999999998E-2</v>
      </c>
      <c r="U21" s="386">
        <v>0.56243537944673205</v>
      </c>
    </row>
    <row r="22" spans="1:23" ht="15.75" customHeight="1" x14ac:dyDescent="0.2">
      <c r="A22" s="341"/>
      <c r="B22" s="222" t="s">
        <v>243</v>
      </c>
      <c r="C22" s="223" cm="1">
        <f t="array" ref="C22:M22">tinh_du_lieu_cp(B22)</f>
        <v>14.65</v>
      </c>
      <c r="D22" s="224">
        <v>512.70000000000005</v>
      </c>
      <c r="E22" s="225">
        <v>1.03E-2</v>
      </c>
      <c r="F22" s="226">
        <v>0.59584786053882732</v>
      </c>
      <c r="G22" s="226">
        <v>1.0254661209640747</v>
      </c>
      <c r="H22" s="226">
        <v>0.46365321717636065</v>
      </c>
      <c r="I22" s="225">
        <v>0.15107913669064746</v>
      </c>
      <c r="J22" s="222">
        <v>13.9</v>
      </c>
      <c r="K22" s="222">
        <v>16</v>
      </c>
      <c r="L22" s="225">
        <v>5.3956834532374098E-2</v>
      </c>
      <c r="M22" s="225">
        <v>-8.4374999999999978E-2</v>
      </c>
      <c r="N22" s="228"/>
      <c r="O22" s="222"/>
      <c r="P22" s="222"/>
      <c r="Q22" s="222"/>
      <c r="S22" s="229" t="s">
        <v>106</v>
      </c>
      <c r="T22" s="230">
        <v>-1.5600000000000001E-2</v>
      </c>
      <c r="U22" s="386">
        <v>0.62712493552946413</v>
      </c>
    </row>
    <row r="23" spans="1:23" ht="15.75" customHeight="1" x14ac:dyDescent="0.2">
      <c r="A23" s="341"/>
      <c r="B23" s="222" t="s">
        <v>279</v>
      </c>
      <c r="C23" s="223" cm="1">
        <f t="array" ref="C23:M23">tinh_du_lieu_cp(B23)</f>
        <v>5.04</v>
      </c>
      <c r="D23" s="224">
        <v>190.8</v>
      </c>
      <c r="E23" s="225">
        <v>1.8200000000000001E-2</v>
      </c>
      <c r="F23" s="226">
        <v>0.25435529512994681</v>
      </c>
      <c r="G23" s="226">
        <v>0.98943340691685056</v>
      </c>
      <c r="H23" s="226">
        <v>0.43469015795868776</v>
      </c>
      <c r="I23" s="225">
        <v>0.36084905660377342</v>
      </c>
      <c r="J23" s="222">
        <v>4.24</v>
      </c>
      <c r="K23" s="222">
        <v>5.77</v>
      </c>
      <c r="L23" s="225">
        <v>0.18867924528301883</v>
      </c>
      <c r="M23" s="225">
        <v>-0.12651646447140374</v>
      </c>
      <c r="N23" s="228"/>
      <c r="O23" s="222">
        <f t="shared" si="0"/>
        <v>1</v>
      </c>
      <c r="P23" s="222">
        <f t="shared" si="1"/>
        <v>1</v>
      </c>
      <c r="Q23" s="222">
        <f t="shared" si="2"/>
        <v>0</v>
      </c>
      <c r="S23" s="229" t="s">
        <v>746</v>
      </c>
      <c r="T23" s="230">
        <v>-1.49E-2</v>
      </c>
      <c r="U23" s="386">
        <v>0.36741001019528935</v>
      </c>
    </row>
    <row r="24" spans="1:23" ht="15.75" customHeight="1" x14ac:dyDescent="0.2">
      <c r="A24" s="341"/>
      <c r="B24" s="222" t="s">
        <v>294</v>
      </c>
      <c r="C24" s="223" cm="1">
        <f t="array" ref="C24:M24">tinh_du_lieu_cp(B24)</f>
        <v>6.8</v>
      </c>
      <c r="D24" s="224">
        <v>253.2</v>
      </c>
      <c r="E24" s="225">
        <v>3.0299999999999997E-2</v>
      </c>
      <c r="F24" s="226">
        <v>0.45526169538069239</v>
      </c>
      <c r="G24" s="226">
        <v>1.0106684084476376</v>
      </c>
      <c r="H24" s="226">
        <v>0.34063544025650799</v>
      </c>
      <c r="I24" s="225">
        <v>0.31578947368421051</v>
      </c>
      <c r="J24" s="222">
        <v>5.7</v>
      </c>
      <c r="K24" s="222">
        <v>7.5</v>
      </c>
      <c r="L24" s="225">
        <v>0.19298245614035081</v>
      </c>
      <c r="M24" s="225">
        <v>-9.3333333333333351E-2</v>
      </c>
      <c r="N24" s="228"/>
      <c r="O24" s="222">
        <f t="shared" si="0"/>
        <v>1</v>
      </c>
      <c r="P24" s="222">
        <f t="shared" si="1"/>
        <v>1</v>
      </c>
      <c r="Q24" s="222">
        <f t="shared" si="2"/>
        <v>0</v>
      </c>
      <c r="S24" s="229" t="s">
        <v>1193</v>
      </c>
      <c r="T24" s="230">
        <v>-1.4499999999999999E-2</v>
      </c>
      <c r="U24" s="386">
        <v>0.22438707274970729</v>
      </c>
    </row>
    <row r="25" spans="1:23" ht="15.75" customHeight="1" x14ac:dyDescent="0.2">
      <c r="A25" s="341"/>
      <c r="B25" s="222" t="s">
        <v>478</v>
      </c>
      <c r="C25" s="223" cm="1">
        <f t="array" ref="C25:M25">tinh_du_lieu_cp(B25)</f>
        <v>33</v>
      </c>
      <c r="D25" s="224">
        <v>414.2</v>
      </c>
      <c r="E25" s="225">
        <v>9.1999999999999998E-3</v>
      </c>
      <c r="F25" s="226">
        <v>0.45860783001253169</v>
      </c>
      <c r="G25" s="226">
        <v>1.0012618022016269</v>
      </c>
      <c r="H25" s="226">
        <v>0.43236660345517491</v>
      </c>
      <c r="I25" s="225">
        <v>0.22076289410130009</v>
      </c>
      <c r="J25" s="222">
        <v>30.227</v>
      </c>
      <c r="K25" s="222">
        <v>36.9</v>
      </c>
      <c r="L25" s="225">
        <v>9.1739173586528583E-2</v>
      </c>
      <c r="M25" s="225">
        <v>-0.10569105691056907</v>
      </c>
      <c r="N25" s="228"/>
      <c r="O25" s="222">
        <f t="shared" si="0"/>
        <v>1</v>
      </c>
      <c r="P25" s="222">
        <f t="shared" si="1"/>
        <v>1</v>
      </c>
      <c r="Q25" s="222">
        <f t="shared" si="2"/>
        <v>0</v>
      </c>
      <c r="S25" s="229" t="s">
        <v>1053</v>
      </c>
      <c r="T25" s="230">
        <v>-1.3600000000000001E-2</v>
      </c>
      <c r="U25" s="386">
        <v>0.27391944874990143</v>
      </c>
    </row>
    <row r="26" spans="1:23" ht="15.75" customHeight="1" x14ac:dyDescent="0.2">
      <c r="A26" s="341"/>
      <c r="B26" s="222" t="s">
        <v>529</v>
      </c>
      <c r="C26" s="223" cm="1">
        <f t="array" ref="C26:M26">tinh_du_lieu_cp(B26)</f>
        <v>33.5</v>
      </c>
      <c r="D26" s="224">
        <v>1045.5</v>
      </c>
      <c r="E26" s="225">
        <v>-1.47E-2</v>
      </c>
      <c r="F26" s="226">
        <v>1.0041123159935041</v>
      </c>
      <c r="G26" s="226">
        <v>1.1868036389655527</v>
      </c>
      <c r="H26" s="226">
        <v>0.51841689875457631</v>
      </c>
      <c r="I26" s="225">
        <v>0.43426294820717121</v>
      </c>
      <c r="J26" s="222">
        <v>25.1</v>
      </c>
      <c r="K26" s="222">
        <v>36</v>
      </c>
      <c r="L26" s="225">
        <v>0.33466135458167323</v>
      </c>
      <c r="M26" s="225">
        <v>-6.9444444444444448E-2</v>
      </c>
      <c r="N26" s="228"/>
      <c r="O26" s="222">
        <f t="shared" si="0"/>
        <v>-1</v>
      </c>
      <c r="P26" s="222">
        <f t="shared" si="1"/>
        <v>0</v>
      </c>
      <c r="Q26" s="222">
        <f t="shared" si="2"/>
        <v>1</v>
      </c>
      <c r="S26" s="229" t="s">
        <v>156</v>
      </c>
      <c r="T26" s="230">
        <v>-1.1899999999999999E-2</v>
      </c>
      <c r="U26" s="386">
        <v>0.31332982394572145</v>
      </c>
    </row>
    <row r="27" spans="1:23" ht="15.75" customHeight="1" x14ac:dyDescent="0.2">
      <c r="A27" s="341"/>
      <c r="B27" s="222" t="s">
        <v>746</v>
      </c>
      <c r="C27" s="223" cm="1">
        <f t="array" ref="C27:M27">tinh_du_lieu_cp(B27)</f>
        <v>27.15</v>
      </c>
      <c r="D27" s="224">
        <v>1881</v>
      </c>
      <c r="E27" s="225">
        <v>9.300000000000001E-3</v>
      </c>
      <c r="F27" s="226">
        <v>0.68486032040248912</v>
      </c>
      <c r="G27" s="226">
        <v>1.0580808080808082</v>
      </c>
      <c r="H27" s="226">
        <v>0.70846123425170904</v>
      </c>
      <c r="I27" s="225">
        <v>0.4282184334074623</v>
      </c>
      <c r="J27" s="222">
        <v>20.234999999999999</v>
      </c>
      <c r="K27" s="222">
        <v>28.9</v>
      </c>
      <c r="L27" s="225">
        <v>0.34173461823573015</v>
      </c>
      <c r="M27" s="225">
        <v>-6.0553633217993084E-2</v>
      </c>
      <c r="N27" s="228"/>
      <c r="O27" s="222">
        <f t="shared" si="0"/>
        <v>1</v>
      </c>
      <c r="P27" s="222">
        <f t="shared" si="1"/>
        <v>1</v>
      </c>
      <c r="Q27" s="222">
        <f t="shared" si="2"/>
        <v>0</v>
      </c>
      <c r="S27" s="229" t="s">
        <v>2226</v>
      </c>
      <c r="T27" s="230">
        <v>-1.1399999999999999E-2</v>
      </c>
      <c r="U27" s="386">
        <v>0.38929952809423746</v>
      </c>
    </row>
    <row r="28" spans="1:23" ht="15.75" customHeight="1" x14ac:dyDescent="0.2">
      <c r="A28" s="341"/>
      <c r="B28" s="222" t="s">
        <v>2983</v>
      </c>
      <c r="C28" s="223" cm="1">
        <f t="array" ref="C28:M28">tinh_du_lieu_cp(B28)</f>
        <v>22.65</v>
      </c>
      <c r="D28" s="224">
        <v>534.5</v>
      </c>
      <c r="E28" s="225">
        <v>1.1200000000000002E-2</v>
      </c>
      <c r="F28" s="226">
        <v>0.85610279931564204</v>
      </c>
      <c r="G28" s="226">
        <v>1.0179236733460879</v>
      </c>
      <c r="H28" s="226">
        <v>0.68938091143594149</v>
      </c>
      <c r="I28" s="227">
        <v>0.15144230769230763</v>
      </c>
      <c r="J28" s="222">
        <v>20.8</v>
      </c>
      <c r="K28" s="222">
        <v>23.95</v>
      </c>
      <c r="L28" s="225">
        <v>8.8942307692307584E-2</v>
      </c>
      <c r="M28" s="225">
        <v>-5.4279749478079363E-2</v>
      </c>
      <c r="N28" s="228"/>
      <c r="O28" s="222">
        <f>IF(E28&gt;0,1,IF(E28=0,0,-1))</f>
        <v>1</v>
      </c>
      <c r="P28" s="222">
        <f>IF(O28=1,1,0)</f>
        <v>1</v>
      </c>
      <c r="Q28" s="222">
        <f>IF(O28&lt;0,1,0)</f>
        <v>0</v>
      </c>
      <c r="S28" s="229" t="s">
        <v>2660</v>
      </c>
      <c r="T28" s="230">
        <v>-1.03E-2</v>
      </c>
      <c r="U28" s="386">
        <v>0.33214468674977149</v>
      </c>
    </row>
    <row r="29" spans="1:23" ht="15.75" customHeight="1" x14ac:dyDescent="0.2">
      <c r="A29" s="342"/>
      <c r="B29" s="222" t="s">
        <v>1002</v>
      </c>
      <c r="C29" s="223" cm="1">
        <f t="array" ref="C29:M29">tinh_du_lieu_cp(B29)</f>
        <v>5.4</v>
      </c>
      <c r="D29" s="224">
        <v>52.6</v>
      </c>
      <c r="E29" s="225">
        <v>1.89E-2</v>
      </c>
      <c r="F29" s="226">
        <v>0.19336296494335461</v>
      </c>
      <c r="G29" s="226">
        <v>1.049403747870528</v>
      </c>
      <c r="H29" s="226">
        <v>0.37932692307692312</v>
      </c>
      <c r="I29" s="225">
        <v>0.28888888888888886</v>
      </c>
      <c r="J29" s="222">
        <v>4.5</v>
      </c>
      <c r="K29" s="222">
        <v>5.8</v>
      </c>
      <c r="L29" s="225">
        <v>0.20000000000000007</v>
      </c>
      <c r="M29" s="225">
        <v>-6.8965517241379226E-2</v>
      </c>
      <c r="N29" s="228"/>
      <c r="O29" s="222">
        <f t="shared" ref="O29:O34" si="3">IF(E29&gt;0,1,IF(E29=0,0,-1))</f>
        <v>1</v>
      </c>
      <c r="P29" s="222">
        <f t="shared" ref="P29:P36" si="4">IF(O29=1,1,0)</f>
        <v>1</v>
      </c>
      <c r="Q29" s="222">
        <f t="shared" ref="Q29:Q36" si="5">IF(O29&lt;0,1,0)</f>
        <v>0</v>
      </c>
      <c r="S29" s="229" t="s">
        <v>119</v>
      </c>
      <c r="T29" s="230">
        <v>-8.6E-3</v>
      </c>
      <c r="U29" s="386">
        <v>0.23643718039717396</v>
      </c>
    </row>
    <row r="30" spans="1:23" ht="15.75" customHeight="1" x14ac:dyDescent="0.2">
      <c r="A30" s="342"/>
      <c r="B30" s="222" t="s">
        <v>1053</v>
      </c>
      <c r="C30" s="223" cm="1">
        <f t="array" ref="C30:M30">tinh_du_lieu_cp(B30)</f>
        <v>25.65</v>
      </c>
      <c r="D30" s="224">
        <v>1087.5</v>
      </c>
      <c r="E30" s="225">
        <v>-3.9000000000000003E-3</v>
      </c>
      <c r="F30" s="226">
        <v>0.50466378950299318</v>
      </c>
      <c r="G30" s="226">
        <v>1.0098922902494329</v>
      </c>
      <c r="H30" s="226">
        <v>0.56848873477495687</v>
      </c>
      <c r="I30" s="225">
        <v>0.24342105263157898</v>
      </c>
      <c r="J30" s="222">
        <v>22.8</v>
      </c>
      <c r="K30" s="222">
        <v>28.35</v>
      </c>
      <c r="L30" s="225">
        <v>0.1249999999999999</v>
      </c>
      <c r="M30" s="225">
        <v>-9.523809523809533E-2</v>
      </c>
      <c r="N30" s="228"/>
      <c r="O30" s="222">
        <f t="shared" si="3"/>
        <v>-1</v>
      </c>
      <c r="P30" s="222">
        <f t="shared" si="4"/>
        <v>0</v>
      </c>
      <c r="Q30" s="222">
        <f t="shared" si="5"/>
        <v>1</v>
      </c>
      <c r="S30" s="229" t="s">
        <v>1816</v>
      </c>
      <c r="T30" s="230">
        <v>-7.4000000000000003E-3</v>
      </c>
      <c r="U30" s="386">
        <v>0.10593525589013672</v>
      </c>
    </row>
    <row r="31" spans="1:23" ht="15.75" customHeight="1" x14ac:dyDescent="0.2">
      <c r="A31" s="342"/>
      <c r="B31" s="222" t="s">
        <v>1193</v>
      </c>
      <c r="C31" s="223" cm="1">
        <f t="array" ref="C31:M31">tinh_du_lieu_cp(B31)</f>
        <v>27.1</v>
      </c>
      <c r="D31" s="224">
        <v>3559.3</v>
      </c>
      <c r="E31" s="225">
        <v>-1.8100000000000002E-2</v>
      </c>
      <c r="F31" s="226">
        <v>0.80185757879861552</v>
      </c>
      <c r="G31" s="226">
        <v>1.004171779141104</v>
      </c>
      <c r="H31" s="226">
        <v>0.71782512680373911</v>
      </c>
      <c r="I31" s="225">
        <v>0.14503816793893132</v>
      </c>
      <c r="J31" s="222">
        <v>26.2</v>
      </c>
      <c r="K31" s="222">
        <v>30</v>
      </c>
      <c r="L31" s="225">
        <v>3.4351145038168024E-2</v>
      </c>
      <c r="M31" s="225">
        <v>-9.6666666666666623E-2</v>
      </c>
      <c r="N31" s="228"/>
      <c r="O31" s="222">
        <f t="shared" si="3"/>
        <v>-1</v>
      </c>
      <c r="P31" s="222">
        <f t="shared" si="4"/>
        <v>0</v>
      </c>
      <c r="Q31" s="222">
        <f t="shared" si="5"/>
        <v>1</v>
      </c>
      <c r="S31" s="229" t="s">
        <v>279</v>
      </c>
      <c r="T31" s="230">
        <v>0</v>
      </c>
      <c r="U31" s="386">
        <v>0.13351450489589745</v>
      </c>
    </row>
    <row r="32" spans="1:23" ht="15.75" customHeight="1" x14ac:dyDescent="0.2">
      <c r="A32" s="342"/>
      <c r="B32" s="222" t="s">
        <v>1586</v>
      </c>
      <c r="C32" s="223" cm="1">
        <f t="array" ref="C32:M32">tinh_du_lieu_cp(B32)</f>
        <v>21.2</v>
      </c>
      <c r="D32" s="224">
        <v>8227</v>
      </c>
      <c r="E32" s="225">
        <v>1.9199999999999998E-2</v>
      </c>
      <c r="F32" s="226">
        <v>0.97605985548442487</v>
      </c>
      <c r="G32" s="226">
        <v>1.0453251587475367</v>
      </c>
      <c r="H32" s="226">
        <v>0.58308507546960309</v>
      </c>
      <c r="I32" s="225">
        <v>0.17368421052631583</v>
      </c>
      <c r="J32" s="222">
        <v>19</v>
      </c>
      <c r="K32" s="222">
        <v>22.3</v>
      </c>
      <c r="L32" s="225">
        <v>0.11578947368421048</v>
      </c>
      <c r="M32" s="225">
        <v>-4.9327354260089745E-2</v>
      </c>
      <c r="N32" s="228"/>
      <c r="O32" s="222">
        <f t="shared" si="3"/>
        <v>1</v>
      </c>
      <c r="P32" s="222">
        <f t="shared" si="4"/>
        <v>1</v>
      </c>
      <c r="Q32" s="222">
        <f t="shared" si="5"/>
        <v>0</v>
      </c>
      <c r="S32" s="229" t="s">
        <v>2682</v>
      </c>
      <c r="T32" s="230">
        <v>0</v>
      </c>
      <c r="U32" s="386">
        <v>0.20202694084982389</v>
      </c>
    </row>
    <row r="33" spans="1:22" ht="15.75" customHeight="1" x14ac:dyDescent="0.2">
      <c r="A33" s="342"/>
      <c r="B33" s="222" t="s">
        <v>1816</v>
      </c>
      <c r="C33" s="223" cm="1">
        <f t="array" ref="C33:M33">tinh_du_lieu_cp(B33)</f>
        <v>13.85</v>
      </c>
      <c r="D33" s="224">
        <v>3329.1</v>
      </c>
      <c r="E33" s="225">
        <v>1.84E-2</v>
      </c>
      <c r="F33" s="226">
        <v>0.49590191406511841</v>
      </c>
      <c r="G33" s="226">
        <v>1.0314790139906731</v>
      </c>
      <c r="H33" s="226">
        <v>0.39306770148689812</v>
      </c>
      <c r="I33" s="225">
        <v>0.15810276679841898</v>
      </c>
      <c r="J33" s="222">
        <v>12.65</v>
      </c>
      <c r="K33" s="222">
        <v>14.65</v>
      </c>
      <c r="L33" s="225">
        <v>9.4861660079051321E-2</v>
      </c>
      <c r="M33" s="225">
        <v>-5.4607508532423257E-2</v>
      </c>
      <c r="N33" s="228"/>
      <c r="O33" s="222">
        <f t="shared" si="3"/>
        <v>1</v>
      </c>
      <c r="P33" s="222">
        <f t="shared" si="4"/>
        <v>1</v>
      </c>
      <c r="Q33" s="222">
        <f t="shared" si="5"/>
        <v>0</v>
      </c>
      <c r="S33" s="229" t="s">
        <v>2140</v>
      </c>
      <c r="T33" s="230">
        <v>0</v>
      </c>
      <c r="U33" s="386">
        <v>0.35940127641350783</v>
      </c>
      <c r="V33" s="99"/>
    </row>
    <row r="34" spans="1:22" ht="15.75" customHeight="1" x14ac:dyDescent="0.2">
      <c r="A34" s="342"/>
      <c r="B34" s="222" t="s">
        <v>2140</v>
      </c>
      <c r="C34" s="223" cm="1">
        <f t="array" ref="C34:M34">tinh_du_lieu_cp(B34)</f>
        <v>4.8</v>
      </c>
      <c r="D34" s="224">
        <v>612.20000000000005</v>
      </c>
      <c r="E34" s="225">
        <v>2.1299999999999999E-2</v>
      </c>
      <c r="F34" s="226">
        <v>0.69257667071189088</v>
      </c>
      <c r="G34" s="226">
        <v>1.0259780907668232</v>
      </c>
      <c r="H34" s="226">
        <v>0.75050569029278957</v>
      </c>
      <c r="I34" s="225">
        <v>0.20454545454545442</v>
      </c>
      <c r="J34" s="222">
        <v>4.4000000000000004</v>
      </c>
      <c r="K34" s="222">
        <v>5.3</v>
      </c>
      <c r="L34" s="225">
        <v>9.0909090909090787E-2</v>
      </c>
      <c r="M34" s="225">
        <v>-9.4339622641509441E-2</v>
      </c>
      <c r="N34" s="228"/>
      <c r="O34" s="222">
        <f t="shared" si="3"/>
        <v>1</v>
      </c>
      <c r="P34" s="222">
        <f t="shared" si="4"/>
        <v>1</v>
      </c>
      <c r="Q34" s="222">
        <f t="shared" si="5"/>
        <v>0</v>
      </c>
      <c r="S34" s="229" t="s">
        <v>294</v>
      </c>
      <c r="T34" s="230">
        <v>0</v>
      </c>
      <c r="U34" s="386">
        <v>0.15260937668343541</v>
      </c>
      <c r="V34" s="99"/>
    </row>
    <row r="35" spans="1:22" x14ac:dyDescent="0.2">
      <c r="B35" s="222" t="s">
        <v>2226</v>
      </c>
      <c r="C35" s="223" cm="1">
        <f t="array" ref="C35:M35">tinh_du_lieu_cp(B35)</f>
        <v>17.600000000000001</v>
      </c>
      <c r="D35" s="224">
        <v>12675.5</v>
      </c>
      <c r="E35" s="225">
        <v>5.6999999999999993E-3</v>
      </c>
      <c r="F35" s="226">
        <v>0.86676523912731973</v>
      </c>
      <c r="G35" s="226">
        <v>0.99286987522281622</v>
      </c>
      <c r="H35" s="226">
        <v>0.68787150831925392</v>
      </c>
      <c r="I35" s="225">
        <v>0.1616766467065868</v>
      </c>
      <c r="J35" s="222">
        <v>16.7</v>
      </c>
      <c r="K35" s="222">
        <v>19.399999999999999</v>
      </c>
      <c r="L35" s="225">
        <v>5.3892215568862409E-2</v>
      </c>
      <c r="M35" s="225">
        <v>-9.278350515463904E-2</v>
      </c>
      <c r="N35" s="228"/>
      <c r="O35" s="222">
        <f>IF(E35&gt;0,1,IF(E35=0,0,-1))</f>
        <v>1</v>
      </c>
      <c r="P35" s="222">
        <f t="shared" si="4"/>
        <v>1</v>
      </c>
      <c r="Q35" s="222">
        <f t="shared" si="5"/>
        <v>0</v>
      </c>
      <c r="S35" s="229" t="s">
        <v>2983</v>
      </c>
      <c r="T35" s="230">
        <v>0</v>
      </c>
      <c r="U35" s="386">
        <v>0.64449902201567721</v>
      </c>
    </row>
    <row r="36" spans="1:22" x14ac:dyDescent="0.2">
      <c r="B36" s="222" t="s">
        <v>106</v>
      </c>
      <c r="C36" s="223" cm="1">
        <f t="array" ref="C36:M36">tinh_du_lieu_cp(B36)</f>
        <v>25.55</v>
      </c>
      <c r="D36" s="224">
        <v>17962.099999999999</v>
      </c>
      <c r="E36" s="225">
        <v>-3.9000000000000003E-3</v>
      </c>
      <c r="F36" s="226">
        <v>1.1424386038506826</v>
      </c>
      <c r="G36" s="226">
        <v>0.98602305069462082</v>
      </c>
      <c r="H36" s="226">
        <v>0.92870105629979682</v>
      </c>
      <c r="I36" s="225">
        <v>0.13307240704500972</v>
      </c>
      <c r="J36" s="222">
        <v>25.55</v>
      </c>
      <c r="K36" s="222">
        <v>28.95</v>
      </c>
      <c r="L36" s="225">
        <v>0</v>
      </c>
      <c r="M36" s="225">
        <v>-0.11744386873920548</v>
      </c>
      <c r="N36" s="228"/>
      <c r="O36" s="222">
        <f>IF(E36&gt;0,1,IF(E36=0,0,-1))</f>
        <v>-1</v>
      </c>
      <c r="P36" s="222">
        <f t="shared" si="4"/>
        <v>0</v>
      </c>
      <c r="Q36" s="222">
        <f t="shared" si="5"/>
        <v>1</v>
      </c>
      <c r="S36" s="229" t="s">
        <v>1002</v>
      </c>
      <c r="T36" s="230">
        <v>0</v>
      </c>
      <c r="U36" s="386">
        <v>0.11473897804833057</v>
      </c>
    </row>
    <row r="37" spans="1:22" x14ac:dyDescent="0.2">
      <c r="B37" s="222" t="s">
        <v>2640</v>
      </c>
      <c r="C37" s="223" cm="1">
        <f t="array" ref="C37:M37">tinh_du_lieu_cp(B37)</f>
        <v>23.4</v>
      </c>
      <c r="D37" s="224">
        <v>7708</v>
      </c>
      <c r="E37" s="225">
        <v>-1.2699999999999999E-2</v>
      </c>
      <c r="F37" s="226">
        <v>1.0673326690932619</v>
      </c>
      <c r="G37" s="226">
        <v>0.99827080438474614</v>
      </c>
      <c r="H37" s="226">
        <v>0.86856576219237358</v>
      </c>
      <c r="I37" s="225">
        <v>0.17094017094017094</v>
      </c>
      <c r="J37" s="222">
        <v>23.4</v>
      </c>
      <c r="K37" s="222">
        <v>27.4</v>
      </c>
      <c r="L37" s="225">
        <v>0</v>
      </c>
      <c r="M37" s="225">
        <v>-0.14598540145985403</v>
      </c>
      <c r="N37" s="228"/>
      <c r="O37" s="222">
        <f t="shared" ref="O37:O41" si="6">IF(E37&gt;0,1,IF(E37=0,0,-1))</f>
        <v>-1</v>
      </c>
      <c r="P37" s="222">
        <f t="shared" ref="P37:P41" si="7">IF(O37=1,1,0)</f>
        <v>0</v>
      </c>
      <c r="Q37" s="222">
        <f t="shared" ref="Q37:Q41" si="8">IF(O37&lt;0,1,0)</f>
        <v>1</v>
      </c>
      <c r="S37" s="229" t="s">
        <v>1586</v>
      </c>
      <c r="T37" s="230">
        <v>0</v>
      </c>
      <c r="U37" s="386">
        <v>0.52189219237054041</v>
      </c>
    </row>
    <row r="38" spans="1:22" x14ac:dyDescent="0.2">
      <c r="B38" s="222" t="s">
        <v>2660</v>
      </c>
      <c r="C38" s="223" cm="1">
        <f t="array" ref="C38:M38">tinh_du_lieu_cp(B38)</f>
        <v>14.5</v>
      </c>
      <c r="D38" s="224">
        <v>1149.4000000000001</v>
      </c>
      <c r="E38" s="225">
        <v>-3.4000000000000002E-3</v>
      </c>
      <c r="F38" s="226">
        <v>0.62638533146393061</v>
      </c>
      <c r="G38" s="226">
        <v>1.0447967980295563</v>
      </c>
      <c r="H38" s="226">
        <v>0.45898584387666141</v>
      </c>
      <c r="I38" s="225">
        <v>0.23106060606060613</v>
      </c>
      <c r="J38" s="222">
        <v>13.2</v>
      </c>
      <c r="K38" s="222">
        <v>16.25</v>
      </c>
      <c r="L38" s="225">
        <v>9.848484848484855E-2</v>
      </c>
      <c r="M38" s="225">
        <v>-0.1076923076923077</v>
      </c>
      <c r="N38" s="228"/>
      <c r="O38" s="222">
        <f t="shared" si="6"/>
        <v>-1</v>
      </c>
      <c r="P38" s="222">
        <f t="shared" si="7"/>
        <v>0</v>
      </c>
      <c r="Q38" s="222">
        <f t="shared" si="8"/>
        <v>1</v>
      </c>
      <c r="S38" s="229" t="s">
        <v>2731</v>
      </c>
      <c r="T38" s="230">
        <v>3.4000000000000002E-3</v>
      </c>
      <c r="U38" s="386">
        <v>0.34892108547159512</v>
      </c>
    </row>
    <row r="39" spans="1:22" x14ac:dyDescent="0.2">
      <c r="B39" s="222" t="s">
        <v>2682</v>
      </c>
      <c r="C39" s="223" cm="1">
        <f t="array" ref="C39:M39">tinh_du_lieu_cp(B39)</f>
        <v>10.3</v>
      </c>
      <c r="D39" s="224">
        <v>274.60000000000002</v>
      </c>
      <c r="E39" s="225">
        <v>0</v>
      </c>
      <c r="F39" s="226">
        <v>0.29508420929232931</v>
      </c>
      <c r="G39" s="226">
        <v>1.0047619047619047</v>
      </c>
      <c r="H39" s="226">
        <v>0.39948597337730035</v>
      </c>
      <c r="I39" s="225">
        <v>0.20588235294117663</v>
      </c>
      <c r="J39" s="222">
        <v>10.199999999999999</v>
      </c>
      <c r="K39" s="222">
        <v>12.3</v>
      </c>
      <c r="L39" s="225">
        <v>9.8039215686275914E-3</v>
      </c>
      <c r="M39" s="225">
        <v>-0.16260162601626016</v>
      </c>
      <c r="N39" s="228"/>
      <c r="O39" s="222">
        <f t="shared" si="6"/>
        <v>0</v>
      </c>
      <c r="P39" s="222">
        <f t="shared" si="7"/>
        <v>0</v>
      </c>
      <c r="Q39" s="222">
        <f t="shared" si="8"/>
        <v>0</v>
      </c>
      <c r="S39" s="229" t="s">
        <v>478</v>
      </c>
      <c r="T39" s="230">
        <v>6.0999999999999995E-3</v>
      </c>
      <c r="U39" s="386">
        <v>0.16130250214294461</v>
      </c>
    </row>
    <row r="40" spans="1:22" x14ac:dyDescent="0.2">
      <c r="B40" s="222" t="s">
        <v>2731</v>
      </c>
      <c r="C40" s="223" cm="1">
        <f t="array" ref="C40:M40">tinh_du_lieu_cp(B40)</f>
        <v>14.7</v>
      </c>
      <c r="D40" s="224">
        <v>21992</v>
      </c>
      <c r="E40" s="225">
        <v>3.4000000000000002E-3</v>
      </c>
      <c r="F40" s="226">
        <v>0.68725595491665481</v>
      </c>
      <c r="G40" s="226">
        <v>0.93357750045216126</v>
      </c>
      <c r="H40" s="226">
        <v>0.61959185973347852</v>
      </c>
      <c r="I40" s="225">
        <v>0.3208191126279864</v>
      </c>
      <c r="J40" s="222">
        <v>14.65</v>
      </c>
      <c r="K40" s="222">
        <v>19.350000000000001</v>
      </c>
      <c r="L40" s="225">
        <v>3.4129692832763777E-3</v>
      </c>
      <c r="M40" s="225">
        <v>-0.24031007751937994</v>
      </c>
      <c r="N40" s="228"/>
      <c r="O40" s="222">
        <f t="shared" si="6"/>
        <v>1</v>
      </c>
      <c r="P40" s="222">
        <f t="shared" si="7"/>
        <v>1</v>
      </c>
      <c r="Q40" s="222">
        <f t="shared" si="8"/>
        <v>0</v>
      </c>
      <c r="S40" s="229" t="s">
        <v>243</v>
      </c>
      <c r="T40" s="230">
        <v>6.8999999999999999E-3</v>
      </c>
      <c r="U40" s="386">
        <v>0.29695810769552156</v>
      </c>
    </row>
    <row r="41" spans="1:22" x14ac:dyDescent="0.2">
      <c r="B41" s="222" t="s">
        <v>119</v>
      </c>
      <c r="C41" s="223" cm="1">
        <f t="array" ref="C41:M41">tinh_du_lieu_cp(B41)</f>
        <v>17.7</v>
      </c>
      <c r="D41" s="224">
        <v>9105.1</v>
      </c>
      <c r="E41" s="225">
        <v>1.1399999999999999E-2</v>
      </c>
      <c r="F41" s="226">
        <v>0.53087500788445807</v>
      </c>
      <c r="G41" s="226">
        <v>1.0120705663881151</v>
      </c>
      <c r="H41" s="226">
        <v>0.48594484679963068</v>
      </c>
      <c r="I41" s="225">
        <v>0.20578778135048226</v>
      </c>
      <c r="J41" s="222">
        <v>15.55</v>
      </c>
      <c r="K41" s="222">
        <v>18.75</v>
      </c>
      <c r="L41" s="225">
        <v>0.1382636655948552</v>
      </c>
      <c r="M41" s="225">
        <v>-5.6000000000000036E-2</v>
      </c>
      <c r="N41" s="228"/>
      <c r="O41" s="222">
        <f t="shared" si="6"/>
        <v>1</v>
      </c>
      <c r="P41" s="222">
        <f t="shared" si="7"/>
        <v>1</v>
      </c>
      <c r="Q41" s="222">
        <f t="shared" si="8"/>
        <v>0</v>
      </c>
      <c r="S41" s="229" t="s">
        <v>2969</v>
      </c>
      <c r="T41" s="230">
        <v>-0.17440000000000003</v>
      </c>
      <c r="U41" s="386">
        <v>7.6105842645480912</v>
      </c>
    </row>
    <row r="42" spans="1:22" x14ac:dyDescent="0.2">
      <c r="B42" s="222" t="s">
        <v>3686</v>
      </c>
      <c r="C42" s="223" cm="1">
        <f t="array" ref="C42:M42">tinh_du_lieu_cp(B42)</f>
        <v>32.1</v>
      </c>
      <c r="D42" s="224">
        <v>2000.9</v>
      </c>
      <c r="E42" s="225">
        <v>3.0999999999999999E-3</v>
      </c>
      <c r="F42" s="226">
        <v>0.49858081644395413</v>
      </c>
      <c r="G42" s="226">
        <v>0.98286933042906088</v>
      </c>
      <c r="H42" s="226">
        <v>0.63568731897679198</v>
      </c>
      <c r="I42" s="225">
        <v>8.7499999999999911E-2</v>
      </c>
      <c r="J42" s="222">
        <v>32</v>
      </c>
      <c r="K42" s="222">
        <v>34.799999999999997</v>
      </c>
      <c r="L42" s="225">
        <v>3.1250000000000444E-3</v>
      </c>
      <c r="M42" s="225">
        <v>-7.7586206896551602E-2</v>
      </c>
      <c r="N42" s="228"/>
      <c r="O42" s="222">
        <f t="shared" ref="O42" si="9">IF(E42&gt;0,1,IF(E42=0,0,-1))</f>
        <v>1</v>
      </c>
      <c r="P42" s="222">
        <f t="shared" ref="P42" si="10">IF(O42=1,1,0)</f>
        <v>1</v>
      </c>
      <c r="Q42" s="222">
        <f t="shared" ref="Q42" si="11">IF(O42&lt;0,1,0)</f>
        <v>0</v>
      </c>
    </row>
    <row r="43" spans="1:22" x14ac:dyDescent="0.2">
      <c r="B43" s="222" t="s">
        <v>3689</v>
      </c>
      <c r="C43" s="223" cm="1">
        <f t="array" ref="C43:M43">tinh_du_lieu_cp(B43)</f>
        <v>41.95</v>
      </c>
      <c r="D43" s="224">
        <v>1100.5999999999999</v>
      </c>
      <c r="E43" s="225">
        <v>4.7999999999999996E-3</v>
      </c>
      <c r="F43" s="226">
        <v>0.49169149167321557</v>
      </c>
      <c r="G43" s="226">
        <v>0.98889294467330657</v>
      </c>
      <c r="H43" s="226">
        <v>0.56305315393666544</v>
      </c>
      <c r="I43" s="225">
        <v>0.18110236220472437</v>
      </c>
      <c r="J43" s="222">
        <v>38.1</v>
      </c>
      <c r="K43" s="222">
        <v>45</v>
      </c>
      <c r="L43" s="225">
        <v>0.10104986876640423</v>
      </c>
      <c r="M43" s="225">
        <v>-6.7777777777777715E-2</v>
      </c>
      <c r="N43" s="228"/>
      <c r="O43" s="222">
        <f t="shared" ref="O43" si="12">IF(E43&gt;0,1,IF(E43=0,0,-1))</f>
        <v>1</v>
      </c>
      <c r="P43" s="222">
        <f t="shared" ref="P43" si="13">IF(O43=1,1,0)</f>
        <v>1</v>
      </c>
      <c r="Q43" s="222">
        <f t="shared" ref="Q43" si="14">IF(O43&lt;0,1,0)</f>
        <v>0</v>
      </c>
    </row>
  </sheetData>
  <mergeCells count="18">
    <mergeCell ref="A20:A34"/>
    <mergeCell ref="F18:F19"/>
    <mergeCell ref="D18:D19"/>
    <mergeCell ref="E18:E19"/>
    <mergeCell ref="A18:A19"/>
    <mergeCell ref="B18:B19"/>
    <mergeCell ref="C18:C19"/>
    <mergeCell ref="A3:B3"/>
    <mergeCell ref="A1:F1"/>
    <mergeCell ref="A2:B2"/>
    <mergeCell ref="N18:N19"/>
    <mergeCell ref="G18:G19"/>
    <mergeCell ref="H18:H19"/>
    <mergeCell ref="I18:I19"/>
    <mergeCell ref="J18:J19"/>
    <mergeCell ref="K18:K19"/>
    <mergeCell ref="L18:L19"/>
    <mergeCell ref="M18:M19"/>
  </mergeCells>
  <conditionalFormatting sqref="A14:F17">
    <cfRule type="expression" dxfId="239" priority="331" stopIfTrue="1">
      <formula>A14="giảm"</formula>
    </cfRule>
    <cfRule type="expression" dxfId="238" priority="332" stopIfTrue="1">
      <formula>A14="tăng"</formula>
    </cfRule>
  </conditionalFormatting>
  <conditionalFormatting sqref="C20:C43">
    <cfRule type="expression" dxfId="237" priority="20" stopIfTrue="1">
      <formula>E20&gt;=6.8%</formula>
    </cfRule>
    <cfRule type="expression" dxfId="236" priority="21" stopIfTrue="1">
      <formula>AND(E20&gt;0%,E20&lt;6.8%)</formula>
    </cfRule>
    <cfRule type="expression" dxfId="235" priority="22" stopIfTrue="1">
      <formula>E20=0%</formula>
    </cfRule>
    <cfRule type="expression" dxfId="234" priority="23" stopIfTrue="1">
      <formula>AND(E20&gt;-6.8%, E20&lt;0%)</formula>
    </cfRule>
    <cfRule type="expression" dxfId="233" priority="24" stopIfTrue="1">
      <formula>E20&lt;=-6.8%</formula>
    </cfRule>
  </conditionalFormatting>
  <conditionalFormatting sqref="B20:B43">
    <cfRule type="expression" dxfId="232" priority="30" stopIfTrue="1">
      <formula>E20&gt;=6.8%</formula>
    </cfRule>
    <cfRule type="expression" dxfId="231" priority="31" stopIfTrue="1">
      <formula>AND(E20&gt;0%,E20&lt;6.8%)</formula>
    </cfRule>
    <cfRule type="expression" dxfId="230" priority="32" stopIfTrue="1">
      <formula>E20=0%</formula>
    </cfRule>
    <cfRule type="expression" dxfId="229" priority="33" stopIfTrue="1">
      <formula>AND(E20&gt;-6.8%, E20&lt;0%)</formula>
    </cfRule>
    <cfRule type="expression" dxfId="228" priority="34" stopIfTrue="1">
      <formula>E20&lt;=-6.8%</formula>
    </cfRule>
  </conditionalFormatting>
  <conditionalFormatting sqref="F21:F27 F29:F43">
    <cfRule type="colorScale" priority="13984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1:I27 I29:I43">
    <cfRule type="colorScale" priority="13988">
      <colorScale>
        <cfvo type="min"/>
        <cfvo type="percentile" val="50"/>
        <cfvo type="max"/>
        <color rgb="FFFF3829"/>
        <color rgb="FFFFC000"/>
        <color rgb="FF00A400"/>
      </colorScale>
    </cfRule>
  </conditionalFormatting>
  <conditionalFormatting sqref="L21:M27 L29:M29 L31:M36">
    <cfRule type="colorScale" priority="13992">
      <colorScale>
        <cfvo type="min"/>
        <cfvo type="percentile" val="50"/>
        <cfvo type="max"/>
        <color rgb="FFFF3829"/>
        <color rgb="FFFFC000"/>
        <color rgb="FF00BC55"/>
      </colorScale>
    </cfRule>
  </conditionalFormatting>
  <conditionalFormatting sqref="I20:I43">
    <cfRule type="colorScale" priority="13996">
      <colorScale>
        <cfvo type="min"/>
        <cfvo type="max"/>
        <color theme="0" tint="-4.9989318521683403E-2"/>
        <color rgb="FF00B050"/>
      </colorScale>
    </cfRule>
  </conditionalFormatting>
  <conditionalFormatting sqref="L20:L43">
    <cfRule type="colorScale" priority="13999">
      <colorScale>
        <cfvo type="min"/>
        <cfvo type="max"/>
        <color theme="0" tint="-4.9989318521683403E-2"/>
        <color rgb="FF00B050"/>
      </colorScale>
    </cfRule>
  </conditionalFormatting>
  <conditionalFormatting sqref="M20:M43">
    <cfRule type="colorScale" priority="14002">
      <colorScale>
        <cfvo type="min"/>
        <cfvo type="max"/>
        <color rgb="FFFF7C80"/>
        <color theme="0" tint="-4.9989318521683403E-2"/>
      </colorScale>
    </cfRule>
  </conditionalFormatting>
  <conditionalFormatting sqref="N20:N43">
    <cfRule type="colorScale" priority="14005">
      <colorScale>
        <cfvo type="min"/>
        <cfvo type="max"/>
        <color theme="0" tint="-4.9989318521683403E-2"/>
        <color rgb="FFFF0000"/>
      </colorScale>
    </cfRule>
  </conditionalFormatting>
  <conditionalFormatting sqref="L30:M30">
    <cfRule type="colorScale" priority="9">
      <colorScale>
        <cfvo type="min"/>
        <cfvo type="percentile" val="50"/>
        <cfvo type="max"/>
        <color rgb="FFFF3829"/>
        <color rgb="FFFFC000"/>
        <color rgb="FF00BC55"/>
      </colorScale>
    </cfRule>
  </conditionalFormatting>
  <conditionalFormatting sqref="L37:M41">
    <cfRule type="colorScale" priority="3">
      <colorScale>
        <cfvo type="min"/>
        <cfvo type="percentile" val="50"/>
        <cfvo type="max"/>
        <color rgb="FFFF3829"/>
        <color rgb="FFFFC000"/>
        <color rgb="FF00BC55"/>
      </colorScale>
    </cfRule>
  </conditionalFormatting>
  <conditionalFormatting sqref="L42:M42">
    <cfRule type="colorScale" priority="2">
      <colorScale>
        <cfvo type="min"/>
        <cfvo type="percentile" val="50"/>
        <cfvo type="max"/>
        <color rgb="FFFF3829"/>
        <color rgb="FFFFC000"/>
        <color rgb="FF00BC55"/>
      </colorScale>
    </cfRule>
  </conditionalFormatting>
  <conditionalFormatting sqref="L43:M43">
    <cfRule type="colorScale" priority="1">
      <colorScale>
        <cfvo type="min"/>
        <cfvo type="percentile" val="50"/>
        <cfvo type="max"/>
        <color rgb="FFFF3829"/>
        <color rgb="FFFFC000"/>
        <color rgb="FF00BC55"/>
      </colorScale>
    </cfRule>
  </conditionalFormatting>
  <pageMargins left="0.7" right="0.7" top="0.75" bottom="0.75" header="0.3" footer="0.3"/>
  <pageSetup paperSize="9" scale="37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B449A95-482D-47A3-9EE8-94C6B287062D}">
          <x14:formula1>
            <xm:f>'Nơi chứ dữ liệu'!$I$2:$N$2</xm:f>
          </x14:formula1>
          <xm:sqref>N20:N41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A04F0-B819-47CF-B2AF-DA51D46CA568}">
  <sheetPr codeName="Sheet14">
    <tabColor rgb="FF003366"/>
  </sheetPr>
  <dimension ref="A1:W30"/>
  <sheetViews>
    <sheetView zoomScaleNormal="100" workbookViewId="0">
      <selection activeCell="B20" sqref="B20:B29"/>
    </sheetView>
  </sheetViews>
  <sheetFormatPr defaultRowHeight="15" x14ac:dyDescent="0.2"/>
  <cols>
    <col min="1" max="1" width="8" customWidth="1"/>
    <col min="2" max="2" width="9.6640625" customWidth="1"/>
    <col min="3" max="3" width="10.3320312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</cols>
  <sheetData>
    <row r="1" spans="1:11" ht="15.75" x14ac:dyDescent="0.25">
      <c r="A1" s="332" t="s">
        <v>3140</v>
      </c>
      <c r="B1" s="332"/>
      <c r="C1" s="332"/>
      <c r="D1" s="332"/>
      <c r="E1" s="332"/>
      <c r="F1" s="332"/>
      <c r="K1" s="150"/>
    </row>
    <row r="2" spans="1:11" ht="15.75" x14ac:dyDescent="0.25">
      <c r="A2" s="332" t="s">
        <v>3141</v>
      </c>
      <c r="B2" s="332"/>
      <c r="C2" s="242" t="s">
        <v>3015</v>
      </c>
      <c r="D2" s="242" t="s">
        <v>3142</v>
      </c>
      <c r="E2" s="242" t="s">
        <v>3143</v>
      </c>
      <c r="F2" s="242" t="s">
        <v>3144</v>
      </c>
    </row>
    <row r="3" spans="1:11" x14ac:dyDescent="0.2">
      <c r="A3" s="340">
        <v>45839</v>
      </c>
      <c r="B3" s="340"/>
    </row>
    <row r="13" spans="1:11" ht="17.25" customHeight="1" x14ac:dyDescent="0.2"/>
    <row r="14" spans="1:11" ht="15.75" x14ac:dyDescent="0.2">
      <c r="A14" s="155" t="str">
        <f>"Tổng điểm nhóm hôm nay"&amp;" "&amp;SUM($O$20:O22)&amp;" "&amp;"trên tổng"&amp;" "&amp;$O$19</f>
        <v>Tổng điểm nhóm hôm nay 3 trên tổng 8</v>
      </c>
      <c r="B14" s="158"/>
      <c r="C14" s="158"/>
      <c r="D14" s="158"/>
      <c r="E14" s="158"/>
      <c r="F14" s="346" t="s">
        <v>3013</v>
      </c>
      <c r="G14" s="346"/>
    </row>
    <row r="15" spans="1:11" ht="15.75" x14ac:dyDescent="0.2">
      <c r="A15" s="159" t="str">
        <f>"Tổng điểm tăng nhóm hôm nay"&amp;" "&amp;$P$19</f>
        <v>Tổng điểm tăng nhóm hôm nay 8</v>
      </c>
      <c r="B15" s="160"/>
      <c r="C15" s="160"/>
      <c r="D15" s="160"/>
      <c r="E15" s="160"/>
      <c r="F15" s="156" t="s">
        <v>3014</v>
      </c>
      <c r="G15" s="156" t="s">
        <v>3008</v>
      </c>
    </row>
    <row r="16" spans="1:11" ht="15.75" x14ac:dyDescent="0.2">
      <c r="A16" s="159" t="str">
        <f>"Tổng điểm giảm nhóm hôm nay"&amp;" "&amp;$Q$19</f>
        <v>Tổng điểm giảm nhóm hôm nay 0</v>
      </c>
      <c r="B16" s="160"/>
      <c r="C16" s="160"/>
      <c r="D16" s="160"/>
      <c r="E16" s="160"/>
      <c r="F16" s="161">
        <f>AVERAGE(E20:E29)</f>
        <v>3.8050000000000007E-2</v>
      </c>
      <c r="G16" s="162">
        <f>AVERAGE(F20:F29)</f>
        <v>1.7706643929901884</v>
      </c>
    </row>
    <row r="17" spans="1:23" ht="15.75" x14ac:dyDescent="0.2">
      <c r="A17" s="155" t="str">
        <f>"Tổng điểm tham chiếu nhóm hôm nay"&amp;" "&amp;(O19-(P19+Q19))</f>
        <v>Tổng điểm tham chiếu nhóm hôm nay 0</v>
      </c>
      <c r="B17" s="158"/>
      <c r="C17" s="158"/>
      <c r="D17" s="158"/>
      <c r="E17" s="157"/>
      <c r="F17" s="160"/>
      <c r="G17" s="163"/>
    </row>
    <row r="18" spans="1:23" s="86" customFormat="1" ht="15.75" customHeight="1" x14ac:dyDescent="0.25">
      <c r="A18" s="167" t="s">
        <v>127</v>
      </c>
      <c r="B18" s="167" t="s">
        <v>16</v>
      </c>
      <c r="C18" s="348" t="s">
        <v>2949</v>
      </c>
      <c r="D18" s="167" t="s">
        <v>2950</v>
      </c>
      <c r="E18" s="348" t="s">
        <v>2951</v>
      </c>
      <c r="F18" s="345" t="s">
        <v>2952</v>
      </c>
      <c r="G18" s="345" t="s">
        <v>2964</v>
      </c>
      <c r="H18" s="345" t="s">
        <v>2953</v>
      </c>
      <c r="I18" s="345" t="s">
        <v>2954</v>
      </c>
      <c r="J18" s="345" t="s">
        <v>2956</v>
      </c>
      <c r="K18" s="345" t="s">
        <v>2955</v>
      </c>
      <c r="L18" s="345" t="s">
        <v>2957</v>
      </c>
      <c r="M18" s="345" t="s">
        <v>2963</v>
      </c>
      <c r="N18" s="345" t="s">
        <v>2958</v>
      </c>
      <c r="O18" s="169" t="s">
        <v>2959</v>
      </c>
      <c r="P18" s="137" t="s">
        <v>2972</v>
      </c>
      <c r="Q18" s="137" t="s">
        <v>2973</v>
      </c>
      <c r="T18" s="82" t="s">
        <v>2968</v>
      </c>
      <c r="U18" t="s">
        <v>2974</v>
      </c>
      <c r="V18" t="s">
        <v>2975</v>
      </c>
    </row>
    <row r="19" spans="1:23" s="86" customFormat="1" ht="15.75" x14ac:dyDescent="0.25">
      <c r="A19" s="168"/>
      <c r="B19" s="168"/>
      <c r="C19" s="344"/>
      <c r="D19" s="168"/>
      <c r="E19" s="344"/>
      <c r="F19" s="343"/>
      <c r="G19" s="343"/>
      <c r="H19" s="343"/>
      <c r="I19" s="343"/>
      <c r="J19" s="343"/>
      <c r="K19" s="343"/>
      <c r="L19" s="343"/>
      <c r="M19" s="343"/>
      <c r="N19" s="343"/>
      <c r="O19" s="137">
        <f>COUNT(O20:O27)</f>
        <v>8</v>
      </c>
      <c r="P19" s="137">
        <f>SUM(P20:P27)</f>
        <v>8</v>
      </c>
      <c r="Q19" s="137">
        <f>SUM(Q20:Q27)</f>
        <v>0</v>
      </c>
      <c r="T19" s="389" t="s">
        <v>701</v>
      </c>
      <c r="U19" s="387">
        <v>9.3999999999999986E-3</v>
      </c>
      <c r="V19" s="388">
        <v>0.33192516596258298</v>
      </c>
    </row>
    <row r="20" spans="1:23" ht="15.75" customHeight="1" x14ac:dyDescent="0.2">
      <c r="A20" s="347" t="s">
        <v>3139</v>
      </c>
      <c r="B20" s="222" t="s">
        <v>2018</v>
      </c>
      <c r="C20" s="223" cm="1">
        <f t="array" ref="C20:M20">tinh_du_lieu_cp(B20)</f>
        <v>19.899999999999999</v>
      </c>
      <c r="D20" s="224">
        <v>6788.1</v>
      </c>
      <c r="E20" s="225">
        <v>6.9599999999999995E-2</v>
      </c>
      <c r="F20" s="226">
        <v>1.9541992923891762</v>
      </c>
      <c r="G20" s="226">
        <v>1.0211394812112902</v>
      </c>
      <c r="H20" s="226">
        <v>1.5161254022123385</v>
      </c>
      <c r="I20" s="227">
        <v>0.22395298413785239</v>
      </c>
      <c r="J20" s="222">
        <v>17.526</v>
      </c>
      <c r="K20" s="222">
        <v>21.451000000000001</v>
      </c>
      <c r="L20" s="225">
        <v>0.13545589410019393</v>
      </c>
      <c r="M20" s="225">
        <v>-7.2304321476854311E-2</v>
      </c>
      <c r="N20" s="228"/>
      <c r="O20" s="222">
        <f t="shared" ref="O20:O29" si="0">IF(E20&gt;0,1,IF(E20=0,0,-1))</f>
        <v>1</v>
      </c>
      <c r="P20" s="222">
        <f t="shared" ref="P20:P29" si="1">IF(O20=1,1,0)</f>
        <v>1</v>
      </c>
      <c r="Q20" s="222">
        <f t="shared" ref="Q20:Q29" si="2">IF(O20&lt;0,1,0)</f>
        <v>0</v>
      </c>
      <c r="T20" s="389" t="s">
        <v>1906</v>
      </c>
      <c r="U20" s="387">
        <v>2.4799999999999999E-2</v>
      </c>
      <c r="V20" s="388">
        <v>0.64910851660783786</v>
      </c>
    </row>
    <row r="21" spans="1:23" ht="15.75" customHeight="1" x14ac:dyDescent="0.2">
      <c r="A21" s="347"/>
      <c r="B21" s="222" t="s">
        <v>2036</v>
      </c>
      <c r="C21" s="223" cm="1">
        <f t="array" ref="C21:M21">tinh_du_lieu_cp(B21)</f>
        <v>38.799999999999997</v>
      </c>
      <c r="D21" s="224">
        <v>6103</v>
      </c>
      <c r="E21" s="225">
        <v>4.8600000000000004E-2</v>
      </c>
      <c r="F21" s="226">
        <v>2.3987079784829821</v>
      </c>
      <c r="G21" s="226">
        <v>0.97768981648074871</v>
      </c>
      <c r="H21" s="226">
        <v>1.9848445427344867</v>
      </c>
      <c r="I21" s="225">
        <v>0.18055555555555555</v>
      </c>
      <c r="J21" s="222">
        <v>36</v>
      </c>
      <c r="K21" s="222">
        <v>42.5</v>
      </c>
      <c r="L21" s="225">
        <v>7.7777777777777696E-2</v>
      </c>
      <c r="M21" s="225">
        <v>-8.7058823529411827E-2</v>
      </c>
      <c r="N21" s="228"/>
      <c r="O21" s="222">
        <f t="shared" si="0"/>
        <v>1</v>
      </c>
      <c r="P21" s="222">
        <f t="shared" si="1"/>
        <v>1</v>
      </c>
      <c r="Q21" s="222">
        <f t="shared" si="2"/>
        <v>0</v>
      </c>
      <c r="T21" s="389" t="s">
        <v>2014</v>
      </c>
      <c r="U21" s="387">
        <v>3.0200000000000001E-2</v>
      </c>
      <c r="V21" s="388">
        <v>1.379232139964361</v>
      </c>
    </row>
    <row r="22" spans="1:23" ht="15.75" customHeight="1" x14ac:dyDescent="0.2">
      <c r="A22" s="347"/>
      <c r="B22" s="222" t="s">
        <v>2016</v>
      </c>
      <c r="C22" s="223" cm="1">
        <f t="array" ref="C22:M22">tinh_du_lieu_cp(B22)</f>
        <v>13.5</v>
      </c>
      <c r="D22" s="224">
        <v>851</v>
      </c>
      <c r="E22" s="225">
        <v>4.6500000000000007E-2</v>
      </c>
      <c r="F22" s="226">
        <v>1.7922649818112195</v>
      </c>
      <c r="G22" s="226">
        <v>0.9800599354541264</v>
      </c>
      <c r="H22" s="226">
        <v>1.8157249030973295</v>
      </c>
      <c r="I22" s="225">
        <v>0.36585365853658536</v>
      </c>
      <c r="J22" s="222">
        <v>12.3</v>
      </c>
      <c r="K22" s="222">
        <v>16.8</v>
      </c>
      <c r="L22" s="225">
        <v>9.7560975609756032E-2</v>
      </c>
      <c r="M22" s="225">
        <v>-0.19642857142857145</v>
      </c>
      <c r="N22" s="228"/>
      <c r="O22" s="222">
        <f t="shared" si="0"/>
        <v>1</v>
      </c>
      <c r="P22" s="222">
        <f t="shared" si="1"/>
        <v>1</v>
      </c>
      <c r="Q22" s="222">
        <f t="shared" si="2"/>
        <v>0</v>
      </c>
      <c r="T22" s="389" t="s">
        <v>1095</v>
      </c>
      <c r="U22" s="387">
        <v>3.4500000000000003E-2</v>
      </c>
      <c r="V22" s="388">
        <v>1.1216593064749909</v>
      </c>
    </row>
    <row r="23" spans="1:23" x14ac:dyDescent="0.2">
      <c r="A23" s="347"/>
      <c r="B23" s="222" t="s">
        <v>2014</v>
      </c>
      <c r="C23" s="223" cm="1">
        <f t="array" ref="C23:M23">tinh_du_lieu_cp(B23)</f>
        <v>23.9</v>
      </c>
      <c r="D23" s="224">
        <v>99.2</v>
      </c>
      <c r="E23" s="225">
        <v>3.0200000000000001E-2</v>
      </c>
      <c r="F23" s="226">
        <v>1.7370264247055076</v>
      </c>
      <c r="G23" s="226">
        <v>0.9731664798904246</v>
      </c>
      <c r="H23" s="226">
        <v>1.4681795757276763</v>
      </c>
      <c r="I23" s="225">
        <v>0.26293103448275867</v>
      </c>
      <c r="J23" s="222">
        <v>23.2</v>
      </c>
      <c r="K23" s="222">
        <v>29.3</v>
      </c>
      <c r="L23" s="225">
        <v>3.0172413793103418E-2</v>
      </c>
      <c r="M23" s="225">
        <v>-0.1843003412969284</v>
      </c>
      <c r="N23" s="228"/>
      <c r="O23" s="222">
        <f t="shared" si="0"/>
        <v>1</v>
      </c>
      <c r="P23" s="222">
        <f t="shared" si="1"/>
        <v>1</v>
      </c>
      <c r="Q23" s="222">
        <f t="shared" si="2"/>
        <v>0</v>
      </c>
      <c r="T23" s="389" t="s">
        <v>1912</v>
      </c>
      <c r="U23" s="387">
        <v>3.5200000000000002E-2</v>
      </c>
      <c r="V23" s="388">
        <v>1.0839100402232751</v>
      </c>
      <c r="W23" s="99"/>
    </row>
    <row r="24" spans="1:23" x14ac:dyDescent="0.2">
      <c r="A24" s="347"/>
      <c r="B24" s="222" t="s">
        <v>486</v>
      </c>
      <c r="C24" s="223" cm="1">
        <f t="array" ref="C24:M24">tinh_du_lieu_cp(B24)</f>
        <v>27.2</v>
      </c>
      <c r="D24" s="224">
        <v>18606.7</v>
      </c>
      <c r="E24" s="225">
        <v>5.6299999999999996E-2</v>
      </c>
      <c r="F24" s="226">
        <v>1.8664355892110354</v>
      </c>
      <c r="G24" s="226">
        <v>1.0106690508120995</v>
      </c>
      <c r="H24" s="226">
        <v>1.4716570744606527</v>
      </c>
      <c r="I24" s="225">
        <v>0.42948717948717968</v>
      </c>
      <c r="J24" s="222">
        <v>23.4</v>
      </c>
      <c r="K24" s="222">
        <v>33.450000000000003</v>
      </c>
      <c r="L24" s="225">
        <v>0.16239316239316243</v>
      </c>
      <c r="M24" s="225">
        <v>-0.18684603886397616</v>
      </c>
      <c r="N24" s="228"/>
      <c r="O24" s="222">
        <f t="shared" si="0"/>
        <v>1</v>
      </c>
      <c r="P24" s="222">
        <f t="shared" si="1"/>
        <v>1</v>
      </c>
      <c r="Q24" s="222">
        <f t="shared" si="2"/>
        <v>0</v>
      </c>
      <c r="T24" s="389" t="s">
        <v>1808</v>
      </c>
      <c r="U24" s="387">
        <v>4.2300000000000004E-2</v>
      </c>
      <c r="V24" s="388">
        <v>1.8205325266399586</v>
      </c>
    </row>
    <row r="25" spans="1:23" x14ac:dyDescent="0.2">
      <c r="A25" s="347"/>
      <c r="B25" s="222" t="s">
        <v>1912</v>
      </c>
      <c r="C25" s="223" cm="1">
        <f t="array" ref="C25:M25">tinh_du_lieu_cp(B25)</f>
        <v>36.799999999999997</v>
      </c>
      <c r="D25" s="224">
        <v>3602.8</v>
      </c>
      <c r="E25" s="225">
        <v>3.5200000000000002E-2</v>
      </c>
      <c r="F25" s="226">
        <v>1.6688233622132622</v>
      </c>
      <c r="G25" s="226">
        <v>0.9631398481508695</v>
      </c>
      <c r="H25" s="226">
        <v>1.3990188591325057</v>
      </c>
      <c r="I25" s="225">
        <v>0.29369627507163326</v>
      </c>
      <c r="J25" s="222">
        <v>34.9</v>
      </c>
      <c r="K25" s="222">
        <v>45.15</v>
      </c>
      <c r="L25" s="225">
        <v>5.4441260744985634E-2</v>
      </c>
      <c r="M25" s="225">
        <v>-0.18493909191583613</v>
      </c>
      <c r="N25" s="228"/>
      <c r="O25" s="222">
        <f t="shared" si="0"/>
        <v>1</v>
      </c>
      <c r="P25" s="222">
        <f t="shared" si="1"/>
        <v>1</v>
      </c>
      <c r="Q25" s="222">
        <f t="shared" si="2"/>
        <v>0</v>
      </c>
      <c r="T25" s="389" t="s">
        <v>486</v>
      </c>
      <c r="U25" s="387">
        <v>5.2400000000000002E-2</v>
      </c>
      <c r="V25" s="388">
        <v>1.2512005608569232</v>
      </c>
    </row>
    <row r="26" spans="1:23" x14ac:dyDescent="0.2">
      <c r="A26" s="347"/>
      <c r="B26" s="222" t="s">
        <v>1808</v>
      </c>
      <c r="C26" s="223" cm="1">
        <f t="array" ref="C26:M26">tinh_du_lieu_cp(B26)</f>
        <v>14.8</v>
      </c>
      <c r="D26" s="224">
        <v>4492.3999999999996</v>
      </c>
      <c r="E26" s="225">
        <v>4.2300000000000004E-2</v>
      </c>
      <c r="F26" s="226">
        <v>2.5907048677553801</v>
      </c>
      <c r="G26" s="226">
        <v>1.0174907500840902</v>
      </c>
      <c r="H26" s="226">
        <v>1.5467211421488742</v>
      </c>
      <c r="I26" s="225">
        <v>0.3385826771653544</v>
      </c>
      <c r="J26" s="222">
        <v>12.7</v>
      </c>
      <c r="K26" s="222">
        <v>17</v>
      </c>
      <c r="L26" s="225">
        <v>0.16535433070866154</v>
      </c>
      <c r="M26" s="225">
        <v>-0.12941176470588231</v>
      </c>
      <c r="N26" s="228"/>
      <c r="O26" s="222">
        <f t="shared" si="0"/>
        <v>1</v>
      </c>
      <c r="P26" s="222">
        <f t="shared" si="1"/>
        <v>1</v>
      </c>
      <c r="Q26" s="222">
        <f t="shared" si="2"/>
        <v>0</v>
      </c>
      <c r="T26" s="389" t="s">
        <v>2036</v>
      </c>
      <c r="U26" s="387">
        <v>5.4100000000000002E-2</v>
      </c>
      <c r="V26" s="388">
        <v>1.7651009929622143</v>
      </c>
    </row>
    <row r="27" spans="1:23" x14ac:dyDescent="0.2">
      <c r="A27" s="347"/>
      <c r="B27" s="222" t="s">
        <v>1906</v>
      </c>
      <c r="C27" s="223" cm="1">
        <f t="array" ref="C27:M27">tinh_du_lieu_cp(B27)</f>
        <v>20.7</v>
      </c>
      <c r="D27" s="224">
        <v>105.8</v>
      </c>
      <c r="E27" s="225">
        <v>2.4799999999999999E-2</v>
      </c>
      <c r="F27" s="226">
        <v>1.0343050124422326</v>
      </c>
      <c r="G27" s="226">
        <v>0.9874254978921353</v>
      </c>
      <c r="H27" s="226">
        <v>1.0748391466305454</v>
      </c>
      <c r="I27" s="225">
        <v>0.20792079207920788</v>
      </c>
      <c r="J27" s="222">
        <v>20.2</v>
      </c>
      <c r="K27" s="222">
        <v>24.4</v>
      </c>
      <c r="L27" s="225">
        <v>2.4752475247524754E-2</v>
      </c>
      <c r="M27" s="225">
        <v>-0.15163934426229506</v>
      </c>
      <c r="N27" s="228"/>
      <c r="O27" s="222">
        <f t="shared" si="0"/>
        <v>1</v>
      </c>
      <c r="P27" s="222">
        <f t="shared" si="1"/>
        <v>1</v>
      </c>
      <c r="Q27" s="222">
        <f t="shared" si="2"/>
        <v>0</v>
      </c>
      <c r="T27" s="389" t="s">
        <v>2016</v>
      </c>
      <c r="U27" s="387">
        <v>5.4299999999999994E-2</v>
      </c>
      <c r="V27" s="388">
        <v>1.3821179504209724</v>
      </c>
    </row>
    <row r="28" spans="1:23" x14ac:dyDescent="0.2">
      <c r="A28" s="347"/>
      <c r="B28" s="222" t="s">
        <v>701</v>
      </c>
      <c r="C28" s="223" cm="1">
        <f t="array" ref="C28:M28">tinh_du_lieu_cp(B28)</f>
        <v>20.95</v>
      </c>
      <c r="D28" s="224">
        <v>5</v>
      </c>
      <c r="E28" s="225">
        <v>-1.41E-2</v>
      </c>
      <c r="F28" s="226">
        <v>0.65398335315101075</v>
      </c>
      <c r="G28" s="226">
        <v>0.97273339715633078</v>
      </c>
      <c r="H28" s="226">
        <v>0.68807339449541283</v>
      </c>
      <c r="I28" s="225">
        <v>0.19950738916256161</v>
      </c>
      <c r="J28" s="222">
        <v>20.3</v>
      </c>
      <c r="K28" s="222">
        <v>24.35</v>
      </c>
      <c r="L28" s="225">
        <v>3.2019704433497463E-2</v>
      </c>
      <c r="M28" s="225">
        <v>-0.13963039014373724</v>
      </c>
      <c r="N28" s="228"/>
      <c r="O28" s="222">
        <f t="shared" si="0"/>
        <v>-1</v>
      </c>
      <c r="P28" s="222">
        <f t="shared" si="1"/>
        <v>0</v>
      </c>
      <c r="Q28" s="222">
        <f t="shared" si="2"/>
        <v>1</v>
      </c>
      <c r="T28" s="389" t="s">
        <v>2018</v>
      </c>
      <c r="U28" s="387">
        <v>6.9599999999999995E-2</v>
      </c>
      <c r="V28" s="388">
        <v>1.8659107480183914</v>
      </c>
    </row>
    <row r="29" spans="1:23" x14ac:dyDescent="0.2">
      <c r="A29" s="347"/>
      <c r="B29" s="222" t="s">
        <v>1095</v>
      </c>
      <c r="C29" s="223" cm="1">
        <f t="array" ref="C29:M29">tinh_du_lieu_cp(B29)</f>
        <v>78.5</v>
      </c>
      <c r="D29" s="224">
        <v>2251.8000000000002</v>
      </c>
      <c r="E29" s="225">
        <v>4.1100000000000005E-2</v>
      </c>
      <c r="F29" s="226">
        <v>2.0101930677400768</v>
      </c>
      <c r="G29" s="226">
        <v>0.970958787102285</v>
      </c>
      <c r="H29" s="226">
        <v>1.9388390614909952</v>
      </c>
      <c r="I29" s="225">
        <v>0.26530612244897961</v>
      </c>
      <c r="J29" s="222">
        <v>73.5</v>
      </c>
      <c r="K29" s="222">
        <v>93</v>
      </c>
      <c r="L29" s="225">
        <v>6.8027210884353748E-2</v>
      </c>
      <c r="M29" s="225">
        <v>-0.15591397849462366</v>
      </c>
      <c r="N29" s="228"/>
      <c r="O29" s="222">
        <f t="shared" si="0"/>
        <v>1</v>
      </c>
      <c r="P29" s="222">
        <f t="shared" si="1"/>
        <v>1</v>
      </c>
      <c r="Q29" s="222">
        <f t="shared" si="2"/>
        <v>0</v>
      </c>
      <c r="T29" s="376" t="s">
        <v>2969</v>
      </c>
      <c r="U29" s="387">
        <v>0.40679999999999999</v>
      </c>
      <c r="V29" s="388">
        <v>12.650697948131507</v>
      </c>
    </row>
    <row r="30" spans="1:23" x14ac:dyDescent="0.2">
      <c r="T30" s="231"/>
      <c r="U30" s="231"/>
      <c r="V30" s="231"/>
    </row>
  </sheetData>
  <mergeCells count="16">
    <mergeCell ref="A20:A29"/>
    <mergeCell ref="N18:N19"/>
    <mergeCell ref="C18:C19"/>
    <mergeCell ref="H18:H19"/>
    <mergeCell ref="I18:I19"/>
    <mergeCell ref="J18:J19"/>
    <mergeCell ref="K18:K19"/>
    <mergeCell ref="E18:E19"/>
    <mergeCell ref="F18:F19"/>
    <mergeCell ref="G18:G19"/>
    <mergeCell ref="L18:L19"/>
    <mergeCell ref="A3:B3"/>
    <mergeCell ref="A1:F1"/>
    <mergeCell ref="A2:B2"/>
    <mergeCell ref="M18:M19"/>
    <mergeCell ref="F14:G14"/>
  </mergeCells>
  <conditionalFormatting sqref="A14">
    <cfRule type="expression" dxfId="220" priority="286" stopIfTrue="1">
      <formula>A14="giảm"</formula>
    </cfRule>
    <cfRule type="expression" dxfId="219" priority="287" stopIfTrue="1">
      <formula>A14="tăng"</formula>
    </cfRule>
  </conditionalFormatting>
  <conditionalFormatting sqref="C20:C29">
    <cfRule type="expression" dxfId="218" priority="6" stopIfTrue="1">
      <formula>E20&gt;=6.8%</formula>
    </cfRule>
    <cfRule type="expression" dxfId="217" priority="7" stopIfTrue="1">
      <formula>AND(E20&gt;0%,E20&lt;6.8%)</formula>
    </cfRule>
    <cfRule type="expression" dxfId="216" priority="8" stopIfTrue="1">
      <formula>E20=0%</formula>
    </cfRule>
    <cfRule type="expression" dxfId="215" priority="9" stopIfTrue="1">
      <formula>AND(E20&gt;-6.8%, E20&lt;0%)</formula>
    </cfRule>
    <cfRule type="expression" dxfId="214" priority="10" stopIfTrue="1">
      <formula>E20&lt;=-6.8%</formula>
    </cfRule>
  </conditionalFormatting>
  <conditionalFormatting sqref="B20:B29">
    <cfRule type="expression" dxfId="213" priority="16" stopIfTrue="1">
      <formula>E20&gt;=6.8%</formula>
    </cfRule>
    <cfRule type="expression" dxfId="212" priority="17" stopIfTrue="1">
      <formula>AND(E20&gt;0%,E20&lt;6.8%)</formula>
    </cfRule>
    <cfRule type="expression" dxfId="211" priority="18" stopIfTrue="1">
      <formula>E20=0%</formula>
    </cfRule>
    <cfRule type="expression" dxfId="210" priority="19" stopIfTrue="1">
      <formula>AND(E20&gt;-6.8%, E20&lt;0%)</formula>
    </cfRule>
    <cfRule type="expression" dxfId="209" priority="20" stopIfTrue="1">
      <formula>E20&lt;=-6.8%</formula>
    </cfRule>
  </conditionalFormatting>
  <conditionalFormatting sqref="F21:F29">
    <cfRule type="colorScale" priority="18623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1:I29">
    <cfRule type="colorScale" priority="18625">
      <colorScale>
        <cfvo type="min"/>
        <cfvo type="percentile" val="50"/>
        <cfvo type="max"/>
        <color rgb="FFFF3829"/>
        <color rgb="FFFFC000"/>
        <color rgb="FF00A400"/>
      </colorScale>
    </cfRule>
  </conditionalFormatting>
  <conditionalFormatting sqref="L21:M29">
    <cfRule type="colorScale" priority="18627">
      <colorScale>
        <cfvo type="min"/>
        <cfvo type="percentile" val="50"/>
        <cfvo type="max"/>
        <color rgb="FFFF3829"/>
        <color rgb="FFFFC000"/>
        <color rgb="FF00BC55"/>
      </colorScale>
    </cfRule>
  </conditionalFormatting>
  <conditionalFormatting sqref="I20:I29">
    <cfRule type="colorScale" priority="18629">
      <colorScale>
        <cfvo type="min"/>
        <cfvo type="max"/>
        <color theme="0" tint="-4.9989318521683403E-2"/>
        <color rgb="FF00B050"/>
      </colorScale>
    </cfRule>
  </conditionalFormatting>
  <conditionalFormatting sqref="L20:L29">
    <cfRule type="colorScale" priority="18631">
      <colorScale>
        <cfvo type="min"/>
        <cfvo type="max"/>
        <color theme="0" tint="-4.9989318521683403E-2"/>
        <color rgb="FF00B050"/>
      </colorScale>
    </cfRule>
  </conditionalFormatting>
  <conditionalFormatting sqref="M20:M29">
    <cfRule type="colorScale" priority="18633">
      <colorScale>
        <cfvo type="min"/>
        <cfvo type="max"/>
        <color rgb="FFFF7C80"/>
        <color theme="0" tint="-4.9989318521683403E-2"/>
      </colorScale>
    </cfRule>
  </conditionalFormatting>
  <conditionalFormatting sqref="N20:N29">
    <cfRule type="colorScale" priority="18635">
      <colorScale>
        <cfvo type="min"/>
        <cfvo type="max"/>
        <color theme="0" tint="-4.9989318521683403E-2"/>
        <color rgb="FFFF0000"/>
      </colorScale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AF4CA3-663F-4698-A846-47449701EBE4}">
          <x14:formula1>
            <xm:f>'Nơi chứ dữ liệu'!$I$2:$N$2</xm:f>
          </x14:formula1>
          <xm:sqref>N20:N29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67759-CC7F-476E-AAF0-DB453B4F36A0}">
  <sheetPr codeName="Sheet17">
    <tabColor rgb="FFC00000"/>
  </sheetPr>
  <dimension ref="A1:W38"/>
  <sheetViews>
    <sheetView zoomScaleNormal="100" workbookViewId="0">
      <selection activeCell="F40" sqref="F40"/>
    </sheetView>
  </sheetViews>
  <sheetFormatPr defaultRowHeight="15" x14ac:dyDescent="0.2"/>
  <cols>
    <col min="1" max="1" width="8" customWidth="1"/>
    <col min="2" max="2" width="9.6640625" customWidth="1"/>
    <col min="3" max="3" width="10.7773437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</cols>
  <sheetData>
    <row r="1" spans="1:11" ht="15.75" x14ac:dyDescent="0.25">
      <c r="A1" s="332" t="s">
        <v>3140</v>
      </c>
      <c r="B1" s="332"/>
      <c r="C1" s="332"/>
      <c r="D1" s="332"/>
      <c r="E1" s="332"/>
      <c r="F1" s="332"/>
      <c r="K1" s="150"/>
    </row>
    <row r="2" spans="1:11" ht="15.75" x14ac:dyDescent="0.25">
      <c r="A2" s="332" t="s">
        <v>3141</v>
      </c>
      <c r="B2" s="332"/>
      <c r="C2" s="242" t="s">
        <v>3015</v>
      </c>
      <c r="D2" s="242" t="s">
        <v>3142</v>
      </c>
      <c r="E2" s="242" t="s">
        <v>3143</v>
      </c>
      <c r="F2" s="242" t="s">
        <v>3144</v>
      </c>
    </row>
    <row r="3" spans="1:11" x14ac:dyDescent="0.2">
      <c r="A3" s="340">
        <v>45839</v>
      </c>
      <c r="B3" s="340"/>
    </row>
    <row r="12" spans="1:11" ht="18" customHeight="1" x14ac:dyDescent="0.2"/>
    <row r="13" spans="1:11" ht="14.25" customHeight="1" x14ac:dyDescent="0.2"/>
    <row r="14" spans="1:11" ht="15.75" x14ac:dyDescent="0.2">
      <c r="A14" s="155" t="str">
        <f>"Tổng điểm nhóm hôm nay"&amp;" "&amp;SUM($O$20:O25)&amp;" "&amp;"trên tổng"&amp;" "&amp;$O$19</f>
        <v>Tổng điểm nhóm hôm nay -5 trên tổng 7</v>
      </c>
      <c r="B14" s="158"/>
      <c r="C14" s="158"/>
      <c r="D14" s="158"/>
      <c r="E14" s="158"/>
      <c r="F14" s="346" t="s">
        <v>3013</v>
      </c>
      <c r="G14" s="346"/>
    </row>
    <row r="15" spans="1:11" ht="15.75" x14ac:dyDescent="0.2">
      <c r="A15" s="159" t="str">
        <f>"Tổng điểm tăng nhóm hôm nay"&amp;" "&amp;$P$19</f>
        <v>Tổng điểm tăng nhóm hôm nay 0</v>
      </c>
      <c r="B15" s="160"/>
      <c r="C15" s="160"/>
      <c r="D15" s="160"/>
      <c r="E15" s="160"/>
      <c r="F15" s="156" t="s">
        <v>3014</v>
      </c>
      <c r="G15" s="156" t="s">
        <v>3008</v>
      </c>
    </row>
    <row r="16" spans="1:11" ht="15.75" x14ac:dyDescent="0.2">
      <c r="A16" s="159" t="str">
        <f>"Tổng điểm giảm nhóm hôm nay"&amp;" "&amp;$Q$19</f>
        <v>Tổng điểm giảm nhóm hôm nay 5</v>
      </c>
      <c r="B16" s="160"/>
      <c r="C16" s="160"/>
      <c r="D16" s="160"/>
      <c r="E16" s="160"/>
      <c r="F16" s="166">
        <f>AVERAGE(E20:E29)</f>
        <v>-4.5299999999999993E-3</v>
      </c>
      <c r="G16" s="162">
        <f>AVERAGE(F20:F29)</f>
        <v>0.65380361921014474</v>
      </c>
    </row>
    <row r="17" spans="1:23" ht="15.75" x14ac:dyDescent="0.2">
      <c r="A17" s="159" t="str">
        <f>"Tổng điểm tham chiếu nhóm hôm nay"&amp;" "&amp;(O19-(P19+Q19))</f>
        <v>Tổng điểm tham chiếu nhóm hôm nay 2</v>
      </c>
      <c r="B17" s="160"/>
      <c r="C17" s="160"/>
      <c r="D17" s="160"/>
      <c r="E17" s="160"/>
      <c r="F17" s="160"/>
      <c r="G17" s="163"/>
    </row>
    <row r="18" spans="1:23" s="86" customFormat="1" ht="15.75" customHeight="1" x14ac:dyDescent="0.25">
      <c r="A18" s="348" t="s">
        <v>127</v>
      </c>
      <c r="B18" s="348" t="s">
        <v>16</v>
      </c>
      <c r="C18" s="348" t="s">
        <v>2949</v>
      </c>
      <c r="D18" s="348" t="s">
        <v>2950</v>
      </c>
      <c r="E18" s="348" t="s">
        <v>2951</v>
      </c>
      <c r="F18" s="345" t="s">
        <v>2952</v>
      </c>
      <c r="G18" s="345" t="s">
        <v>2964</v>
      </c>
      <c r="H18" s="345" t="s">
        <v>2953</v>
      </c>
      <c r="I18" s="345" t="s">
        <v>2954</v>
      </c>
      <c r="J18" s="345" t="s">
        <v>2956</v>
      </c>
      <c r="K18" s="345" t="s">
        <v>2955</v>
      </c>
      <c r="L18" s="345" t="s">
        <v>2957</v>
      </c>
      <c r="M18" s="345" t="s">
        <v>2963</v>
      </c>
      <c r="N18" s="345" t="s">
        <v>2958</v>
      </c>
      <c r="O18" s="169" t="s">
        <v>2959</v>
      </c>
      <c r="P18" s="137" t="s">
        <v>2972</v>
      </c>
      <c r="Q18" s="137" t="s">
        <v>2973</v>
      </c>
      <c r="T18" s="82" t="s">
        <v>2968</v>
      </c>
      <c r="U18" t="s">
        <v>2974</v>
      </c>
      <c r="V18" t="s">
        <v>2975</v>
      </c>
    </row>
    <row r="19" spans="1:23" s="86" customFormat="1" ht="15.75" x14ac:dyDescent="0.25">
      <c r="A19" s="344"/>
      <c r="B19" s="344"/>
      <c r="C19" s="344"/>
      <c r="D19" s="344"/>
      <c r="E19" s="344"/>
      <c r="F19" s="343"/>
      <c r="G19" s="343"/>
      <c r="H19" s="343"/>
      <c r="I19" s="343"/>
      <c r="J19" s="343"/>
      <c r="K19" s="343"/>
      <c r="L19" s="343"/>
      <c r="M19" s="343"/>
      <c r="N19" s="343"/>
      <c r="O19" s="137">
        <f>COUNT(O20:O26)</f>
        <v>7</v>
      </c>
      <c r="P19" s="137">
        <f>SUM(P20:P26)</f>
        <v>0</v>
      </c>
      <c r="Q19" s="137">
        <f>SUM(Q20:Q26)</f>
        <v>5</v>
      </c>
      <c r="T19" s="376" t="s">
        <v>223</v>
      </c>
      <c r="U19" s="381">
        <v>-2.6000000000000002E-2</v>
      </c>
      <c r="V19" s="390">
        <v>0.78181346802924045</v>
      </c>
    </row>
    <row r="20" spans="1:23" ht="15.75" customHeight="1" x14ac:dyDescent="0.2">
      <c r="A20" s="347" t="s">
        <v>2992</v>
      </c>
      <c r="B20" s="222" t="s">
        <v>744</v>
      </c>
      <c r="C20" s="223" cm="1">
        <f t="array" ref="C20:M20">tinh_du_lieu_cp(B20)</f>
        <v>72.5</v>
      </c>
      <c r="D20" s="224">
        <v>187</v>
      </c>
      <c r="E20" s="225">
        <v>-1.7600000000000001E-2</v>
      </c>
      <c r="F20" s="226">
        <v>0.66289650322900207</v>
      </c>
      <c r="G20" s="226">
        <v>0.99473632764772024</v>
      </c>
      <c r="H20" s="226">
        <v>0.82836645691719213</v>
      </c>
      <c r="I20" s="227">
        <v>0.15432244123391473</v>
      </c>
      <c r="J20" s="222">
        <v>72.192999999999998</v>
      </c>
      <c r="K20" s="222">
        <v>83.334000000000003</v>
      </c>
      <c r="L20" s="225">
        <v>4.2524898535869432E-3</v>
      </c>
      <c r="M20" s="225">
        <v>-0.13000695994432049</v>
      </c>
      <c r="N20" s="228"/>
      <c r="O20" s="222">
        <f t="shared" ref="O20:O29" si="0">IF(E20&gt;0,1,IF(E20=0,0,-1))</f>
        <v>-1</v>
      </c>
      <c r="P20" s="222">
        <f t="shared" ref="P20:P29" si="1">IF(O20=1,1,0)</f>
        <v>0</v>
      </c>
      <c r="Q20" s="222">
        <f t="shared" ref="Q20:Q29" si="2">IF(O20&lt;0,1,0)</f>
        <v>1</v>
      </c>
      <c r="T20" s="376" t="s">
        <v>744</v>
      </c>
      <c r="U20" s="381">
        <v>-2.3E-2</v>
      </c>
      <c r="V20" s="390">
        <v>0.2131952352065985</v>
      </c>
    </row>
    <row r="21" spans="1:23" ht="15.75" customHeight="1" x14ac:dyDescent="0.2">
      <c r="A21" s="347"/>
      <c r="B21" s="222" t="s">
        <v>676</v>
      </c>
      <c r="C21" s="223" cm="1">
        <f t="array" ref="C21:M21">tinh_du_lieu_cp(B21)</f>
        <v>26.25</v>
      </c>
      <c r="D21" s="224">
        <v>136.1</v>
      </c>
      <c r="E21" s="225">
        <v>-7.6E-3</v>
      </c>
      <c r="F21" s="226">
        <v>0.76674092852935916</v>
      </c>
      <c r="G21" s="226">
        <v>0.9863314960191526</v>
      </c>
      <c r="H21" s="226">
        <v>0.70823937554206418</v>
      </c>
      <c r="I21" s="225">
        <v>0.10285714285714283</v>
      </c>
      <c r="J21" s="222">
        <v>26.25</v>
      </c>
      <c r="K21" s="222">
        <v>28.95</v>
      </c>
      <c r="L21" s="225">
        <v>0</v>
      </c>
      <c r="M21" s="225">
        <v>-9.3264248704663197E-2</v>
      </c>
      <c r="N21" s="228"/>
      <c r="O21" s="222">
        <f t="shared" si="0"/>
        <v>-1</v>
      </c>
      <c r="P21" s="222">
        <f t="shared" si="1"/>
        <v>0</v>
      </c>
      <c r="Q21" s="222">
        <f t="shared" si="2"/>
        <v>1</v>
      </c>
      <c r="T21" s="376" t="s">
        <v>676</v>
      </c>
      <c r="U21" s="381">
        <v>-1.5100000000000001E-2</v>
      </c>
      <c r="V21" s="390">
        <v>0.47292175086972327</v>
      </c>
    </row>
    <row r="22" spans="1:23" ht="15.75" customHeight="1" x14ac:dyDescent="0.2">
      <c r="A22" s="347"/>
      <c r="B22" s="222" t="s">
        <v>988</v>
      </c>
      <c r="C22" s="223" cm="1">
        <f t="array" ref="C22:M22">tinh_du_lieu_cp(B22)</f>
        <v>16.399999999999999</v>
      </c>
      <c r="D22" s="224">
        <v>182.3</v>
      </c>
      <c r="E22" s="225">
        <v>-1.4999999999999999E-2</v>
      </c>
      <c r="F22" s="226">
        <v>0.52885173268632313</v>
      </c>
      <c r="G22" s="226">
        <v>1.003729985443959</v>
      </c>
      <c r="H22" s="226">
        <v>0.67228027043638594</v>
      </c>
      <c r="I22" s="225">
        <v>0.13880126182965308</v>
      </c>
      <c r="J22" s="222">
        <v>15.85</v>
      </c>
      <c r="K22" s="222">
        <v>18.05</v>
      </c>
      <c r="L22" s="225">
        <v>3.4700315457413186E-2</v>
      </c>
      <c r="M22" s="225">
        <v>-9.1412742382271581E-2</v>
      </c>
      <c r="N22" s="228"/>
      <c r="O22" s="222">
        <f t="shared" si="0"/>
        <v>-1</v>
      </c>
      <c r="P22" s="222">
        <f t="shared" si="1"/>
        <v>0</v>
      </c>
      <c r="Q22" s="222">
        <f t="shared" si="2"/>
        <v>1</v>
      </c>
      <c r="T22" s="376" t="s">
        <v>988</v>
      </c>
      <c r="U22" s="381">
        <v>-1.4999999999999999E-2</v>
      </c>
      <c r="V22" s="390">
        <v>0.18334561532792926</v>
      </c>
    </row>
    <row r="23" spans="1:23" ht="15.75" customHeight="1" x14ac:dyDescent="0.2">
      <c r="A23" s="347"/>
      <c r="B23" s="222" t="s">
        <v>1038</v>
      </c>
      <c r="C23" s="223" cm="1">
        <f t="array" ref="C23:M23">tinh_du_lieu_cp(B23)</f>
        <v>70.3</v>
      </c>
      <c r="D23" s="224">
        <v>6626.8</v>
      </c>
      <c r="E23" s="225">
        <v>-2.8000000000000004E-3</v>
      </c>
      <c r="F23" s="226">
        <v>0.87040281987645129</v>
      </c>
      <c r="G23" s="226">
        <v>0.99744126541056077</v>
      </c>
      <c r="H23" s="226">
        <v>1.0451486730874375</v>
      </c>
      <c r="I23" s="225">
        <v>0.10999594484995943</v>
      </c>
      <c r="J23" s="222">
        <v>69.048000000000002</v>
      </c>
      <c r="K23" s="222">
        <v>76.643000000000001</v>
      </c>
      <c r="L23" s="225">
        <v>1.8132313752751639E-2</v>
      </c>
      <c r="M23" s="225">
        <v>-8.2760330362851187E-2</v>
      </c>
      <c r="N23" s="228"/>
      <c r="O23" s="222">
        <f t="shared" si="0"/>
        <v>-1</v>
      </c>
      <c r="P23" s="222">
        <f t="shared" si="1"/>
        <v>0</v>
      </c>
      <c r="Q23" s="222">
        <f t="shared" si="2"/>
        <v>1</v>
      </c>
      <c r="T23" s="376" t="s">
        <v>2851</v>
      </c>
      <c r="U23" s="381">
        <v>-6.0000000000000001E-3</v>
      </c>
      <c r="V23" s="390">
        <v>4.2771876842917042E-2</v>
      </c>
    </row>
    <row r="24" spans="1:23" ht="15.75" customHeight="1" x14ac:dyDescent="0.2">
      <c r="A24" s="347"/>
      <c r="B24" s="222" t="s">
        <v>1380</v>
      </c>
      <c r="C24" s="223">
        <f t="array" ref="C24:M24">tinh_du_lieu_cp(B24)</f>
        <v>17.399999999999999</v>
      </c>
      <c r="D24" s="224">
        <v>4.2</v>
      </c>
      <c r="E24" s="225">
        <v>0</v>
      </c>
      <c r="F24" s="226">
        <v>0.87087653157398681</v>
      </c>
      <c r="G24" s="226">
        <v>0.99528567103498988</v>
      </c>
      <c r="H24" s="226">
        <v>0.875</v>
      </c>
      <c r="I24" s="225">
        <v>7.5144508670520263E-2</v>
      </c>
      <c r="J24" s="222">
        <v>17.3</v>
      </c>
      <c r="K24" s="222">
        <v>18.600000000000001</v>
      </c>
      <c r="L24" s="225">
        <v>5.7803468208091251E-3</v>
      </c>
      <c r="M24" s="225">
        <v>-6.4516129032258215E-2</v>
      </c>
      <c r="N24" s="228"/>
      <c r="O24" s="222">
        <f t="shared" si="0"/>
        <v>0</v>
      </c>
      <c r="P24" s="222">
        <f t="shared" si="1"/>
        <v>0</v>
      </c>
      <c r="Q24" s="222">
        <f t="shared" si="2"/>
        <v>0</v>
      </c>
      <c r="T24" s="376" t="s">
        <v>1422</v>
      </c>
      <c r="U24" s="381">
        <v>-3.3E-3</v>
      </c>
      <c r="V24" s="390">
        <v>0.24549067563436258</v>
      </c>
    </row>
    <row r="25" spans="1:23" ht="15.75" customHeight="1" x14ac:dyDescent="0.2">
      <c r="A25" s="347"/>
      <c r="B25" s="222" t="s">
        <v>1422</v>
      </c>
      <c r="C25" s="223">
        <f t="array" ref="C25:M25">tinh_du_lieu_cp(B25)</f>
        <v>15.1</v>
      </c>
      <c r="D25" s="224">
        <v>1.1000000000000001</v>
      </c>
      <c r="E25" s="225">
        <v>-3.3E-3</v>
      </c>
      <c r="F25" s="226">
        <v>5.8496495044718391E-2</v>
      </c>
      <c r="G25" s="226">
        <v>0.9851229930770361</v>
      </c>
      <c r="H25" s="226">
        <v>0.13865546218487396</v>
      </c>
      <c r="I25" s="225">
        <v>8.6378737541528278E-2</v>
      </c>
      <c r="J25" s="222">
        <v>15.05</v>
      </c>
      <c r="K25" s="222">
        <v>16.350000000000001</v>
      </c>
      <c r="L25" s="225">
        <v>3.3222591362125535E-3</v>
      </c>
      <c r="M25" s="225">
        <v>-7.6452599388379311E-2</v>
      </c>
      <c r="N25" s="228"/>
      <c r="O25" s="222">
        <f t="shared" si="0"/>
        <v>-1</v>
      </c>
      <c r="P25" s="222">
        <f t="shared" si="1"/>
        <v>0</v>
      </c>
      <c r="Q25" s="222">
        <f t="shared" si="2"/>
        <v>1</v>
      </c>
      <c r="T25" s="376" t="s">
        <v>1038</v>
      </c>
      <c r="U25" s="381">
        <v>-2.8000000000000004E-3</v>
      </c>
      <c r="V25" s="390">
        <v>0.45675143626210279</v>
      </c>
    </row>
    <row r="26" spans="1:23" x14ac:dyDescent="0.2">
      <c r="A26" s="347"/>
      <c r="B26" s="222" t="s">
        <v>3164</v>
      </c>
      <c r="C26" s="223">
        <f t="array" ref="C26:M26">tinh_du_lieu_cp(B26)</f>
        <v>3.7</v>
      </c>
      <c r="D26" s="224">
        <v>63.7</v>
      </c>
      <c r="E26" s="225">
        <v>0</v>
      </c>
      <c r="F26" s="226">
        <v>1.2316751625944806</v>
      </c>
      <c r="G26" s="226">
        <v>0.98817966903073284</v>
      </c>
      <c r="H26" s="226">
        <v>0.8959212376933896</v>
      </c>
      <c r="I26" s="225">
        <v>0.21621621621621614</v>
      </c>
      <c r="J26" s="222">
        <v>3.7</v>
      </c>
      <c r="K26" s="222">
        <v>4.5</v>
      </c>
      <c r="L26" s="225">
        <v>0</v>
      </c>
      <c r="M26" s="225">
        <v>-0.17777777777777773</v>
      </c>
      <c r="N26" s="228"/>
      <c r="O26" s="222">
        <f t="shared" si="0"/>
        <v>0</v>
      </c>
      <c r="P26" s="222">
        <f t="shared" si="1"/>
        <v>0</v>
      </c>
      <c r="Q26" s="222">
        <f t="shared" si="2"/>
        <v>0</v>
      </c>
      <c r="T26" s="376" t="s">
        <v>1035</v>
      </c>
      <c r="U26" s="381">
        <v>-1.5E-3</v>
      </c>
      <c r="V26" s="390">
        <v>0.14132969595635148</v>
      </c>
      <c r="W26" s="99"/>
    </row>
    <row r="27" spans="1:23" x14ac:dyDescent="0.2">
      <c r="B27" s="222" t="s">
        <v>1035</v>
      </c>
      <c r="C27" s="223" cm="1">
        <f t="array" ref="C27:M27">tinh_du_lieu_cp(B27)</f>
        <v>68.099999999999994</v>
      </c>
      <c r="D27" s="224">
        <v>45.9</v>
      </c>
      <c r="E27" s="225">
        <v>0</v>
      </c>
      <c r="F27" s="226">
        <v>0.43828125000000001</v>
      </c>
      <c r="G27" s="226">
        <v>0.9441291923444588</v>
      </c>
      <c r="H27" s="226">
        <v>0.32723384030418251</v>
      </c>
      <c r="I27" s="225">
        <v>0.27019089574155664</v>
      </c>
      <c r="J27" s="222">
        <v>68.099999999999994</v>
      </c>
      <c r="K27" s="222">
        <v>86.5</v>
      </c>
      <c r="L27" s="225">
        <v>0</v>
      </c>
      <c r="M27" s="225">
        <v>-0.21271676300578041</v>
      </c>
      <c r="N27" s="228"/>
      <c r="O27" s="222">
        <f t="shared" si="0"/>
        <v>0</v>
      </c>
      <c r="P27" s="222">
        <f t="shared" si="1"/>
        <v>0</v>
      </c>
      <c r="Q27" s="222">
        <f t="shared" si="2"/>
        <v>0</v>
      </c>
      <c r="T27" s="376" t="s">
        <v>1380</v>
      </c>
      <c r="U27" s="381">
        <v>0</v>
      </c>
      <c r="V27" s="390">
        <v>0.44423076923076926</v>
      </c>
      <c r="W27" s="99"/>
    </row>
    <row r="28" spans="1:23" x14ac:dyDescent="0.2">
      <c r="B28" s="222" t="s">
        <v>2851</v>
      </c>
      <c r="C28" s="223" cm="1">
        <f t="array" ref="C28:M28">tinh_du_lieu_cp(B28)</f>
        <v>50.6</v>
      </c>
      <c r="D28" s="224">
        <v>0.8</v>
      </c>
      <c r="E28" s="225">
        <v>1.3999999999999999E-2</v>
      </c>
      <c r="F28" s="226">
        <v>0.11368994942089182</v>
      </c>
      <c r="G28" s="226">
        <v>0.9843692922923114</v>
      </c>
      <c r="H28" s="226">
        <v>0.17910447761194029</v>
      </c>
      <c r="I28" s="225">
        <v>0.11885841957717688</v>
      </c>
      <c r="J28" s="222">
        <v>47.442999999999998</v>
      </c>
      <c r="K28" s="222">
        <v>53.082000000000001</v>
      </c>
      <c r="L28" s="225">
        <v>6.6543009506144293E-2</v>
      </c>
      <c r="M28" s="225">
        <v>-4.6757846350928736E-2</v>
      </c>
      <c r="N28" s="228"/>
      <c r="O28" s="222">
        <f t="shared" si="0"/>
        <v>1</v>
      </c>
      <c r="P28" s="222">
        <f t="shared" si="1"/>
        <v>1</v>
      </c>
      <c r="Q28" s="222">
        <f t="shared" si="2"/>
        <v>0</v>
      </c>
      <c r="T28" s="376" t="s">
        <v>3164</v>
      </c>
      <c r="U28" s="381">
        <v>0</v>
      </c>
      <c r="V28" s="390">
        <v>0.74217344368477867</v>
      </c>
      <c r="W28" s="99"/>
    </row>
    <row r="29" spans="1:23" x14ac:dyDescent="0.2">
      <c r="B29" s="222" t="s">
        <v>223</v>
      </c>
      <c r="C29" s="223" cm="1">
        <f t="array" ref="C29:M29">tinh_du_lieu_cp(B29)</f>
        <v>7.6</v>
      </c>
      <c r="D29" s="224">
        <v>169.9</v>
      </c>
      <c r="E29" s="225">
        <v>-1.3000000000000001E-2</v>
      </c>
      <c r="F29" s="226">
        <v>0.99612481914623419</v>
      </c>
      <c r="G29" s="226">
        <v>0.95936086992704395</v>
      </c>
      <c r="H29" s="226">
        <v>1.3346425765907306</v>
      </c>
      <c r="I29" s="225">
        <v>0.12631578947368433</v>
      </c>
      <c r="J29" s="222">
        <v>7.6</v>
      </c>
      <c r="K29" s="222">
        <v>8.56</v>
      </c>
      <c r="L29" s="225">
        <v>0</v>
      </c>
      <c r="M29" s="225">
        <v>-0.11214953271028047</v>
      </c>
      <c r="N29" s="228"/>
      <c r="O29" s="222">
        <f t="shared" si="0"/>
        <v>-1</v>
      </c>
      <c r="P29" s="222">
        <f t="shared" si="1"/>
        <v>0</v>
      </c>
      <c r="Q29" s="222">
        <f t="shared" si="2"/>
        <v>1</v>
      </c>
      <c r="T29" s="376" t="s">
        <v>2969</v>
      </c>
      <c r="U29" s="381">
        <v>-9.2700000000000005E-2</v>
      </c>
      <c r="V29" s="390">
        <v>3.7240239670447735</v>
      </c>
      <c r="W29" s="99"/>
    </row>
    <row r="30" spans="1:23" x14ac:dyDescent="0.2">
      <c r="T30" s="231"/>
      <c r="U30" s="231"/>
      <c r="V30" s="241"/>
      <c r="W30" s="99"/>
    </row>
    <row r="31" spans="1:23" x14ac:dyDescent="0.2">
      <c r="V31" s="98"/>
      <c r="W31" s="99"/>
    </row>
    <row r="32" spans="1:23" x14ac:dyDescent="0.2">
      <c r="V32" s="98"/>
      <c r="W32" s="99"/>
    </row>
    <row r="33" spans="22:23" x14ac:dyDescent="0.2">
      <c r="V33" s="98"/>
      <c r="W33" s="99"/>
    </row>
    <row r="34" spans="22:23" x14ac:dyDescent="0.2">
      <c r="V34" s="98"/>
      <c r="W34" s="99"/>
    </row>
    <row r="35" spans="22:23" x14ac:dyDescent="0.2">
      <c r="V35" s="98"/>
      <c r="W35" s="99"/>
    </row>
    <row r="36" spans="22:23" x14ac:dyDescent="0.2">
      <c r="V36" s="98"/>
      <c r="W36" s="99"/>
    </row>
    <row r="37" spans="22:23" x14ac:dyDescent="0.2">
      <c r="V37" s="98"/>
      <c r="W37" s="99"/>
    </row>
    <row r="38" spans="22:23" x14ac:dyDescent="0.2">
      <c r="V38" s="98"/>
      <c r="W38" s="99"/>
    </row>
  </sheetData>
  <mergeCells count="19">
    <mergeCell ref="A20:A26"/>
    <mergeCell ref="E18:E19"/>
    <mergeCell ref="F18:F19"/>
    <mergeCell ref="G18:G19"/>
    <mergeCell ref="N18:N19"/>
    <mergeCell ref="H18:H19"/>
    <mergeCell ref="I18:I19"/>
    <mergeCell ref="J18:J19"/>
    <mergeCell ref="K18:K19"/>
    <mergeCell ref="L18:L19"/>
    <mergeCell ref="M18:M19"/>
    <mergeCell ref="A3:B3"/>
    <mergeCell ref="A1:F1"/>
    <mergeCell ref="A2:B2"/>
    <mergeCell ref="A18:A19"/>
    <mergeCell ref="B18:B19"/>
    <mergeCell ref="C18:C19"/>
    <mergeCell ref="D18:D19"/>
    <mergeCell ref="F14:G14"/>
  </mergeCells>
  <conditionalFormatting sqref="A14">
    <cfRule type="expression" dxfId="202" priority="320" stopIfTrue="1">
      <formula>A14="giảm"</formula>
    </cfRule>
    <cfRule type="expression" dxfId="201" priority="321" stopIfTrue="1">
      <formula>A14="tăng"</formula>
    </cfRule>
  </conditionalFormatting>
  <conditionalFormatting sqref="C20:C29">
    <cfRule type="expression" dxfId="200" priority="12" stopIfTrue="1">
      <formula>E20&gt;=6.8%</formula>
    </cfRule>
    <cfRule type="expression" dxfId="199" priority="13" stopIfTrue="1">
      <formula>AND(E20&gt;0%,E20&lt;6.8%)</formula>
    </cfRule>
    <cfRule type="expression" dxfId="198" priority="14" stopIfTrue="1">
      <formula>E20=0%</formula>
    </cfRule>
    <cfRule type="expression" dxfId="197" priority="15" stopIfTrue="1">
      <formula>AND(E20&gt;-6.8%, E20&lt;0%)</formula>
    </cfRule>
    <cfRule type="expression" dxfId="196" priority="16" stopIfTrue="1">
      <formula>E20&lt;=-6.8%</formula>
    </cfRule>
  </conditionalFormatting>
  <conditionalFormatting sqref="B20:B29">
    <cfRule type="expression" dxfId="195" priority="22" stopIfTrue="1">
      <formula>E20&gt;=6.8%</formula>
    </cfRule>
    <cfRule type="expression" dxfId="194" priority="23" stopIfTrue="1">
      <formula>AND(E20&gt;0%,E20&lt;6.8%)</formula>
    </cfRule>
    <cfRule type="expression" dxfId="193" priority="24" stopIfTrue="1">
      <formula>E20=0%</formula>
    </cfRule>
    <cfRule type="expression" dxfId="192" priority="25" stopIfTrue="1">
      <formula>AND(E20&gt;-6.8%, E20&lt;0%)</formula>
    </cfRule>
    <cfRule type="expression" dxfId="191" priority="26" stopIfTrue="1">
      <formula>E20&lt;=-6.8%</formula>
    </cfRule>
  </conditionalFormatting>
  <conditionalFormatting sqref="F21:F29">
    <cfRule type="colorScale" priority="18721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1:I29">
    <cfRule type="colorScale" priority="18722">
      <colorScale>
        <cfvo type="min"/>
        <cfvo type="percentile" val="50"/>
        <cfvo type="max"/>
        <color rgb="FFFF3829"/>
        <color rgb="FFFFC000"/>
        <color rgb="FF00A400"/>
      </colorScale>
    </cfRule>
  </conditionalFormatting>
  <conditionalFormatting sqref="L21:M26">
    <cfRule type="colorScale" priority="18723">
      <colorScale>
        <cfvo type="min"/>
        <cfvo type="percentile" val="50"/>
        <cfvo type="max"/>
        <color rgb="FFFF3829"/>
        <color rgb="FFFFC000"/>
        <color rgb="FF00BC55"/>
      </colorScale>
    </cfRule>
  </conditionalFormatting>
  <conditionalFormatting sqref="I20:I29">
    <cfRule type="colorScale" priority="18724">
      <colorScale>
        <cfvo type="min"/>
        <cfvo type="max"/>
        <color theme="0" tint="-4.9989318521683403E-2"/>
        <color rgb="FF00B050"/>
      </colorScale>
    </cfRule>
  </conditionalFormatting>
  <conditionalFormatting sqref="L20:L29">
    <cfRule type="colorScale" priority="18725">
      <colorScale>
        <cfvo type="min"/>
        <cfvo type="max"/>
        <color theme="0" tint="-4.9989318521683403E-2"/>
        <color rgb="FF00B050"/>
      </colorScale>
    </cfRule>
  </conditionalFormatting>
  <conditionalFormatting sqref="M20:M29">
    <cfRule type="colorScale" priority="18726">
      <colorScale>
        <cfvo type="min"/>
        <cfvo type="max"/>
        <color rgb="FFFF7C80"/>
        <color theme="0" tint="-4.9989318521683403E-2"/>
      </colorScale>
    </cfRule>
  </conditionalFormatting>
  <conditionalFormatting sqref="N20:N29">
    <cfRule type="colorScale" priority="18727">
      <colorScale>
        <cfvo type="min"/>
        <cfvo type="max"/>
        <color theme="0" tint="-4.9989318521683403E-2"/>
        <color rgb="FFFF0000"/>
      </colorScale>
    </cfRule>
  </conditionalFormatting>
  <conditionalFormatting sqref="L27:M29">
    <cfRule type="colorScale" priority="6">
      <colorScale>
        <cfvo type="min"/>
        <cfvo type="percentile" val="50"/>
        <cfvo type="max"/>
        <color rgb="FFFF3829"/>
        <color rgb="FFFFC000"/>
        <color rgb="FF00BC55"/>
      </colorScale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8E1FD7E-018F-416A-98BF-32E3853B3168}">
          <x14:formula1>
            <xm:f>'Nơi chứ dữ liệu'!$I$2:$N$2</xm:f>
          </x14:formula1>
          <xm:sqref>N20</xm:sqref>
        </x14:dataValidation>
        <x14:dataValidation type="list" allowBlank="1" showInputMessage="1" showErrorMessage="1" xr:uid="{6DBAC471-ABC8-4D1B-AA17-38596457A03E}">
          <x14:formula1>
            <xm:f>'Nơi chứ dữ liệu'!$I$2:$K$2</xm:f>
          </x14:formula1>
          <xm:sqref>N21:N29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3BC50-4B54-4FA3-AC0A-75CE39A0FB51}">
  <sheetPr codeName="Sheet30">
    <tabColor rgb="FFC00000"/>
  </sheetPr>
  <dimension ref="A1:W30"/>
  <sheetViews>
    <sheetView zoomScaleNormal="100" workbookViewId="0">
      <selection activeCell="C33" sqref="C33"/>
    </sheetView>
  </sheetViews>
  <sheetFormatPr defaultRowHeight="15" x14ac:dyDescent="0.2"/>
  <cols>
    <col min="1" max="1" width="8" customWidth="1"/>
    <col min="2" max="2" width="9.6640625" customWidth="1"/>
    <col min="3" max="3" width="10.7773437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19" max="19" width="11.88671875" bestFit="1" customWidth="1"/>
    <col min="20" max="20" width="12.33203125" bestFit="1" customWidth="1"/>
    <col min="21" max="21" width="16.33203125" bestFit="1" customWidth="1"/>
    <col min="22" max="23" width="20.109375" bestFit="1" customWidth="1"/>
  </cols>
  <sheetData>
    <row r="1" spans="1:11" ht="15.75" x14ac:dyDescent="0.25">
      <c r="A1" s="332" t="s">
        <v>3140</v>
      </c>
      <c r="B1" s="332"/>
      <c r="C1" s="332"/>
      <c r="D1" s="332"/>
      <c r="E1" s="332"/>
      <c r="F1" s="332"/>
      <c r="K1" s="150"/>
    </row>
    <row r="2" spans="1:11" ht="15.75" x14ac:dyDescent="0.25">
      <c r="A2" s="332" t="s">
        <v>3141</v>
      </c>
      <c r="B2" s="332"/>
      <c r="C2" s="242" t="s">
        <v>3015</v>
      </c>
      <c r="D2" s="242" t="s">
        <v>3142</v>
      </c>
      <c r="E2" s="242" t="s">
        <v>3143</v>
      </c>
      <c r="F2" s="242" t="s">
        <v>3144</v>
      </c>
    </row>
    <row r="3" spans="1:11" x14ac:dyDescent="0.2">
      <c r="A3" s="340">
        <v>45839</v>
      </c>
      <c r="B3" s="340"/>
    </row>
    <row r="12" spans="1:11" ht="18" customHeight="1" x14ac:dyDescent="0.2"/>
    <row r="13" spans="1:11" ht="14.25" customHeight="1" x14ac:dyDescent="0.2"/>
    <row r="14" spans="1:11" ht="15.75" x14ac:dyDescent="0.2">
      <c r="A14" s="155" t="str">
        <f>"Tổng điểm nhóm hôm nay"&amp;" "&amp;SUM($O$20:O22)&amp;" "&amp;"trên tổng"&amp;" "&amp;$O$19</f>
        <v>Tổng điểm nhóm hôm nay 0 trên tổng 4</v>
      </c>
      <c r="B14" s="158"/>
      <c r="C14" s="158"/>
      <c r="D14" s="158"/>
      <c r="E14" s="158"/>
      <c r="F14" s="346" t="s">
        <v>3013</v>
      </c>
      <c r="G14" s="346"/>
    </row>
    <row r="15" spans="1:11" ht="15.75" x14ac:dyDescent="0.2">
      <c r="A15" s="159" t="str">
        <f>"Tổng điểm tăng nhóm hôm nay"&amp;" "&amp;$P$19</f>
        <v>Tổng điểm tăng nhóm hôm nay 1</v>
      </c>
      <c r="B15" s="160"/>
      <c r="C15" s="160"/>
      <c r="D15" s="160"/>
      <c r="E15" s="160"/>
      <c r="F15" s="156" t="s">
        <v>3014</v>
      </c>
      <c r="G15" s="156" t="s">
        <v>3008</v>
      </c>
    </row>
    <row r="16" spans="1:11" ht="15.75" x14ac:dyDescent="0.2">
      <c r="A16" s="159" t="str">
        <f>"Tổng điểm giảm nhóm hôm nay"&amp;" "&amp;$Q$19</f>
        <v>Tổng điểm giảm nhóm hôm nay 1</v>
      </c>
      <c r="B16" s="160"/>
      <c r="C16" s="160"/>
      <c r="D16" s="160"/>
      <c r="E16" s="160"/>
      <c r="F16" s="161">
        <f>AVERAGE(E20:E30)</f>
        <v>1.7909090909090911E-3</v>
      </c>
      <c r="G16" s="162">
        <f>AVERAGE(F20:F30)</f>
        <v>0.85420253311892524</v>
      </c>
    </row>
    <row r="17" spans="1:23" ht="15.75" x14ac:dyDescent="0.2">
      <c r="A17" s="159" t="str">
        <f>"Tổng điểm tham chiếu nhóm hôm nay"&amp;" "&amp;(O19-(P19+Q19))</f>
        <v>Tổng điểm tham chiếu nhóm hôm nay 2</v>
      </c>
      <c r="B17" s="160"/>
      <c r="C17" s="160"/>
      <c r="D17" s="160"/>
      <c r="E17" s="160"/>
      <c r="F17" s="160"/>
      <c r="G17" s="163"/>
    </row>
    <row r="18" spans="1:23" s="86" customFormat="1" ht="15.75" customHeight="1" x14ac:dyDescent="0.25">
      <c r="A18" s="348" t="s">
        <v>127</v>
      </c>
      <c r="B18" s="348" t="s">
        <v>16</v>
      </c>
      <c r="C18" s="348" t="s">
        <v>2949</v>
      </c>
      <c r="D18" s="348" t="s">
        <v>2950</v>
      </c>
      <c r="E18" s="348" t="s">
        <v>2951</v>
      </c>
      <c r="F18" s="345" t="s">
        <v>2952</v>
      </c>
      <c r="G18" s="345" t="s">
        <v>2964</v>
      </c>
      <c r="H18" s="345" t="s">
        <v>2953</v>
      </c>
      <c r="I18" s="345" t="s">
        <v>2954</v>
      </c>
      <c r="J18" s="345" t="s">
        <v>2956</v>
      </c>
      <c r="K18" s="345" t="s">
        <v>2955</v>
      </c>
      <c r="L18" s="345" t="s">
        <v>2957</v>
      </c>
      <c r="M18" s="345" t="s">
        <v>2963</v>
      </c>
      <c r="N18" s="345" t="s">
        <v>2958</v>
      </c>
      <c r="O18" s="169" t="s">
        <v>2959</v>
      </c>
      <c r="P18" s="137" t="s">
        <v>2972</v>
      </c>
      <c r="Q18" s="137" t="s">
        <v>2973</v>
      </c>
      <c r="S18" s="82" t="s">
        <v>2968</v>
      </c>
      <c r="T18" t="s">
        <v>2974</v>
      </c>
      <c r="U18" t="s">
        <v>3118</v>
      </c>
      <c r="V18"/>
    </row>
    <row r="19" spans="1:23" s="86" customFormat="1" ht="15.75" x14ac:dyDescent="0.25">
      <c r="A19" s="344"/>
      <c r="B19" s="344"/>
      <c r="C19" s="344"/>
      <c r="D19" s="344"/>
      <c r="E19" s="344"/>
      <c r="F19" s="343"/>
      <c r="G19" s="343"/>
      <c r="H19" s="343"/>
      <c r="I19" s="343"/>
      <c r="J19" s="343"/>
      <c r="K19" s="343"/>
      <c r="L19" s="343"/>
      <c r="M19" s="343"/>
      <c r="N19" s="343"/>
      <c r="O19" s="137">
        <f>COUNT(O20:O23)</f>
        <v>4</v>
      </c>
      <c r="P19" s="137">
        <f>SUM(P20:P23)</f>
        <v>1</v>
      </c>
      <c r="Q19" s="137">
        <f>SUM(Q20:Q23)</f>
        <v>1</v>
      </c>
      <c r="S19" s="12" t="s">
        <v>524</v>
      </c>
      <c r="T19" s="379">
        <v>2.0899999999999998E-2</v>
      </c>
      <c r="U19" s="379">
        <v>221.2</v>
      </c>
      <c r="V19" s="231"/>
    </row>
    <row r="20" spans="1:23" ht="15.75" customHeight="1" x14ac:dyDescent="0.2">
      <c r="A20" s="349" t="s">
        <v>3074</v>
      </c>
      <c r="B20" s="222" t="s">
        <v>175</v>
      </c>
      <c r="C20" s="223" cm="1">
        <f t="array" ref="C20:M20">tinh_du_lieu_cp(B20)</f>
        <v>19.3</v>
      </c>
      <c r="D20" s="224">
        <v>17.7</v>
      </c>
      <c r="E20" s="225">
        <v>1.0500000000000001E-2</v>
      </c>
      <c r="F20" s="226">
        <v>1.4783599088838271</v>
      </c>
      <c r="G20" s="226">
        <v>0.99647058823529422</v>
      </c>
      <c r="H20" s="226">
        <v>2.4413793103448276</v>
      </c>
      <c r="I20" s="227">
        <v>3.6649214659685826E-2</v>
      </c>
      <c r="J20" s="222">
        <v>19.100000000000001</v>
      </c>
      <c r="K20" s="222">
        <v>19.8</v>
      </c>
      <c r="L20" s="225">
        <v>1.0471204188481638E-2</v>
      </c>
      <c r="M20" s="225">
        <v>-2.5252525252525252E-2</v>
      </c>
      <c r="N20" s="228"/>
      <c r="O20" s="222">
        <f>IF(E20&gt;0,1,IF(E20=0,0,-1))</f>
        <v>1</v>
      </c>
      <c r="P20" s="222">
        <f>IF(O20=1,1,0)</f>
        <v>1</v>
      </c>
      <c r="Q20" s="222">
        <f>IF(O20&lt;0,1,0)</f>
        <v>0</v>
      </c>
      <c r="S20" s="12" t="s">
        <v>442</v>
      </c>
      <c r="T20" s="379">
        <v>1.4800000000000001E-2</v>
      </c>
      <c r="U20" s="379">
        <v>26</v>
      </c>
      <c r="V20" s="231"/>
    </row>
    <row r="21" spans="1:23" ht="15.75" customHeight="1" x14ac:dyDescent="0.2">
      <c r="A21" s="349"/>
      <c r="B21" s="222" t="s">
        <v>365</v>
      </c>
      <c r="C21" s="223">
        <f t="array" ref="C21:M21">tinh_du_lieu_cp(B21)</f>
        <v>2.5299999999999998</v>
      </c>
      <c r="D21" s="224">
        <v>0</v>
      </c>
      <c r="E21" s="225">
        <v>0</v>
      </c>
      <c r="F21" s="226" t="str">
        <v/>
      </c>
      <c r="G21" s="226">
        <v>0.99999999999999978</v>
      </c>
      <c r="H21" s="226" t="str">
        <v/>
      </c>
      <c r="I21" s="225">
        <v>0</v>
      </c>
      <c r="J21" s="222">
        <v>2.5299999999999998</v>
      </c>
      <c r="K21" s="222">
        <v>2.5299999999999998</v>
      </c>
      <c r="L21" s="225">
        <v>0</v>
      </c>
      <c r="M21" s="225">
        <v>0</v>
      </c>
      <c r="N21" s="228"/>
      <c r="O21" s="222">
        <f>IF(E21&gt;0,1,IF(E21=0,0,-1))</f>
        <v>0</v>
      </c>
      <c r="P21" s="222">
        <f>IF(O21=1,1,0)</f>
        <v>0</v>
      </c>
      <c r="Q21" s="222">
        <f>IF(O21&lt;0,1,0)</f>
        <v>0</v>
      </c>
      <c r="S21" s="12" t="s">
        <v>1806</v>
      </c>
      <c r="T21" s="379">
        <v>3.8E-3</v>
      </c>
      <c r="U21" s="379">
        <v>37.9</v>
      </c>
      <c r="V21" s="231"/>
    </row>
    <row r="22" spans="1:23" ht="15.75" customHeight="1" x14ac:dyDescent="0.2">
      <c r="A22" s="349"/>
      <c r="B22" s="222" t="s">
        <v>409</v>
      </c>
      <c r="C22" s="223" cm="1">
        <f t="array" ref="C22:M22">tinh_du_lieu_cp(B22)</f>
        <v>22.15</v>
      </c>
      <c r="D22" s="224">
        <v>50.6</v>
      </c>
      <c r="E22" s="225">
        <v>-2.2099999999999998E-2</v>
      </c>
      <c r="F22" s="226">
        <v>1.0878530245284863</v>
      </c>
      <c r="G22" s="226">
        <v>0.96836606365483202</v>
      </c>
      <c r="H22" s="226">
        <v>1.1499999999999999</v>
      </c>
      <c r="I22" s="225">
        <v>0.11738148984198653</v>
      </c>
      <c r="J22" s="222">
        <v>22.15</v>
      </c>
      <c r="K22" s="222">
        <v>24.75</v>
      </c>
      <c r="L22" s="225">
        <v>0</v>
      </c>
      <c r="M22" s="225">
        <v>-0.1050505050505051</v>
      </c>
      <c r="N22" s="228"/>
      <c r="O22" s="222">
        <f>IF(E22&gt;0,1,IF(E22=0,0,-1))</f>
        <v>-1</v>
      </c>
      <c r="P22" s="222">
        <f>IF(O22=1,1,0)</f>
        <v>0</v>
      </c>
      <c r="Q22" s="222">
        <f>IF(O22&lt;0,1,0)</f>
        <v>1</v>
      </c>
      <c r="S22" s="12" t="s">
        <v>1027</v>
      </c>
      <c r="T22" s="379">
        <v>2.8000000000000004E-3</v>
      </c>
      <c r="U22" s="379">
        <v>34.5</v>
      </c>
      <c r="V22" s="231"/>
    </row>
    <row r="23" spans="1:23" x14ac:dyDescent="0.2">
      <c r="A23" s="349"/>
      <c r="B23" s="222" t="s">
        <v>426</v>
      </c>
      <c r="C23" s="223">
        <f t="array" ref="C23:M23">tinh_du_lieu_cp(B23)</f>
        <v>8</v>
      </c>
      <c r="D23" s="224">
        <v>1.6</v>
      </c>
      <c r="E23" s="225">
        <v>0</v>
      </c>
      <c r="F23" s="226">
        <v>0.59863945578231292</v>
      </c>
      <c r="G23" s="226">
        <v>0.9859943977591038</v>
      </c>
      <c r="H23" s="226">
        <v>2.2325581395348837</v>
      </c>
      <c r="I23" s="225">
        <v>0.20253164556962019</v>
      </c>
      <c r="J23" s="222">
        <v>7.9</v>
      </c>
      <c r="K23" s="222">
        <v>9.5</v>
      </c>
      <c r="L23" s="225">
        <v>1.2658227848101221E-2</v>
      </c>
      <c r="M23" s="225">
        <v>-0.15789473684210525</v>
      </c>
      <c r="N23" s="228"/>
      <c r="O23" s="222">
        <f>IF(E23&gt;0,1,IF(E23=0,0,-1))</f>
        <v>0</v>
      </c>
      <c r="P23" s="222">
        <f>IF(O23=1,1,0)</f>
        <v>0</v>
      </c>
      <c r="Q23" s="222">
        <f>IF(O23&lt;0,1,0)</f>
        <v>0</v>
      </c>
      <c r="S23" s="12" t="s">
        <v>998</v>
      </c>
      <c r="T23" s="379">
        <v>0</v>
      </c>
      <c r="U23" s="379">
        <v>582.4</v>
      </c>
      <c r="V23" s="241"/>
      <c r="W23" s="99"/>
    </row>
    <row r="24" spans="1:23" x14ac:dyDescent="0.2">
      <c r="A24" s="349"/>
      <c r="B24" s="222" t="s">
        <v>442</v>
      </c>
      <c r="C24" s="223" cm="1">
        <f t="array" ref="C24:M24">tinh_du_lieu_cp(B24)</f>
        <v>13.75</v>
      </c>
      <c r="D24" s="224">
        <v>39.9</v>
      </c>
      <c r="E24" s="225">
        <v>1.4800000000000001E-2</v>
      </c>
      <c r="F24" s="226">
        <v>0.36610084664470116</v>
      </c>
      <c r="G24" s="226">
        <v>0.9720712077603666</v>
      </c>
      <c r="H24" s="226">
        <v>0.38018103858980468</v>
      </c>
      <c r="I24" s="225">
        <v>0.15498154981549811</v>
      </c>
      <c r="J24" s="222">
        <v>13.55</v>
      </c>
      <c r="K24" s="222">
        <v>15.65</v>
      </c>
      <c r="L24" s="225">
        <v>1.4760147601475962E-2</v>
      </c>
      <c r="M24" s="225">
        <v>-0.12140575079872207</v>
      </c>
      <c r="N24" s="228"/>
      <c r="O24" s="222">
        <f t="shared" ref="O24:O30" si="0">IF(E24&gt;0,1,IF(E24=0,0,-1))</f>
        <v>1</v>
      </c>
      <c r="P24" s="222">
        <f t="shared" ref="P24:P30" si="1">IF(O24=1,1,0)</f>
        <v>1</v>
      </c>
      <c r="Q24" s="222">
        <f t="shared" ref="Q24:Q30" si="2">IF(O24&lt;0,1,0)</f>
        <v>0</v>
      </c>
      <c r="S24" s="12" t="s">
        <v>426</v>
      </c>
      <c r="T24" s="379">
        <v>0</v>
      </c>
      <c r="U24" s="379">
        <v>1.6</v>
      </c>
      <c r="V24" s="241"/>
      <c r="W24" s="99"/>
    </row>
    <row r="25" spans="1:23" x14ac:dyDescent="0.2">
      <c r="A25" s="349"/>
      <c r="B25" s="222" t="s">
        <v>524</v>
      </c>
      <c r="C25" s="223" cm="1">
        <f t="array" ref="C25:M25">tinh_du_lieu_cp(B25)</f>
        <v>58.6</v>
      </c>
      <c r="D25" s="224">
        <v>327.60000000000002</v>
      </c>
      <c r="E25" s="225">
        <v>1.9099999999999999E-2</v>
      </c>
      <c r="F25" s="226">
        <v>0.88732394366197187</v>
      </c>
      <c r="G25" s="226">
        <v>0.93819954844598141</v>
      </c>
      <c r="H25" s="226">
        <v>0.90555606744678885</v>
      </c>
      <c r="I25" s="225">
        <v>0.26260869565217382</v>
      </c>
      <c r="J25" s="222">
        <v>57.5</v>
      </c>
      <c r="K25" s="222">
        <v>72.599999999999994</v>
      </c>
      <c r="L25" s="225">
        <v>1.9130434782608719E-2</v>
      </c>
      <c r="M25" s="225">
        <v>-0.19283746556473821</v>
      </c>
      <c r="N25" s="228"/>
      <c r="O25" s="222">
        <f t="shared" si="0"/>
        <v>1</v>
      </c>
      <c r="P25" s="222">
        <f t="shared" si="1"/>
        <v>1</v>
      </c>
      <c r="Q25" s="222">
        <f t="shared" si="2"/>
        <v>0</v>
      </c>
      <c r="S25" s="12" t="s">
        <v>365</v>
      </c>
      <c r="T25" s="379">
        <v>0</v>
      </c>
      <c r="U25" s="379">
        <v>0</v>
      </c>
      <c r="V25" s="241"/>
      <c r="W25" s="99"/>
    </row>
    <row r="26" spans="1:23" x14ac:dyDescent="0.2">
      <c r="A26" s="349"/>
      <c r="B26" s="222" t="s">
        <v>998</v>
      </c>
      <c r="C26" s="223" cm="1">
        <f t="array" ref="C26:M26">tinh_du_lieu_cp(B26)</f>
        <v>12.85</v>
      </c>
      <c r="D26" s="224">
        <v>1154.2</v>
      </c>
      <c r="E26" s="225">
        <v>7.8000000000000005E-3</v>
      </c>
      <c r="F26" s="226">
        <v>0.41353679787632525</v>
      </c>
      <c r="G26" s="226">
        <v>0.96683250414593713</v>
      </c>
      <c r="H26" s="226">
        <v>0.50958432365212392</v>
      </c>
      <c r="I26" s="225">
        <v>0.11417322834645678</v>
      </c>
      <c r="J26" s="222">
        <v>12.7</v>
      </c>
      <c r="K26" s="222">
        <v>14.15</v>
      </c>
      <c r="L26" s="225">
        <v>1.1811023622047273E-2</v>
      </c>
      <c r="M26" s="225">
        <v>-9.1872791519434671E-2</v>
      </c>
      <c r="N26" s="228"/>
      <c r="O26" s="222">
        <f t="shared" si="0"/>
        <v>1</v>
      </c>
      <c r="P26" s="222">
        <f t="shared" si="1"/>
        <v>1</v>
      </c>
      <c r="Q26" s="222">
        <f t="shared" si="2"/>
        <v>0</v>
      </c>
      <c r="S26" s="12" t="s">
        <v>2575</v>
      </c>
      <c r="T26" s="379">
        <v>-1.15E-2</v>
      </c>
      <c r="U26" s="379">
        <v>6.6</v>
      </c>
      <c r="V26" s="241"/>
      <c r="W26" s="99"/>
    </row>
    <row r="27" spans="1:23" x14ac:dyDescent="0.2">
      <c r="A27" s="349"/>
      <c r="B27" s="222" t="s">
        <v>1027</v>
      </c>
      <c r="C27" s="223" cm="1">
        <f t="array" ref="C27:M27">tinh_du_lieu_cp(B27)</f>
        <v>3.53</v>
      </c>
      <c r="D27" s="224">
        <v>159.1</v>
      </c>
      <c r="E27" s="225">
        <v>0</v>
      </c>
      <c r="F27" s="226">
        <v>0.54308766485647786</v>
      </c>
      <c r="G27" s="226">
        <v>0.9533511197348209</v>
      </c>
      <c r="H27" s="226">
        <v>0.43839265212399536</v>
      </c>
      <c r="I27" s="225">
        <v>0.20679886685552409</v>
      </c>
      <c r="J27" s="222">
        <v>3.53</v>
      </c>
      <c r="K27" s="222">
        <v>4.26</v>
      </c>
      <c r="L27" s="225">
        <v>0</v>
      </c>
      <c r="M27" s="225">
        <v>-0.17136150234741784</v>
      </c>
      <c r="N27" s="228"/>
      <c r="O27" s="222">
        <f t="shared" si="0"/>
        <v>0</v>
      </c>
      <c r="P27" s="222">
        <f t="shared" si="1"/>
        <v>0</v>
      </c>
      <c r="Q27" s="222">
        <f t="shared" si="2"/>
        <v>0</v>
      </c>
      <c r="S27" s="12" t="s">
        <v>409</v>
      </c>
      <c r="T27" s="379">
        <v>-1.55E-2</v>
      </c>
      <c r="U27" s="379">
        <v>22</v>
      </c>
      <c r="V27" s="241"/>
      <c r="W27" s="99"/>
    </row>
    <row r="28" spans="1:23" x14ac:dyDescent="0.2">
      <c r="A28" s="349"/>
      <c r="B28" s="222" t="s">
        <v>1624</v>
      </c>
      <c r="C28" s="223" cm="1">
        <f t="array" ref="C28:M28">tinh_du_lieu_cp(B28)</f>
        <v>17.7</v>
      </c>
      <c r="D28" s="224">
        <v>266.89999999999998</v>
      </c>
      <c r="E28" s="225">
        <v>-2.8000000000000004E-3</v>
      </c>
      <c r="F28" s="226">
        <v>2.2140190792202405</v>
      </c>
      <c r="G28" s="226">
        <v>0.99871580839861307</v>
      </c>
      <c r="H28" s="226">
        <v>1.3932486514703324</v>
      </c>
      <c r="I28" s="225">
        <v>7.8034682080924733E-2</v>
      </c>
      <c r="J28" s="222">
        <v>17.3</v>
      </c>
      <c r="K28" s="222">
        <v>18.649999999999999</v>
      </c>
      <c r="L28" s="225">
        <v>2.312138728323691E-2</v>
      </c>
      <c r="M28" s="225">
        <v>-5.0938337801608544E-2</v>
      </c>
      <c r="N28" s="228"/>
      <c r="O28" s="222">
        <f t="shared" si="0"/>
        <v>-1</v>
      </c>
      <c r="P28" s="222">
        <f t="shared" si="1"/>
        <v>0</v>
      </c>
      <c r="Q28" s="222">
        <f t="shared" si="2"/>
        <v>1</v>
      </c>
      <c r="S28" s="12" t="s">
        <v>175</v>
      </c>
      <c r="T28" s="379">
        <v>-1.5700000000000002E-2</v>
      </c>
      <c r="U28" s="379">
        <v>5.7</v>
      </c>
      <c r="V28" s="241"/>
      <c r="W28" s="99"/>
    </row>
    <row r="29" spans="1:23" x14ac:dyDescent="0.2">
      <c r="A29" s="349"/>
      <c r="B29" s="222" t="s">
        <v>1806</v>
      </c>
      <c r="C29" s="223" cm="1">
        <f t="array" ref="C29:M29">tinh_du_lieu_cp(B29)</f>
        <v>2.62</v>
      </c>
      <c r="D29" s="224">
        <v>259.10000000000002</v>
      </c>
      <c r="E29" s="225">
        <v>-7.6E-3</v>
      </c>
      <c r="F29" s="226">
        <v>0.94582441468797174</v>
      </c>
      <c r="G29" s="226">
        <v>0.96485042735042725</v>
      </c>
      <c r="H29" s="226">
        <v>0.85291051736434964</v>
      </c>
      <c r="I29" s="227">
        <v>0.29389312977099236</v>
      </c>
      <c r="J29" s="222">
        <v>2.62</v>
      </c>
      <c r="K29" s="222">
        <v>3.39</v>
      </c>
      <c r="L29" s="225">
        <v>0</v>
      </c>
      <c r="M29" s="225">
        <v>-0.22713864306784662</v>
      </c>
      <c r="N29" s="228"/>
      <c r="O29" s="222">
        <f t="shared" si="0"/>
        <v>-1</v>
      </c>
      <c r="P29" s="222">
        <f t="shared" si="1"/>
        <v>0</v>
      </c>
      <c r="Q29" s="222">
        <f t="shared" si="2"/>
        <v>1</v>
      </c>
      <c r="S29" s="12" t="s">
        <v>1624</v>
      </c>
      <c r="T29" s="379">
        <v>-1.6899999999999998E-2</v>
      </c>
      <c r="U29" s="379">
        <v>37.9</v>
      </c>
      <c r="V29" s="241"/>
      <c r="W29" s="99"/>
    </row>
    <row r="30" spans="1:23" x14ac:dyDescent="0.2">
      <c r="A30" s="349"/>
      <c r="B30" s="222" t="s">
        <v>2575</v>
      </c>
      <c r="C30" s="223" cm="1">
        <f t="array" ref="C30:M30">tinh_du_lieu_cp(B30)</f>
        <v>8.6999999999999993</v>
      </c>
      <c r="D30" s="224">
        <v>6.8</v>
      </c>
      <c r="E30" s="225">
        <v>0</v>
      </c>
      <c r="F30" s="226">
        <v>7.2801950469368196E-3</v>
      </c>
      <c r="G30" s="226">
        <v>0.94397889509621358</v>
      </c>
      <c r="H30" s="226">
        <v>1.5852663480592142E-2</v>
      </c>
      <c r="I30" s="225">
        <v>0.45205479452054792</v>
      </c>
      <c r="J30" s="222">
        <v>7.3</v>
      </c>
      <c r="K30" s="222">
        <v>10.6</v>
      </c>
      <c r="L30" s="225">
        <v>0.19178082191780815</v>
      </c>
      <c r="M30" s="225">
        <v>-0.17924528301886797</v>
      </c>
      <c r="N30" s="228"/>
      <c r="O30" s="222">
        <f t="shared" si="0"/>
        <v>0</v>
      </c>
      <c r="P30" s="222">
        <f t="shared" si="1"/>
        <v>0</v>
      </c>
      <c r="Q30" s="222">
        <f t="shared" si="2"/>
        <v>0</v>
      </c>
      <c r="S30" s="12" t="s">
        <v>2969</v>
      </c>
      <c r="T30" s="379">
        <v>-1.7300000000000003E-2</v>
      </c>
      <c r="U30" s="379">
        <v>975.8</v>
      </c>
    </row>
  </sheetData>
  <mergeCells count="19">
    <mergeCell ref="N18:N19"/>
    <mergeCell ref="H18:H19"/>
    <mergeCell ref="I18:I19"/>
    <mergeCell ref="J18:J19"/>
    <mergeCell ref="K18:K19"/>
    <mergeCell ref="L18:L19"/>
    <mergeCell ref="M18:M19"/>
    <mergeCell ref="A3:B3"/>
    <mergeCell ref="A1:F1"/>
    <mergeCell ref="A2:B2"/>
    <mergeCell ref="A20:A30"/>
    <mergeCell ref="F14:G14"/>
    <mergeCell ref="A18:A19"/>
    <mergeCell ref="B18:B19"/>
    <mergeCell ref="C18:C19"/>
    <mergeCell ref="D18:D19"/>
    <mergeCell ref="E18:E19"/>
    <mergeCell ref="F18:F19"/>
    <mergeCell ref="G18:G19"/>
  </mergeCells>
  <conditionalFormatting sqref="A14">
    <cfRule type="expression" dxfId="184" priority="183" stopIfTrue="1">
      <formula>A14="giảm"</formula>
    </cfRule>
    <cfRule type="expression" dxfId="183" priority="184" stopIfTrue="1">
      <formula>A14="tăng"</formula>
    </cfRule>
  </conditionalFormatting>
  <conditionalFormatting sqref="C20:C30">
    <cfRule type="expression" dxfId="182" priority="6" stopIfTrue="1">
      <formula>E20&gt;=6.8%</formula>
    </cfRule>
    <cfRule type="expression" dxfId="181" priority="7" stopIfTrue="1">
      <formula>AND(E20&gt;0%,E20&lt;6.8%)</formula>
    </cfRule>
    <cfRule type="expression" dxfId="180" priority="8" stopIfTrue="1">
      <formula>E20=0%</formula>
    </cfRule>
    <cfRule type="expression" dxfId="179" priority="9" stopIfTrue="1">
      <formula>AND(E20&gt;-6.8%, E20&lt;0%)</formula>
    </cfRule>
    <cfRule type="expression" dxfId="178" priority="10" stopIfTrue="1">
      <formula>E20&lt;=-6.8%</formula>
    </cfRule>
  </conditionalFormatting>
  <conditionalFormatting sqref="B20:B30">
    <cfRule type="expression" dxfId="177" priority="16" stopIfTrue="1">
      <formula>E20&gt;=6.8%</formula>
    </cfRule>
    <cfRule type="expression" dxfId="176" priority="17" stopIfTrue="1">
      <formula>AND(E20&gt;0%,E20&lt;6.8%)</formula>
    </cfRule>
    <cfRule type="expression" dxfId="175" priority="18" stopIfTrue="1">
      <formula>E20=0%</formula>
    </cfRule>
    <cfRule type="expression" dxfId="174" priority="19" stopIfTrue="1">
      <formula>AND(E20&gt;-6.8%, E20&lt;0%)</formula>
    </cfRule>
    <cfRule type="expression" dxfId="173" priority="20" stopIfTrue="1">
      <formula>E20&lt;=-6.8%</formula>
    </cfRule>
  </conditionalFormatting>
  <conditionalFormatting sqref="F21:F28 F30">
    <cfRule type="colorScale" priority="18330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1:I28 I30">
    <cfRule type="colorScale" priority="18332">
      <colorScale>
        <cfvo type="min"/>
        <cfvo type="percentile" val="50"/>
        <cfvo type="max"/>
        <color rgb="FFFF3829"/>
        <color rgb="FFFFC000"/>
        <color rgb="FF00A400"/>
      </colorScale>
    </cfRule>
  </conditionalFormatting>
  <conditionalFormatting sqref="L21:M28 L30:M30">
    <cfRule type="colorScale" priority="18334">
      <colorScale>
        <cfvo type="min"/>
        <cfvo type="percentile" val="50"/>
        <cfvo type="max"/>
        <color rgb="FFFF3829"/>
        <color rgb="FFFFC000"/>
        <color rgb="FF00BC55"/>
      </colorScale>
    </cfRule>
  </conditionalFormatting>
  <conditionalFormatting sqref="I20:I30">
    <cfRule type="colorScale" priority="18336">
      <colorScale>
        <cfvo type="min"/>
        <cfvo type="max"/>
        <color theme="0" tint="-4.9989318521683403E-2"/>
        <color rgb="FF00B050"/>
      </colorScale>
    </cfRule>
  </conditionalFormatting>
  <conditionalFormatting sqref="L20:L30">
    <cfRule type="colorScale" priority="18337">
      <colorScale>
        <cfvo type="min"/>
        <cfvo type="max"/>
        <color theme="0" tint="-4.9989318521683403E-2"/>
        <color rgb="FF00B050"/>
      </colorScale>
    </cfRule>
  </conditionalFormatting>
  <conditionalFormatting sqref="M20:M30">
    <cfRule type="colorScale" priority="18338">
      <colorScale>
        <cfvo type="min"/>
        <cfvo type="max"/>
        <color rgb="FFFF7C80"/>
        <color theme="0" tint="-4.9989318521683403E-2"/>
      </colorScale>
    </cfRule>
  </conditionalFormatting>
  <conditionalFormatting sqref="N20:N30">
    <cfRule type="colorScale" priority="18339">
      <colorScale>
        <cfvo type="min"/>
        <cfvo type="max"/>
        <color theme="0" tint="-4.9989318521683403E-2"/>
        <color rgb="FFFF0000"/>
      </colorScale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033B80F-F77E-469E-871D-F0B3CA1505A4}">
          <x14:formula1>
            <xm:f>'Nơi chứ dữ liệu'!$I$2:$N$2</xm:f>
          </x14:formula1>
          <xm:sqref>N20</xm:sqref>
        </x14:dataValidation>
        <x14:dataValidation type="list" allowBlank="1" showInputMessage="1" showErrorMessage="1" xr:uid="{E534C4D6-BDAB-41D6-B344-627438D4BD2C}">
          <x14:formula1>
            <xm:f>'Nơi chứ dữ liệu'!$I$2:$K$2</xm:f>
          </x14:formula1>
          <xm:sqref>N21:N30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AEA33-4E83-4119-90EC-8E93D6B9F510}">
  <sheetPr codeName="Sheet20">
    <tabColor theme="6"/>
  </sheetPr>
  <dimension ref="A1:X31"/>
  <sheetViews>
    <sheetView zoomScaleNormal="100" workbookViewId="0">
      <selection activeCell="F17" sqref="F17"/>
    </sheetView>
  </sheetViews>
  <sheetFormatPr defaultRowHeight="15" x14ac:dyDescent="0.2"/>
  <cols>
    <col min="1" max="1" width="8" customWidth="1"/>
    <col min="2" max="2" width="9.6640625" customWidth="1"/>
    <col min="3" max="3" width="11.33203125" customWidth="1"/>
    <col min="4" max="4" width="11.21875" customWidth="1"/>
    <col min="5" max="5" width="13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  <col min="24" max="24" width="15.6640625" bestFit="1" customWidth="1"/>
  </cols>
  <sheetData>
    <row r="1" spans="1:11" ht="15.75" x14ac:dyDescent="0.25">
      <c r="A1" s="332" t="s">
        <v>3140</v>
      </c>
      <c r="B1" s="332"/>
      <c r="C1" s="332"/>
      <c r="D1" s="332"/>
      <c r="E1" s="332"/>
      <c r="F1" s="332"/>
      <c r="K1" s="150"/>
    </row>
    <row r="2" spans="1:11" ht="15.75" x14ac:dyDescent="0.25">
      <c r="A2" s="332" t="s">
        <v>3141</v>
      </c>
      <c r="B2" s="332"/>
      <c r="C2" s="242" t="s">
        <v>3015</v>
      </c>
      <c r="D2" s="242" t="s">
        <v>3142</v>
      </c>
      <c r="E2" s="242" t="s">
        <v>3143</v>
      </c>
      <c r="F2" s="242" t="s">
        <v>3144</v>
      </c>
    </row>
    <row r="3" spans="1:11" x14ac:dyDescent="0.2">
      <c r="A3" s="340">
        <v>45839</v>
      </c>
      <c r="B3" s="340"/>
    </row>
    <row r="12" spans="1:11" ht="18" customHeight="1" x14ac:dyDescent="0.2"/>
    <row r="13" spans="1:11" ht="14.25" customHeight="1" x14ac:dyDescent="0.2"/>
    <row r="14" spans="1:11" ht="15.75" x14ac:dyDescent="0.2">
      <c r="A14" s="155" t="str">
        <f>"Tổng điểm nhóm hôm nay"&amp;" "&amp;SUM($O$20:O20)&amp;" "&amp;"trên tổng"&amp;" "&amp;$O$19</f>
        <v>Tổng điểm nhóm hôm nay 1 trên tổng 6</v>
      </c>
      <c r="B14" s="158"/>
      <c r="C14" s="158"/>
      <c r="D14" s="158"/>
      <c r="E14" s="158"/>
      <c r="F14" s="346" t="s">
        <v>3013</v>
      </c>
      <c r="G14" s="346"/>
    </row>
    <row r="15" spans="1:11" ht="15.75" x14ac:dyDescent="0.2">
      <c r="A15" s="159" t="str">
        <f>"Tổng điểm tăng nhóm hôm nay"&amp;" "&amp;$P$19</f>
        <v>Tổng điểm tăng nhóm hôm nay 6</v>
      </c>
      <c r="B15" s="160"/>
      <c r="C15" s="160"/>
      <c r="D15" s="160"/>
      <c r="E15" s="160"/>
      <c r="F15" s="156" t="s">
        <v>3014</v>
      </c>
      <c r="G15" s="156" t="s">
        <v>3008</v>
      </c>
    </row>
    <row r="16" spans="1:11" ht="15.75" x14ac:dyDescent="0.2">
      <c r="A16" s="159" t="str">
        <f>"Tổng điểm giảm nhóm hôm nay"&amp;" "&amp;$Q$19</f>
        <v>Tổng điểm giảm nhóm hôm nay 0</v>
      </c>
      <c r="B16" s="160"/>
      <c r="C16" s="160"/>
      <c r="D16" s="160"/>
      <c r="E16" s="160"/>
      <c r="F16" s="164">
        <f>AVERAGE(E20:E31)</f>
        <v>1.685E-2</v>
      </c>
      <c r="G16" s="162">
        <f>AVERAGE(F20:F31)</f>
        <v>0.91124736238784176</v>
      </c>
    </row>
    <row r="17" spans="1:24" ht="15.75" x14ac:dyDescent="0.2">
      <c r="A17" s="159" t="str">
        <f>"Tổng điểm tham chiếu nhóm hôm nay"&amp;" "&amp;(O19-(P19+Q19))</f>
        <v>Tổng điểm tham chiếu nhóm hôm nay 0</v>
      </c>
      <c r="B17" s="160"/>
      <c r="C17" s="160"/>
      <c r="D17" s="160"/>
      <c r="E17" s="160"/>
      <c r="F17" s="160"/>
      <c r="G17" s="163"/>
    </row>
    <row r="18" spans="1:24" s="86" customFormat="1" ht="15.75" customHeight="1" x14ac:dyDescent="0.25">
      <c r="A18" s="339" t="s">
        <v>127</v>
      </c>
      <c r="B18" s="348" t="s">
        <v>16</v>
      </c>
      <c r="C18" s="348" t="s">
        <v>2949</v>
      </c>
      <c r="D18" s="348" t="s">
        <v>2950</v>
      </c>
      <c r="E18" s="348" t="s">
        <v>2951</v>
      </c>
      <c r="F18" s="345" t="s">
        <v>2952</v>
      </c>
      <c r="G18" s="345" t="s">
        <v>2964</v>
      </c>
      <c r="H18" s="345" t="s">
        <v>2953</v>
      </c>
      <c r="I18" s="345" t="s">
        <v>2954</v>
      </c>
      <c r="J18" s="345" t="s">
        <v>2956</v>
      </c>
      <c r="K18" s="345" t="s">
        <v>2955</v>
      </c>
      <c r="L18" s="345" t="s">
        <v>2957</v>
      </c>
      <c r="M18" s="345" t="s">
        <v>2963</v>
      </c>
      <c r="N18" s="345" t="s">
        <v>2958</v>
      </c>
      <c r="O18" s="169" t="s">
        <v>2959</v>
      </c>
      <c r="P18" s="137" t="s">
        <v>2972</v>
      </c>
      <c r="Q18" s="137" t="s">
        <v>2973</v>
      </c>
      <c r="T18" s="82" t="s">
        <v>2968</v>
      </c>
      <c r="U18" t="s">
        <v>2974</v>
      </c>
      <c r="V18" t="s">
        <v>2975</v>
      </c>
      <c r="X18"/>
    </row>
    <row r="19" spans="1:24" s="86" customFormat="1" ht="15.75" x14ac:dyDescent="0.25">
      <c r="A19" s="339"/>
      <c r="B19" s="344"/>
      <c r="C19" s="344"/>
      <c r="D19" s="344"/>
      <c r="E19" s="344"/>
      <c r="F19" s="343"/>
      <c r="G19" s="343"/>
      <c r="H19" s="343"/>
      <c r="I19" s="343"/>
      <c r="J19" s="343"/>
      <c r="K19" s="343"/>
      <c r="L19" s="343"/>
      <c r="M19" s="343"/>
      <c r="N19" s="343"/>
      <c r="O19" s="137">
        <f>COUNT(O20:O25)</f>
        <v>6</v>
      </c>
      <c r="P19" s="137">
        <f>SUM(P20:P25)</f>
        <v>6</v>
      </c>
      <c r="Q19" s="137">
        <f>SUM(Q20:Q25)</f>
        <v>0</v>
      </c>
      <c r="T19" s="229" t="s">
        <v>1861</v>
      </c>
      <c r="U19" s="230">
        <v>-2.0400000000000001E-2</v>
      </c>
      <c r="V19" s="386">
        <v>0.16201399077944051</v>
      </c>
      <c r="X19"/>
    </row>
    <row r="20" spans="1:24" ht="15.75" customHeight="1" x14ac:dyDescent="0.2">
      <c r="A20" s="347" t="s">
        <v>3186</v>
      </c>
      <c r="B20" s="222" t="s">
        <v>1673</v>
      </c>
      <c r="C20" s="223" cm="1">
        <f t="array" ref="C20:M20">tinh_du_lieu_cp(B20)</f>
        <v>76.8</v>
      </c>
      <c r="D20" s="224">
        <v>2788</v>
      </c>
      <c r="E20" s="225">
        <v>1.0500000000000001E-2</v>
      </c>
      <c r="F20" s="226">
        <v>0.7097045173428429</v>
      </c>
      <c r="G20" s="226">
        <v>0.990034124398945</v>
      </c>
      <c r="H20" s="226">
        <v>1.0100168456898582</v>
      </c>
      <c r="I20" s="227">
        <v>0.14868421052631575</v>
      </c>
      <c r="J20" s="222">
        <v>76</v>
      </c>
      <c r="K20" s="222">
        <v>87.3</v>
      </c>
      <c r="L20" s="225">
        <v>1.0526315789473648E-2</v>
      </c>
      <c r="M20" s="225">
        <v>-0.12027491408934708</v>
      </c>
      <c r="N20" s="228"/>
      <c r="O20" s="222">
        <f t="shared" ref="O20:O29" si="0">IF(E20&gt;0,1,IF(E20=0,0,-1))</f>
        <v>1</v>
      </c>
      <c r="P20" s="222">
        <f t="shared" ref="P20:P29" si="1">IF(O20=1,1,0)</f>
        <v>1</v>
      </c>
      <c r="Q20" s="222">
        <f t="shared" ref="Q20:Q29" si="2">IF(O20&lt;0,1,0)</f>
        <v>0</v>
      </c>
      <c r="T20" s="229" t="s">
        <v>1355</v>
      </c>
      <c r="U20" s="230">
        <v>-1.9900000000000001E-2</v>
      </c>
      <c r="V20" s="386">
        <v>0.52016904245768458</v>
      </c>
    </row>
    <row r="21" spans="1:24" ht="15.75" customHeight="1" x14ac:dyDescent="0.2">
      <c r="A21" s="347"/>
      <c r="B21" s="222" t="s">
        <v>1044</v>
      </c>
      <c r="C21" s="223" cm="1">
        <f t="array" ref="C21:M21">tinh_du_lieu_cp(B21)</f>
        <v>113.6</v>
      </c>
      <c r="D21" s="224">
        <v>95.8</v>
      </c>
      <c r="E21" s="225">
        <v>2.5999999999999999E-3</v>
      </c>
      <c r="F21" s="226">
        <v>0.30084108750427507</v>
      </c>
      <c r="G21" s="226">
        <v>0.95982358891054387</v>
      </c>
      <c r="H21" s="226">
        <v>0.53639417693169089</v>
      </c>
      <c r="I21" s="225">
        <v>0.27855251544571946</v>
      </c>
      <c r="J21" s="222">
        <v>113.3</v>
      </c>
      <c r="K21" s="222">
        <v>144.86000000000001</v>
      </c>
      <c r="L21" s="225">
        <v>2.647837599293885E-3</v>
      </c>
      <c r="M21" s="225">
        <v>-0.21579456026508365</v>
      </c>
      <c r="N21" s="228"/>
      <c r="O21" s="222">
        <f t="shared" si="0"/>
        <v>1</v>
      </c>
      <c r="P21" s="222">
        <f t="shared" si="1"/>
        <v>1</v>
      </c>
      <c r="Q21" s="222">
        <f t="shared" si="2"/>
        <v>0</v>
      </c>
      <c r="T21" s="229" t="s">
        <v>1673</v>
      </c>
      <c r="U21" s="230">
        <v>-7.9000000000000008E-3</v>
      </c>
      <c r="V21" s="386">
        <v>0.40105787436744117</v>
      </c>
    </row>
    <row r="22" spans="1:24" x14ac:dyDescent="0.2">
      <c r="A22" s="347"/>
      <c r="B22" s="222" t="s">
        <v>817</v>
      </c>
      <c r="C22" s="223" cm="1">
        <f t="array" ref="C22:M22">tinh_du_lieu_cp(B22)</f>
        <v>39</v>
      </c>
      <c r="D22" s="224">
        <v>357.6</v>
      </c>
      <c r="E22" s="225">
        <v>1.1699999999999999E-2</v>
      </c>
      <c r="F22" s="226">
        <v>0.50690068426953261</v>
      </c>
      <c r="G22" s="226">
        <v>0.97807067594811514</v>
      </c>
      <c r="H22" s="226">
        <v>0.73764912160071516</v>
      </c>
      <c r="I22" s="225">
        <v>0.16646753246753243</v>
      </c>
      <c r="J22" s="222">
        <v>38.5</v>
      </c>
      <c r="K22" s="222">
        <v>44.908999999999999</v>
      </c>
      <c r="L22" s="225">
        <v>1.2987012987012988E-2</v>
      </c>
      <c r="M22" s="225">
        <v>-0.13157718942750893</v>
      </c>
      <c r="N22" s="228"/>
      <c r="O22" s="222">
        <f t="shared" si="0"/>
        <v>1</v>
      </c>
      <c r="P22" s="222">
        <f t="shared" si="1"/>
        <v>1</v>
      </c>
      <c r="Q22" s="222">
        <f t="shared" si="2"/>
        <v>0</v>
      </c>
      <c r="T22" s="229" t="s">
        <v>1044</v>
      </c>
      <c r="U22" s="230">
        <v>-7.9000000000000008E-3</v>
      </c>
      <c r="V22" s="386">
        <v>0.15114207412458039</v>
      </c>
    </row>
    <row r="23" spans="1:24" x14ac:dyDescent="0.2">
      <c r="A23" s="347"/>
      <c r="B23" s="222" t="s">
        <v>1861</v>
      </c>
      <c r="C23" s="223" cm="1">
        <f t="array" ref="C23:M23">tinh_du_lieu_cp(B23)</f>
        <v>37.9</v>
      </c>
      <c r="D23" s="224">
        <v>353.4</v>
      </c>
      <c r="E23" s="225">
        <v>2.9900000000000003E-2</v>
      </c>
      <c r="F23" s="226">
        <v>0.4281452704810555</v>
      </c>
      <c r="G23" s="226">
        <v>1.0028279479722961</v>
      </c>
      <c r="H23" s="226">
        <v>0.69901737356847982</v>
      </c>
      <c r="I23" s="225">
        <v>0.2217424194666836</v>
      </c>
      <c r="J23" s="222">
        <v>31.725999999999999</v>
      </c>
      <c r="K23" s="222">
        <v>38.761000000000003</v>
      </c>
      <c r="L23" s="225">
        <v>0.19460379499464162</v>
      </c>
      <c r="M23" s="225">
        <v>-2.2213049198937181E-2</v>
      </c>
      <c r="N23" s="228"/>
      <c r="O23" s="222">
        <f t="shared" si="0"/>
        <v>1</v>
      </c>
      <c r="P23" s="222">
        <f t="shared" si="1"/>
        <v>1</v>
      </c>
      <c r="Q23" s="222">
        <f t="shared" si="2"/>
        <v>0</v>
      </c>
      <c r="T23" s="229" t="s">
        <v>1239</v>
      </c>
      <c r="U23" s="230">
        <v>-4.6999999999999993E-3</v>
      </c>
      <c r="V23" s="386">
        <v>0.18938965482073486</v>
      </c>
      <c r="W23" s="99"/>
    </row>
    <row r="24" spans="1:24" x14ac:dyDescent="0.2">
      <c r="A24" s="347"/>
      <c r="B24" s="222" t="s">
        <v>735</v>
      </c>
      <c r="C24" s="223">
        <f t="array" ref="C24:M24">tinh_du_lieu_cp(B24)</f>
        <v>17.05</v>
      </c>
      <c r="D24" s="224">
        <v>403.9</v>
      </c>
      <c r="E24" s="225">
        <v>5.8999999999999999E-3</v>
      </c>
      <c r="F24" s="226">
        <v>1.3640033770818942</v>
      </c>
      <c r="G24" s="226">
        <v>0.99105616204129965</v>
      </c>
      <c r="H24" s="226">
        <v>1.1057170233152349</v>
      </c>
      <c r="I24" s="225">
        <v>0.13939393939393943</v>
      </c>
      <c r="J24" s="222">
        <v>16.5</v>
      </c>
      <c r="K24" s="222">
        <v>18.8</v>
      </c>
      <c r="L24" s="225">
        <v>3.3333333333333375E-2</v>
      </c>
      <c r="M24" s="225">
        <v>-9.3085106382978719E-2</v>
      </c>
      <c r="N24" s="228"/>
      <c r="O24" s="222">
        <f t="shared" si="0"/>
        <v>1</v>
      </c>
      <c r="P24" s="222">
        <f t="shared" si="1"/>
        <v>1</v>
      </c>
      <c r="Q24" s="222">
        <f t="shared" si="2"/>
        <v>0</v>
      </c>
      <c r="T24" s="229" t="s">
        <v>817</v>
      </c>
      <c r="U24" s="230">
        <v>-3.9000000000000003E-3</v>
      </c>
      <c r="V24" s="386">
        <v>0.27637003028230928</v>
      </c>
      <c r="W24" s="99"/>
    </row>
    <row r="25" spans="1:24" x14ac:dyDescent="0.2">
      <c r="A25" s="347"/>
      <c r="B25" s="222" t="s">
        <v>1179</v>
      </c>
      <c r="C25" s="223">
        <f t="array" ref="C25:M25">tinh_du_lieu_cp(B25)</f>
        <v>9.3000000000000007</v>
      </c>
      <c r="D25" s="224">
        <v>195.3</v>
      </c>
      <c r="E25" s="225">
        <v>5.4000000000000003E-3</v>
      </c>
      <c r="F25" s="226">
        <v>1.8427689140504375</v>
      </c>
      <c r="G25" s="226">
        <v>0.98171762660978112</v>
      </c>
      <c r="H25" s="226">
        <v>1.9231905465288035</v>
      </c>
      <c r="I25" s="225">
        <v>0.1405405405405406</v>
      </c>
      <c r="J25" s="222">
        <v>9.25</v>
      </c>
      <c r="K25" s="222">
        <v>10.55</v>
      </c>
      <c r="L25" s="225">
        <v>5.405405405405482E-3</v>
      </c>
      <c r="M25" s="225">
        <v>-0.11848341232227487</v>
      </c>
      <c r="N25" s="228"/>
      <c r="O25" s="222">
        <f t="shared" si="0"/>
        <v>1</v>
      </c>
      <c r="P25" s="222">
        <f t="shared" si="1"/>
        <v>1</v>
      </c>
      <c r="Q25" s="222">
        <f t="shared" si="2"/>
        <v>0</v>
      </c>
      <c r="T25" s="229" t="s">
        <v>722</v>
      </c>
      <c r="U25" s="230">
        <v>-3.4999999999999996E-3</v>
      </c>
      <c r="V25" s="386">
        <v>0.13898069441564936</v>
      </c>
      <c r="W25" s="99"/>
    </row>
    <row r="26" spans="1:24" x14ac:dyDescent="0.2">
      <c r="A26" s="347"/>
      <c r="B26" s="222" t="s">
        <v>1934</v>
      </c>
      <c r="C26" s="223" cm="1">
        <f t="array" ref="C26:M26">tinh_du_lieu_cp(B26)</f>
        <v>46.9</v>
      </c>
      <c r="D26" s="224">
        <v>5620</v>
      </c>
      <c r="E26" s="225">
        <v>6.9599999999999995E-2</v>
      </c>
      <c r="F26" s="226">
        <v>1.7626144402088222</v>
      </c>
      <c r="G26" s="226">
        <v>0.80839127186150461</v>
      </c>
      <c r="H26" s="226">
        <v>0.62635599013284982</v>
      </c>
      <c r="I26" s="225">
        <v>0.74846066134549594</v>
      </c>
      <c r="J26" s="222">
        <v>43.85</v>
      </c>
      <c r="K26" s="222">
        <v>76.67</v>
      </c>
      <c r="L26" s="225">
        <v>6.9555302166476554E-2</v>
      </c>
      <c r="M26" s="225">
        <v>-0.38828746576235817</v>
      </c>
      <c r="N26" s="228"/>
      <c r="O26" s="222">
        <f t="shared" si="0"/>
        <v>1</v>
      </c>
      <c r="P26" s="222">
        <f t="shared" si="1"/>
        <v>1</v>
      </c>
      <c r="Q26" s="222">
        <f t="shared" si="2"/>
        <v>0</v>
      </c>
      <c r="T26" s="229" t="s">
        <v>1179</v>
      </c>
      <c r="U26" s="230">
        <v>-3.2000000000000002E-3</v>
      </c>
      <c r="V26" s="386">
        <v>0.59906197349847456</v>
      </c>
      <c r="W26" s="99"/>
    </row>
    <row r="27" spans="1:24" x14ac:dyDescent="0.2">
      <c r="A27" s="347"/>
      <c r="B27" s="222" t="s">
        <v>1239</v>
      </c>
      <c r="C27" s="223" cm="1">
        <f t="array" ref="C27:M27">tinh_du_lieu_cp(B27)</f>
        <v>11.05</v>
      </c>
      <c r="D27" s="224">
        <v>1483.6</v>
      </c>
      <c r="E27" s="225">
        <v>4.2500000000000003E-2</v>
      </c>
      <c r="F27" s="226">
        <v>1.4272059048593528</v>
      </c>
      <c r="G27" s="226">
        <v>0.9712434183880112</v>
      </c>
      <c r="H27" s="226">
        <v>1.4760965094104965</v>
      </c>
      <c r="I27" s="225">
        <v>0.27358490566037741</v>
      </c>
      <c r="J27" s="222">
        <v>10.6</v>
      </c>
      <c r="K27" s="222">
        <v>13.5</v>
      </c>
      <c r="L27" s="225">
        <v>4.2452830188679347E-2</v>
      </c>
      <c r="M27" s="225">
        <v>-0.18148148148148144</v>
      </c>
      <c r="N27" s="228"/>
      <c r="O27" s="222">
        <f t="shared" si="0"/>
        <v>1</v>
      </c>
      <c r="P27" s="222">
        <f t="shared" si="1"/>
        <v>1</v>
      </c>
      <c r="Q27" s="222">
        <f t="shared" si="2"/>
        <v>0</v>
      </c>
      <c r="T27" s="229" t="s">
        <v>735</v>
      </c>
      <c r="U27" s="230">
        <v>-2.8999999999999998E-3</v>
      </c>
      <c r="V27" s="386">
        <v>0.77158242140003475</v>
      </c>
      <c r="W27" s="99"/>
    </row>
    <row r="28" spans="1:24" x14ac:dyDescent="0.2">
      <c r="A28" s="347"/>
      <c r="B28" s="222" t="s">
        <v>768</v>
      </c>
      <c r="C28" s="223" cm="1">
        <f t="array" ref="C28:M28">tinh_du_lieu_cp(B28)</f>
        <v>2.9</v>
      </c>
      <c r="D28" s="224">
        <v>8</v>
      </c>
      <c r="E28" s="225">
        <v>1.7500000000000002E-2</v>
      </c>
      <c r="F28" s="226">
        <v>8.0058224163027658E-2</v>
      </c>
      <c r="G28" s="226">
        <v>0.92994048455878875</v>
      </c>
      <c r="H28" s="226">
        <v>8.1967213114754092E-2</v>
      </c>
      <c r="I28" s="225">
        <v>0.44800000000000006</v>
      </c>
      <c r="J28" s="222">
        <v>2.5</v>
      </c>
      <c r="K28" s="222">
        <v>3.62</v>
      </c>
      <c r="L28" s="225">
        <v>0.15999999999999998</v>
      </c>
      <c r="M28" s="225">
        <v>-0.19889502762430944</v>
      </c>
      <c r="N28" s="228"/>
      <c r="O28" s="222">
        <f t="shared" si="0"/>
        <v>1</v>
      </c>
      <c r="P28" s="222">
        <f t="shared" si="1"/>
        <v>1</v>
      </c>
      <c r="Q28" s="222">
        <f t="shared" si="2"/>
        <v>0</v>
      </c>
      <c r="T28" s="229" t="s">
        <v>3156</v>
      </c>
      <c r="U28" s="230">
        <v>-2.8999999999999998E-3</v>
      </c>
      <c r="V28" s="386">
        <v>0.4844275894761792</v>
      </c>
      <c r="W28" s="99"/>
    </row>
    <row r="29" spans="1:24" x14ac:dyDescent="0.2">
      <c r="A29" s="347"/>
      <c r="B29" s="222" t="s">
        <v>3156</v>
      </c>
      <c r="C29" s="223" cm="1">
        <f t="array" ref="C29:M29">tinh_du_lieu_cp(B29)</f>
        <v>34.700000000000003</v>
      </c>
      <c r="D29" s="224">
        <v>150</v>
      </c>
      <c r="E29" s="225">
        <v>0</v>
      </c>
      <c r="F29" s="226">
        <v>0.77173125043848367</v>
      </c>
      <c r="G29" s="226">
        <v>0.99567941240008628</v>
      </c>
      <c r="H29" s="226">
        <v>0.92081031307550643</v>
      </c>
      <c r="I29" s="225">
        <v>6.6265060240963722E-2</v>
      </c>
      <c r="J29" s="222">
        <v>33.200000000000003</v>
      </c>
      <c r="K29" s="222">
        <v>35.4</v>
      </c>
      <c r="L29" s="225">
        <v>4.5180722891566258E-2</v>
      </c>
      <c r="M29" s="225">
        <v>-1.9774011299434908E-2</v>
      </c>
      <c r="N29" s="228"/>
      <c r="O29" s="222">
        <f t="shared" si="0"/>
        <v>0</v>
      </c>
      <c r="P29" s="222">
        <f t="shared" si="1"/>
        <v>0</v>
      </c>
      <c r="Q29" s="222">
        <f t="shared" si="2"/>
        <v>0</v>
      </c>
      <c r="T29" s="229" t="s">
        <v>768</v>
      </c>
      <c r="U29" s="230">
        <v>0</v>
      </c>
      <c r="V29" s="386">
        <v>4.1102756892230578E-2</v>
      </c>
    </row>
    <row r="30" spans="1:24" x14ac:dyDescent="0.2">
      <c r="B30" s="222" t="s">
        <v>1355</v>
      </c>
      <c r="C30" s="223" cm="1">
        <f t="array" ref="C30:M30">tinh_du_lieu_cp(B30)</f>
        <v>15.2</v>
      </c>
      <c r="D30" s="224">
        <v>1459.4</v>
      </c>
      <c r="E30" s="225">
        <v>6.6E-3</v>
      </c>
      <c r="F30" s="226">
        <v>1.3516376189273387</v>
      </c>
      <c r="G30" s="226">
        <v>0.99140231248147037</v>
      </c>
      <c r="H30" s="226">
        <v>1.1506892518758953</v>
      </c>
      <c r="I30" s="225">
        <v>9.933774834437098E-2</v>
      </c>
      <c r="J30" s="222">
        <v>15.1</v>
      </c>
      <c r="K30" s="222">
        <v>16.600000000000001</v>
      </c>
      <c r="L30" s="225">
        <v>6.6225165562913673E-3</v>
      </c>
      <c r="M30" s="225">
        <v>-8.433734939759048E-2</v>
      </c>
      <c r="N30" s="228"/>
      <c r="O30" s="222">
        <f t="shared" ref="O30:O31" si="3">IF(E30&gt;0,1,IF(E30=0,0,-1))</f>
        <v>1</v>
      </c>
      <c r="P30" s="222">
        <f t="shared" ref="P30:P31" si="4">IF(O30=1,1,0)</f>
        <v>1</v>
      </c>
      <c r="Q30" s="222">
        <f t="shared" ref="Q30:Q31" si="5">IF(O30&lt;0,1,0)</f>
        <v>0</v>
      </c>
      <c r="T30" s="229" t="s">
        <v>1934</v>
      </c>
      <c r="U30" s="230">
        <v>3.4200000000000001E-2</v>
      </c>
      <c r="V30" s="386">
        <v>0.85962686300439617</v>
      </c>
    </row>
    <row r="31" spans="1:24" x14ac:dyDescent="0.2">
      <c r="B31" s="222" t="s">
        <v>722</v>
      </c>
      <c r="C31" s="223" cm="1">
        <f t="array" ref="C31:M31">tinh_du_lieu_cp(B31)</f>
        <v>14.4</v>
      </c>
      <c r="D31" s="224">
        <v>146.80000000000001</v>
      </c>
      <c r="E31" s="225">
        <v>0</v>
      </c>
      <c r="F31" s="226">
        <v>0.38935705932704018</v>
      </c>
      <c r="G31" s="226">
        <v>1.0821870102733759</v>
      </c>
      <c r="H31" s="226">
        <v>0.28348889604119731</v>
      </c>
      <c r="I31" s="225">
        <v>0.26315789473684209</v>
      </c>
      <c r="J31" s="222">
        <v>11.4</v>
      </c>
      <c r="K31" s="222">
        <v>14.4</v>
      </c>
      <c r="L31" s="225">
        <v>0.26315789473684209</v>
      </c>
      <c r="M31" s="225">
        <v>0</v>
      </c>
      <c r="N31" s="228"/>
      <c r="O31" s="222">
        <f t="shared" si="3"/>
        <v>0</v>
      </c>
      <c r="P31" s="222">
        <f t="shared" si="4"/>
        <v>0</v>
      </c>
      <c r="Q31" s="222">
        <f t="shared" si="5"/>
        <v>0</v>
      </c>
      <c r="T31" s="229" t="s">
        <v>2969</v>
      </c>
      <c r="U31" s="230">
        <v>-4.2999999999999997E-2</v>
      </c>
      <c r="V31" s="386">
        <v>4.594924965519156</v>
      </c>
    </row>
  </sheetData>
  <mergeCells count="19">
    <mergeCell ref="A20:A29"/>
    <mergeCell ref="K18:K19"/>
    <mergeCell ref="L18:L19"/>
    <mergeCell ref="M18:M19"/>
    <mergeCell ref="N18:N19"/>
    <mergeCell ref="I18:I19"/>
    <mergeCell ref="J18:J19"/>
    <mergeCell ref="A3:B3"/>
    <mergeCell ref="A1:F1"/>
    <mergeCell ref="A2:B2"/>
    <mergeCell ref="F14:G14"/>
    <mergeCell ref="H18:H19"/>
    <mergeCell ref="A18:A19"/>
    <mergeCell ref="B18:B19"/>
    <mergeCell ref="C18:C19"/>
    <mergeCell ref="D18:D19"/>
    <mergeCell ref="E18:E19"/>
    <mergeCell ref="F18:F19"/>
    <mergeCell ref="G18:G19"/>
  </mergeCells>
  <conditionalFormatting sqref="A14">
    <cfRule type="expression" dxfId="172" priority="296" stopIfTrue="1">
      <formula>A14="giảm"</formula>
    </cfRule>
    <cfRule type="expression" dxfId="171" priority="297" stopIfTrue="1">
      <formula>A14="tăng"</formula>
    </cfRule>
  </conditionalFormatting>
  <conditionalFormatting sqref="C20:C31">
    <cfRule type="expression" dxfId="170" priority="8" stopIfTrue="1">
      <formula>E20&gt;=6.8%</formula>
    </cfRule>
    <cfRule type="expression" dxfId="169" priority="9" stopIfTrue="1">
      <formula>AND(E20&gt;0%,E20&lt;6.8%)</formula>
    </cfRule>
    <cfRule type="expression" dxfId="168" priority="10" stopIfTrue="1">
      <formula>E20=0%</formula>
    </cfRule>
    <cfRule type="expression" dxfId="167" priority="11" stopIfTrue="1">
      <formula>AND(E20&gt;-6.8%, E20&lt;0%)</formula>
    </cfRule>
    <cfRule type="expression" dxfId="166" priority="12" stopIfTrue="1">
      <formula>E20&lt;=-6.8%</formula>
    </cfRule>
  </conditionalFormatting>
  <conditionalFormatting sqref="B20:B31">
    <cfRule type="expression" dxfId="165" priority="18" stopIfTrue="1">
      <formula>E20&gt;=6.8%</formula>
    </cfRule>
    <cfRule type="expression" dxfId="164" priority="19" stopIfTrue="1">
      <formula>AND(E20&gt;0%,E20&lt;6.8%)</formula>
    </cfRule>
    <cfRule type="expression" dxfId="163" priority="20" stopIfTrue="1">
      <formula>E20=0%</formula>
    </cfRule>
    <cfRule type="expression" dxfId="162" priority="21" stopIfTrue="1">
      <formula>AND(E20&gt;-6.8%, E20&lt;0%)</formula>
    </cfRule>
    <cfRule type="expression" dxfId="161" priority="22" stopIfTrue="1">
      <formula>E20&lt;=-6.8%</formula>
    </cfRule>
  </conditionalFormatting>
  <conditionalFormatting sqref="L21:M25">
    <cfRule type="colorScale" priority="16584">
      <colorScale>
        <cfvo type="min"/>
        <cfvo type="percentile" val="50"/>
        <cfvo type="max"/>
        <color rgb="FFFF3829"/>
        <color rgb="FFFFC000"/>
        <color rgb="FF00BC55"/>
      </colorScale>
    </cfRule>
  </conditionalFormatting>
  <conditionalFormatting sqref="L26:M29">
    <cfRule type="colorScale" priority="16663">
      <colorScale>
        <cfvo type="min"/>
        <cfvo type="percentile" val="50"/>
        <cfvo type="max"/>
        <color rgb="FFFF3829"/>
        <color rgb="FFFFC000"/>
        <color rgb="FF00BC55"/>
      </colorScale>
    </cfRule>
  </conditionalFormatting>
  <conditionalFormatting sqref="F21:F31">
    <cfRule type="colorScale" priority="16665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1:I31">
    <cfRule type="colorScale" priority="16667">
      <colorScale>
        <cfvo type="min"/>
        <cfvo type="percentile" val="50"/>
        <cfvo type="max"/>
        <color rgb="FFFF3829"/>
        <color rgb="FFFFC000"/>
        <color rgb="FF00A400"/>
      </colorScale>
    </cfRule>
  </conditionalFormatting>
  <conditionalFormatting sqref="I20:I31">
    <cfRule type="colorScale" priority="16669">
      <colorScale>
        <cfvo type="min"/>
        <cfvo type="max"/>
        <color theme="0" tint="-4.9989318521683403E-2"/>
        <color rgb="FF00B050"/>
      </colorScale>
    </cfRule>
  </conditionalFormatting>
  <conditionalFormatting sqref="L20:L31">
    <cfRule type="colorScale" priority="16671">
      <colorScale>
        <cfvo type="min"/>
        <cfvo type="max"/>
        <color theme="0" tint="-4.9989318521683403E-2"/>
        <color rgb="FF00B050"/>
      </colorScale>
    </cfRule>
  </conditionalFormatting>
  <conditionalFormatting sqref="M20:M31">
    <cfRule type="colorScale" priority="16673">
      <colorScale>
        <cfvo type="min"/>
        <cfvo type="max"/>
        <color rgb="FFFF7C80"/>
        <color theme="0" tint="-4.9989318521683403E-2"/>
      </colorScale>
    </cfRule>
  </conditionalFormatting>
  <conditionalFormatting sqref="N20:N31">
    <cfRule type="colorScale" priority="16675">
      <colorScale>
        <cfvo type="min"/>
        <cfvo type="max"/>
        <color theme="0" tint="-4.9989318521683403E-2"/>
        <color rgb="FFFF0000"/>
      </colorScale>
    </cfRule>
  </conditionalFormatting>
  <conditionalFormatting sqref="L30:M31">
    <cfRule type="colorScale" priority="1">
      <colorScale>
        <cfvo type="min"/>
        <cfvo type="percentile" val="50"/>
        <cfvo type="max"/>
        <color rgb="FFFF3829"/>
        <color rgb="FFFFC000"/>
        <color rgb="FF00BC55"/>
      </colorScale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4FEA2F-D30C-4F07-8881-261A53E7B1FF}">
          <x14:formula1>
            <xm:f>'Nơi chứ dữ liệu'!$I$2:$K$2</xm:f>
          </x14:formula1>
          <xm:sqref>N20:N31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B8364-BA6A-4549-9326-A598BC9EE8B8}">
  <sheetPr codeName="Sheet24">
    <tabColor rgb="FF008000"/>
  </sheetPr>
  <dimension ref="A1:X40"/>
  <sheetViews>
    <sheetView zoomScaleNormal="100" workbookViewId="0">
      <selection activeCell="B27" sqref="B27"/>
    </sheetView>
  </sheetViews>
  <sheetFormatPr defaultRowHeight="15" x14ac:dyDescent="0.2"/>
  <cols>
    <col min="1" max="1" width="8" customWidth="1"/>
    <col min="2" max="2" width="9.6640625" customWidth="1"/>
    <col min="3" max="3" width="11.3320312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4" width="20.109375" bestFit="1" customWidth="1"/>
  </cols>
  <sheetData>
    <row r="1" spans="1:11" ht="15.75" x14ac:dyDescent="0.25">
      <c r="A1" s="332" t="s">
        <v>3140</v>
      </c>
      <c r="B1" s="332"/>
      <c r="C1" s="332"/>
      <c r="D1" s="332"/>
      <c r="E1" s="332"/>
      <c r="F1" s="332"/>
      <c r="K1" s="150"/>
    </row>
    <row r="2" spans="1:11" ht="15.75" x14ac:dyDescent="0.25">
      <c r="A2" s="332" t="s">
        <v>3141</v>
      </c>
      <c r="B2" s="332"/>
      <c r="C2" s="242" t="s">
        <v>3015</v>
      </c>
      <c r="D2" s="242" t="s">
        <v>3142</v>
      </c>
      <c r="E2" s="242" t="s">
        <v>3143</v>
      </c>
      <c r="F2" s="242" t="s">
        <v>3144</v>
      </c>
    </row>
    <row r="3" spans="1:11" x14ac:dyDescent="0.2">
      <c r="A3" s="340">
        <v>45839</v>
      </c>
      <c r="B3" s="340"/>
    </row>
    <row r="13" spans="1:11" ht="17.25" customHeight="1" x14ac:dyDescent="0.2"/>
    <row r="14" spans="1:11" ht="15.75" x14ac:dyDescent="0.2">
      <c r="A14" s="155" t="str">
        <f>"Tổng điểm nhóm Chứng Khoán hôm nay"&amp;" "&amp;SUM($O$20:O20)&amp;" "&amp;"trên tổng"&amp;" "&amp;$O$19</f>
        <v>Tổng điểm nhóm Chứng Khoán hôm nay 1 trên tổng 11</v>
      </c>
      <c r="B14" s="158"/>
      <c r="C14" s="158"/>
      <c r="D14" s="158"/>
      <c r="E14" s="158"/>
      <c r="F14" s="346" t="s">
        <v>3013</v>
      </c>
      <c r="G14" s="346"/>
    </row>
    <row r="15" spans="1:11" ht="15.75" x14ac:dyDescent="0.2">
      <c r="A15" s="159" t="str">
        <f>"Tổng điểm tăng nhóm Chứng Khoán hôm nay"&amp;" "&amp;$P$19</f>
        <v>Tổng điểm tăng nhóm Chứng Khoán hôm nay 4</v>
      </c>
      <c r="B15" s="160"/>
      <c r="C15" s="160"/>
      <c r="D15" s="160"/>
      <c r="E15" s="160"/>
      <c r="F15" s="156" t="s">
        <v>3014</v>
      </c>
      <c r="G15" s="156" t="s">
        <v>3008</v>
      </c>
    </row>
    <row r="16" spans="1:11" ht="15.75" x14ac:dyDescent="0.2">
      <c r="A16" s="159" t="str">
        <f>"Tổng điểm giảm nhóm Chứng Khoán hôm nay"&amp;" "&amp;$Q$19</f>
        <v>Tổng điểm giảm nhóm Chứng Khoán hôm nay 5</v>
      </c>
      <c r="B16" s="160"/>
      <c r="C16" s="160"/>
      <c r="D16" s="160"/>
      <c r="E16" s="160"/>
      <c r="F16" s="164">
        <f>AVERAGE(E20:E30)</f>
        <v>-2.1818181818181813E-4</v>
      </c>
      <c r="G16" s="162">
        <f>AVERAGE(F20:F30)</f>
        <v>0.79300602919739471</v>
      </c>
    </row>
    <row r="17" spans="1:24" ht="15.75" x14ac:dyDescent="0.2">
      <c r="A17" s="159" t="str">
        <f>"Tổng điểm tham chiếu nhóm Chứng Khoán hôm nay"&amp;" "&amp;(O19-(P19+Q19))</f>
        <v>Tổng điểm tham chiếu nhóm Chứng Khoán hôm nay 2</v>
      </c>
      <c r="B17" s="160"/>
      <c r="C17" s="160"/>
      <c r="D17" s="160"/>
      <c r="E17" s="160"/>
      <c r="F17" s="160"/>
      <c r="G17" s="163"/>
    </row>
    <row r="18" spans="1:24" s="86" customFormat="1" ht="15.75" customHeight="1" x14ac:dyDescent="0.25">
      <c r="A18" s="339" t="s">
        <v>127</v>
      </c>
      <c r="B18" s="348" t="s">
        <v>16</v>
      </c>
      <c r="C18" s="348" t="s">
        <v>2949</v>
      </c>
      <c r="D18" s="348" t="s">
        <v>2950</v>
      </c>
      <c r="E18" s="348" t="s">
        <v>2951</v>
      </c>
      <c r="F18" s="345" t="s">
        <v>2952</v>
      </c>
      <c r="G18" s="345" t="s">
        <v>2964</v>
      </c>
      <c r="H18" s="345" t="s">
        <v>2953</v>
      </c>
      <c r="I18" s="345" t="s">
        <v>2954</v>
      </c>
      <c r="J18" s="345" t="s">
        <v>2956</v>
      </c>
      <c r="K18" s="345" t="s">
        <v>2955</v>
      </c>
      <c r="L18" s="345" t="s">
        <v>2957</v>
      </c>
      <c r="M18" s="345" t="s">
        <v>2963</v>
      </c>
      <c r="N18" s="345" t="s">
        <v>2958</v>
      </c>
      <c r="O18" s="169" t="s">
        <v>2959</v>
      </c>
      <c r="P18" s="137" t="s">
        <v>2972</v>
      </c>
      <c r="Q18" s="137" t="s">
        <v>2973</v>
      </c>
      <c r="T18" s="82" t="s">
        <v>2968</v>
      </c>
      <c r="U18" t="s">
        <v>2974</v>
      </c>
      <c r="V18" t="s">
        <v>2975</v>
      </c>
      <c r="X18"/>
    </row>
    <row r="19" spans="1:24" s="86" customFormat="1" ht="15.75" x14ac:dyDescent="0.25">
      <c r="A19" s="339"/>
      <c r="B19" s="344"/>
      <c r="C19" s="344"/>
      <c r="D19" s="344"/>
      <c r="E19" s="344"/>
      <c r="F19" s="343"/>
      <c r="G19" s="343"/>
      <c r="H19" s="343"/>
      <c r="I19" s="343"/>
      <c r="J19" s="343"/>
      <c r="K19" s="343"/>
      <c r="L19" s="343"/>
      <c r="M19" s="343"/>
      <c r="N19" s="343"/>
      <c r="O19" s="137">
        <f>COUNT(O20:O30)</f>
        <v>11</v>
      </c>
      <c r="P19" s="137">
        <f>SUM(P20:P30)</f>
        <v>4</v>
      </c>
      <c r="Q19" s="137">
        <f>SUM(Q20:Q30)</f>
        <v>5</v>
      </c>
      <c r="T19" s="12" t="s">
        <v>1119</v>
      </c>
      <c r="U19" s="85">
        <v>-6.9599999999999995E-2</v>
      </c>
      <c r="V19" s="379">
        <v>1.1040250914793519</v>
      </c>
      <c r="X19"/>
    </row>
    <row r="20" spans="1:24" ht="15.75" customHeight="1" x14ac:dyDescent="0.2">
      <c r="A20" s="341" t="s">
        <v>3002</v>
      </c>
      <c r="B20" s="222" t="s">
        <v>161</v>
      </c>
      <c r="C20" s="223" cm="1">
        <f t="array" ref="C20:M20">tinh_du_lieu_cp(B20)</f>
        <v>2.72</v>
      </c>
      <c r="D20" s="224">
        <v>23.8</v>
      </c>
      <c r="E20" s="225">
        <v>7.4000000000000003E-3</v>
      </c>
      <c r="F20" s="226">
        <v>0.99524805170119746</v>
      </c>
      <c r="G20" s="226">
        <v>0.98593392214589481</v>
      </c>
      <c r="H20" s="226">
        <v>1.6546929316338355</v>
      </c>
      <c r="I20" s="227">
        <v>8.8888888888888795E-2</v>
      </c>
      <c r="J20" s="222">
        <v>2.7</v>
      </c>
      <c r="K20" s="222">
        <v>2.94</v>
      </c>
      <c r="L20" s="225">
        <v>7.4074074074074138E-3</v>
      </c>
      <c r="M20" s="225">
        <v>-7.4829931972789032E-2</v>
      </c>
      <c r="N20" s="228"/>
      <c r="O20" s="222">
        <f t="shared" ref="O20:O30" si="0">IF(E20&gt;0,1,IF(E20=0,0,-1))</f>
        <v>1</v>
      </c>
      <c r="P20" s="222">
        <f t="shared" ref="P20:P30" si="1">IF(O20=1,1,0)</f>
        <v>1</v>
      </c>
      <c r="Q20" s="222">
        <f t="shared" ref="Q20:Q30" si="2">IF(O20&lt;0,1,0)</f>
        <v>0</v>
      </c>
      <c r="T20" s="12" t="s">
        <v>223</v>
      </c>
      <c r="U20" s="85">
        <v>-2.6000000000000002E-2</v>
      </c>
      <c r="V20" s="379">
        <v>0.78181346802924045</v>
      </c>
    </row>
    <row r="21" spans="1:24" ht="15.75" customHeight="1" x14ac:dyDescent="0.2">
      <c r="A21" s="341"/>
      <c r="B21" s="222" t="s">
        <v>223</v>
      </c>
      <c r="C21" s="223" cm="1">
        <f t="array" ref="C21:M21">tinh_du_lieu_cp(B21)</f>
        <v>7.6</v>
      </c>
      <c r="D21" s="224">
        <v>169.9</v>
      </c>
      <c r="E21" s="225">
        <v>-1.3000000000000001E-2</v>
      </c>
      <c r="F21" s="226">
        <v>0.99612481914623419</v>
      </c>
      <c r="G21" s="226">
        <v>0.95936086992704395</v>
      </c>
      <c r="H21" s="226">
        <v>1.3346425765907306</v>
      </c>
      <c r="I21" s="225">
        <v>0.12631578947368433</v>
      </c>
      <c r="J21" s="222">
        <v>7.6</v>
      </c>
      <c r="K21" s="222">
        <v>8.56</v>
      </c>
      <c r="L21" s="225">
        <v>0</v>
      </c>
      <c r="M21" s="225">
        <v>-0.11214953271028047</v>
      </c>
      <c r="N21" s="228"/>
      <c r="O21" s="222">
        <f t="shared" si="0"/>
        <v>-1</v>
      </c>
      <c r="P21" s="222">
        <f t="shared" si="1"/>
        <v>0</v>
      </c>
      <c r="Q21" s="222">
        <f t="shared" si="2"/>
        <v>1</v>
      </c>
      <c r="T21" s="12" t="s">
        <v>161</v>
      </c>
      <c r="U21" s="85">
        <v>-1.4800000000000001E-2</v>
      </c>
      <c r="V21" s="379">
        <v>0.42943587741557682</v>
      </c>
    </row>
    <row r="22" spans="1:24" x14ac:dyDescent="0.2">
      <c r="A22" s="341"/>
      <c r="B22" s="222" t="s">
        <v>996</v>
      </c>
      <c r="C22" s="223" cm="1">
        <f t="array" ref="C22:M22">tinh_du_lieu_cp(B22)</f>
        <v>8.8000000000000007</v>
      </c>
      <c r="D22" s="224">
        <v>0.7</v>
      </c>
      <c r="E22" s="225">
        <v>-9.0000000000000011E-3</v>
      </c>
      <c r="F22" s="226">
        <v>4.7268262737875995E-2</v>
      </c>
      <c r="G22" s="226">
        <v>0.99149659863945583</v>
      </c>
      <c r="H22" s="226">
        <v>9.2307692307692313E-2</v>
      </c>
      <c r="I22" s="225">
        <v>9.4110854503464139E-2</v>
      </c>
      <c r="J22" s="222">
        <v>8.66</v>
      </c>
      <c r="K22" s="222">
        <v>9.4749999999999996</v>
      </c>
      <c r="L22" s="225">
        <v>1.6166281755196372E-2</v>
      </c>
      <c r="M22" s="225">
        <v>-7.1240105540896992E-2</v>
      </c>
      <c r="N22" s="228"/>
      <c r="O22" s="222">
        <f t="shared" si="0"/>
        <v>-1</v>
      </c>
      <c r="P22" s="222">
        <f t="shared" si="1"/>
        <v>0</v>
      </c>
      <c r="Q22" s="222">
        <f t="shared" si="2"/>
        <v>1</v>
      </c>
      <c r="T22" s="12" t="s">
        <v>2380</v>
      </c>
      <c r="U22" s="85">
        <v>-7.4999999999999997E-3</v>
      </c>
      <c r="V22" s="379">
        <v>0.59099387707649786</v>
      </c>
    </row>
    <row r="23" spans="1:24" x14ac:dyDescent="0.2">
      <c r="A23" s="341"/>
      <c r="B23" s="222" t="s">
        <v>1119</v>
      </c>
      <c r="C23" s="223" cm="1">
        <f t="array" ref="C23:M23">tinh_du_lieu_cp(B23)</f>
        <v>9.2200000000000006</v>
      </c>
      <c r="D23" s="224">
        <v>155.5</v>
      </c>
      <c r="E23" s="225">
        <v>-6.9599999999999995E-2</v>
      </c>
      <c r="F23" s="226">
        <v>1.2673656133071538</v>
      </c>
      <c r="G23" s="226">
        <v>0.93987805202758479</v>
      </c>
      <c r="H23" s="226">
        <v>0.66363183725727293</v>
      </c>
      <c r="I23" s="225">
        <v>0.47505422993492391</v>
      </c>
      <c r="J23" s="222">
        <v>9.2200000000000006</v>
      </c>
      <c r="K23" s="222">
        <v>13.6</v>
      </c>
      <c r="L23" s="225">
        <v>0</v>
      </c>
      <c r="M23" s="225">
        <v>-0.32205882352941168</v>
      </c>
      <c r="N23" s="228"/>
      <c r="O23" s="222">
        <f t="shared" si="0"/>
        <v>-1</v>
      </c>
      <c r="P23" s="222">
        <f t="shared" si="1"/>
        <v>0</v>
      </c>
      <c r="Q23" s="222">
        <f t="shared" si="2"/>
        <v>1</v>
      </c>
      <c r="T23" s="12" t="s">
        <v>996</v>
      </c>
      <c r="U23" s="85">
        <v>-2.3E-3</v>
      </c>
      <c r="V23" s="379">
        <v>3.3783783783783786E-2</v>
      </c>
    </row>
    <row r="24" spans="1:24" x14ac:dyDescent="0.2">
      <c r="A24" s="341"/>
      <c r="B24" s="222" t="s">
        <v>1334</v>
      </c>
      <c r="C24" s="223">
        <f t="array" ref="C24:M24">tinh_du_lieu_cp(B24)</f>
        <v>42</v>
      </c>
      <c r="D24" s="224">
        <v>8.6999999999999993</v>
      </c>
      <c r="E24" s="225">
        <v>0</v>
      </c>
      <c r="F24" s="226">
        <v>1.8176638176638178</v>
      </c>
      <c r="G24" s="226">
        <v>1.0186303576003808</v>
      </c>
      <c r="H24" s="226">
        <v>2.1219512195121952</v>
      </c>
      <c r="I24" s="225">
        <v>6.2266500622665005E-2</v>
      </c>
      <c r="J24" s="222">
        <v>40.15</v>
      </c>
      <c r="K24" s="222">
        <v>42.65</v>
      </c>
      <c r="L24" s="225">
        <v>4.6077210460772143E-2</v>
      </c>
      <c r="M24" s="225">
        <v>-1.5240328253223882E-2</v>
      </c>
      <c r="N24" s="228"/>
      <c r="O24" s="222">
        <f t="shared" si="0"/>
        <v>0</v>
      </c>
      <c r="P24" s="222">
        <f t="shared" si="1"/>
        <v>0</v>
      </c>
      <c r="Q24" s="222">
        <f t="shared" si="2"/>
        <v>0</v>
      </c>
      <c r="T24" s="12" t="s">
        <v>2322</v>
      </c>
      <c r="U24" s="85">
        <v>-1.1000000000000001E-3</v>
      </c>
      <c r="V24" s="379">
        <v>5.2330947253576746E-2</v>
      </c>
    </row>
    <row r="25" spans="1:24" x14ac:dyDescent="0.2">
      <c r="A25" s="341"/>
      <c r="B25" s="222" t="s">
        <v>1466</v>
      </c>
      <c r="C25" s="223">
        <f t="array" ref="C25:M25">tinh_du_lieu_cp(B25)</f>
        <v>2.4700000000000002</v>
      </c>
      <c r="D25" s="224">
        <v>6.7</v>
      </c>
      <c r="E25" s="225">
        <v>0</v>
      </c>
      <c r="F25" s="226">
        <v>0.58889332800639227</v>
      </c>
      <c r="G25" s="226">
        <v>0.97650986704823228</v>
      </c>
      <c r="H25" s="226">
        <v>0.63708399366085577</v>
      </c>
      <c r="I25" s="225">
        <v>0.15447154471544711</v>
      </c>
      <c r="J25" s="222">
        <v>2.46</v>
      </c>
      <c r="K25" s="222">
        <v>2.84</v>
      </c>
      <c r="L25" s="225">
        <v>4.0650406504065982E-3</v>
      </c>
      <c r="M25" s="225">
        <v>-0.13028169014084495</v>
      </c>
      <c r="N25" s="228"/>
      <c r="O25" s="222">
        <f t="shared" si="0"/>
        <v>0</v>
      </c>
      <c r="P25" s="222">
        <f t="shared" si="1"/>
        <v>0</v>
      </c>
      <c r="Q25" s="222">
        <f t="shared" si="2"/>
        <v>0</v>
      </c>
      <c r="T25" s="12" t="s">
        <v>2334</v>
      </c>
      <c r="U25" s="85">
        <v>0</v>
      </c>
      <c r="V25" s="379">
        <v>0.16661811826390913</v>
      </c>
    </row>
    <row r="26" spans="1:24" x14ac:dyDescent="0.2">
      <c r="A26" s="341"/>
      <c r="B26" s="222" t="s">
        <v>1651</v>
      </c>
      <c r="C26" s="223">
        <f t="array" ref="C26:M26">tinh_du_lieu_cp(B26)</f>
        <v>31.95</v>
      </c>
      <c r="D26" s="224">
        <v>65.8</v>
      </c>
      <c r="E26" s="225">
        <v>6.3E-3</v>
      </c>
      <c r="F26" s="226">
        <v>0.66783539398412994</v>
      </c>
      <c r="G26" s="226">
        <v>0.95938499217633866</v>
      </c>
      <c r="H26" s="226">
        <v>0.54711751662971175</v>
      </c>
      <c r="I26" s="225">
        <v>0.16674015748031487</v>
      </c>
      <c r="J26" s="222">
        <v>31.75</v>
      </c>
      <c r="K26" s="222">
        <v>37.043999999999997</v>
      </c>
      <c r="L26" s="225">
        <v>6.2992125984251742E-3</v>
      </c>
      <c r="M26" s="225">
        <v>-0.1375121477162293</v>
      </c>
      <c r="N26" s="228"/>
      <c r="O26" s="222">
        <f t="shared" si="0"/>
        <v>1</v>
      </c>
      <c r="P26" s="222">
        <f t="shared" si="1"/>
        <v>1</v>
      </c>
      <c r="Q26" s="222">
        <f t="shared" si="2"/>
        <v>0</v>
      </c>
      <c r="T26" s="12" t="s">
        <v>1334</v>
      </c>
      <c r="U26" s="85">
        <v>0</v>
      </c>
      <c r="V26" s="379">
        <v>0.42436548223350257</v>
      </c>
    </row>
    <row r="27" spans="1:24" x14ac:dyDescent="0.2">
      <c r="A27" s="341"/>
      <c r="B27" s="222" t="s">
        <v>2322</v>
      </c>
      <c r="C27" s="223">
        <f t="array" ref="C27:M27">tinh_du_lieu_cp(B27)</f>
        <v>8.99</v>
      </c>
      <c r="D27" s="224">
        <v>2.9</v>
      </c>
      <c r="E27" s="225">
        <v>-1.1000000000000001E-3</v>
      </c>
      <c r="F27" s="226">
        <v>0.10094904762959611</v>
      </c>
      <c r="G27" s="226">
        <v>0.95382769308967619</v>
      </c>
      <c r="H27" s="226">
        <v>0.24007947458469009</v>
      </c>
      <c r="I27" s="227">
        <v>0.45689077507259312</v>
      </c>
      <c r="J27" s="222">
        <v>8.9540000000000006</v>
      </c>
      <c r="K27" s="222">
        <v>13.045</v>
      </c>
      <c r="L27" s="225">
        <v>4.0205494750948836E-3</v>
      </c>
      <c r="M27" s="225">
        <v>-0.31084706784208505</v>
      </c>
      <c r="N27" s="228"/>
      <c r="O27" s="222">
        <f t="shared" si="0"/>
        <v>-1</v>
      </c>
      <c r="P27" s="222">
        <f t="shared" si="1"/>
        <v>0</v>
      </c>
      <c r="Q27" s="222">
        <f t="shared" si="2"/>
        <v>1</v>
      </c>
      <c r="T27" s="12" t="s">
        <v>2131</v>
      </c>
      <c r="U27" s="85">
        <v>0</v>
      </c>
      <c r="V27" s="379">
        <v>0.9319988442345335</v>
      </c>
      <c r="W27" s="99"/>
    </row>
    <row r="28" spans="1:24" x14ac:dyDescent="0.2">
      <c r="A28" s="341"/>
      <c r="B28" s="222" t="s">
        <v>2334</v>
      </c>
      <c r="C28" s="223">
        <f t="array" ref="C28:M28">tinh_du_lieu_cp(B28)</f>
        <v>4.4000000000000004</v>
      </c>
      <c r="D28" s="224">
        <v>0.1</v>
      </c>
      <c r="E28" s="225">
        <v>4.5100000000000001E-2</v>
      </c>
      <c r="F28" s="226">
        <v>6.9400630914826494E-3</v>
      </c>
      <c r="G28" s="226">
        <v>0.98396239458039536</v>
      </c>
      <c r="H28" s="226">
        <v>4.1958041958041953E-2</v>
      </c>
      <c r="I28" s="225">
        <v>0.56495468277945604</v>
      </c>
      <c r="J28" s="222">
        <v>3.31</v>
      </c>
      <c r="K28" s="222">
        <v>5.18</v>
      </c>
      <c r="L28" s="225">
        <v>0.32930513595166172</v>
      </c>
      <c r="M28" s="225">
        <v>-0.15057915057915047</v>
      </c>
      <c r="N28" s="228"/>
      <c r="O28" s="222">
        <f t="shared" si="0"/>
        <v>1</v>
      </c>
      <c r="P28" s="222">
        <f t="shared" si="1"/>
        <v>1</v>
      </c>
      <c r="Q28" s="222">
        <f t="shared" si="2"/>
        <v>0</v>
      </c>
      <c r="T28" s="12" t="s">
        <v>1651</v>
      </c>
      <c r="U28" s="85">
        <v>0</v>
      </c>
      <c r="V28" s="379">
        <v>0.47619047619047616</v>
      </c>
      <c r="W28" s="99"/>
    </row>
    <row r="29" spans="1:24" x14ac:dyDescent="0.2">
      <c r="A29" s="341"/>
      <c r="B29" s="222" t="s">
        <v>2380</v>
      </c>
      <c r="C29" s="223" cm="1">
        <f t="array" ref="C29:M29">tinh_du_lieu_cp(B29)</f>
        <v>20</v>
      </c>
      <c r="D29" s="224">
        <v>1107.5999999999999</v>
      </c>
      <c r="E29" s="225">
        <v>-2.5000000000000001E-3</v>
      </c>
      <c r="F29" s="226">
        <v>1.2219525404689788</v>
      </c>
      <c r="G29" s="226">
        <v>0.99559869089267572</v>
      </c>
      <c r="H29" s="226">
        <v>1.1252095291308986</v>
      </c>
      <c r="I29" s="225">
        <v>0.10389999999999996</v>
      </c>
      <c r="J29" s="222">
        <v>20</v>
      </c>
      <c r="K29" s="222">
        <v>22.077999999999999</v>
      </c>
      <c r="L29" s="225">
        <v>0</v>
      </c>
      <c r="M29" s="225">
        <v>-9.4120844279373103E-2</v>
      </c>
      <c r="N29" s="228"/>
      <c r="O29" s="222">
        <f t="shared" si="0"/>
        <v>-1</v>
      </c>
      <c r="P29" s="222">
        <f t="shared" si="1"/>
        <v>0</v>
      </c>
      <c r="Q29" s="222">
        <f t="shared" si="2"/>
        <v>1</v>
      </c>
      <c r="T29" s="12" t="s">
        <v>1466</v>
      </c>
      <c r="U29" s="85">
        <v>4.0000000000000001E-3</v>
      </c>
      <c r="V29" s="379">
        <v>8.994276369582993E-2</v>
      </c>
      <c r="W29" s="99"/>
    </row>
    <row r="30" spans="1:24" x14ac:dyDescent="0.2">
      <c r="A30" s="341"/>
      <c r="B30" s="222" t="s">
        <v>2131</v>
      </c>
      <c r="C30" s="223" cm="1">
        <f t="array" ref="C30:M30">tinh_du_lieu_cp(B30)</f>
        <v>12.15</v>
      </c>
      <c r="D30" s="224">
        <v>234</v>
      </c>
      <c r="E30" s="225">
        <v>3.4000000000000002E-2</v>
      </c>
      <c r="F30" s="226">
        <v>1.0128253834344814</v>
      </c>
      <c r="G30" s="226">
        <v>0.98580060005253933</v>
      </c>
      <c r="H30" s="226">
        <v>1.5814372606442895</v>
      </c>
      <c r="I30" s="225">
        <v>0.28178939842712697</v>
      </c>
      <c r="J30" s="222">
        <v>9.7910000000000004</v>
      </c>
      <c r="K30" s="222">
        <v>12.55</v>
      </c>
      <c r="L30" s="225">
        <v>0.24093555305893166</v>
      </c>
      <c r="M30" s="225">
        <v>-3.187250996015939E-2</v>
      </c>
      <c r="N30" s="228"/>
      <c r="O30" s="222">
        <f t="shared" si="0"/>
        <v>1</v>
      </c>
      <c r="P30" s="222">
        <f t="shared" si="1"/>
        <v>1</v>
      </c>
      <c r="Q30" s="222">
        <f t="shared" si="2"/>
        <v>0</v>
      </c>
      <c r="T30" s="12" t="s">
        <v>2969</v>
      </c>
      <c r="U30" s="85">
        <v>-0.11729999999999999</v>
      </c>
      <c r="V30" s="379">
        <v>5.0814987296562784</v>
      </c>
      <c r="W30" s="99"/>
    </row>
    <row r="31" spans="1:24" x14ac:dyDescent="0.2">
      <c r="A31" s="231"/>
      <c r="W31" s="99"/>
    </row>
    <row r="32" spans="1:24" x14ac:dyDescent="0.2">
      <c r="A32" s="231"/>
      <c r="T32" s="231"/>
      <c r="U32" s="231"/>
      <c r="V32" s="241"/>
      <c r="W32" s="99"/>
    </row>
    <row r="33" spans="1:23" x14ac:dyDescent="0.2">
      <c r="A33" s="231"/>
      <c r="V33" s="98"/>
      <c r="W33" s="99"/>
    </row>
    <row r="34" spans="1:23" x14ac:dyDescent="0.2">
      <c r="A34" s="231"/>
      <c r="V34" s="98"/>
      <c r="W34" s="99"/>
    </row>
    <row r="35" spans="1:23" x14ac:dyDescent="0.2">
      <c r="A35" s="231"/>
      <c r="V35" s="98"/>
      <c r="W35" s="99"/>
    </row>
    <row r="36" spans="1:23" x14ac:dyDescent="0.2">
      <c r="A36" s="231"/>
      <c r="V36" s="98"/>
      <c r="W36" s="99"/>
    </row>
    <row r="37" spans="1:23" x14ac:dyDescent="0.2">
      <c r="A37" s="231"/>
      <c r="V37" s="98"/>
      <c r="W37" s="99"/>
    </row>
    <row r="38" spans="1:23" x14ac:dyDescent="0.2">
      <c r="V38" s="98"/>
      <c r="W38" s="99"/>
    </row>
    <row r="39" spans="1:23" x14ac:dyDescent="0.2">
      <c r="V39" s="98"/>
      <c r="W39" s="99"/>
    </row>
    <row r="40" spans="1:23" x14ac:dyDescent="0.2">
      <c r="V40" s="98"/>
      <c r="W40" s="99"/>
    </row>
  </sheetData>
  <mergeCells count="19">
    <mergeCell ref="A3:B3"/>
    <mergeCell ref="A1:F1"/>
    <mergeCell ref="A2:B2"/>
    <mergeCell ref="F14:G14"/>
    <mergeCell ref="A20:A30"/>
    <mergeCell ref="G18:G19"/>
    <mergeCell ref="A18:A19"/>
    <mergeCell ref="N18:N19"/>
    <mergeCell ref="I18:I19"/>
    <mergeCell ref="J18:J19"/>
    <mergeCell ref="K18:K19"/>
    <mergeCell ref="L18:L19"/>
    <mergeCell ref="M18:M19"/>
    <mergeCell ref="H18:H19"/>
    <mergeCell ref="B18:B19"/>
    <mergeCell ref="C18:C19"/>
    <mergeCell ref="D18:D19"/>
    <mergeCell ref="E18:E19"/>
    <mergeCell ref="F18:F19"/>
  </mergeCells>
  <conditionalFormatting sqref="A14">
    <cfRule type="expression" dxfId="152" priority="265" stopIfTrue="1">
      <formula>A14="giảm"</formula>
    </cfRule>
    <cfRule type="expression" dxfId="151" priority="266" stopIfTrue="1">
      <formula>A14="tăng"</formula>
    </cfRule>
  </conditionalFormatting>
  <conditionalFormatting sqref="L28:M30 L21:M26">
    <cfRule type="colorScale" priority="41">
      <colorScale>
        <cfvo type="min"/>
        <cfvo type="percentile" val="50"/>
        <cfvo type="max"/>
        <color rgb="FFFF3829"/>
        <color rgb="FFFFC000"/>
        <color rgb="FF00BC55"/>
      </colorScale>
    </cfRule>
  </conditionalFormatting>
  <conditionalFormatting sqref="C20:C30">
    <cfRule type="expression" dxfId="150" priority="7" stopIfTrue="1">
      <formula>E20&gt;=6.8%</formula>
    </cfRule>
    <cfRule type="expression" dxfId="149" priority="8" stopIfTrue="1">
      <formula>AND(E20&gt;0%,E20&lt;6.8%)</formula>
    </cfRule>
    <cfRule type="expression" dxfId="148" priority="9" stopIfTrue="1">
      <formula>E20=0%</formula>
    </cfRule>
    <cfRule type="expression" dxfId="147" priority="10" stopIfTrue="1">
      <formula>AND(E20&gt;-6.8%, E20&lt;0%)</formula>
    </cfRule>
    <cfRule type="expression" dxfId="146" priority="11" stopIfTrue="1">
      <formula>E20&lt;=-6.8%</formula>
    </cfRule>
  </conditionalFormatting>
  <conditionalFormatting sqref="B20:B30">
    <cfRule type="expression" dxfId="145" priority="17" stopIfTrue="1">
      <formula>E20&gt;=6.8%</formula>
    </cfRule>
    <cfRule type="expression" dxfId="144" priority="18" stopIfTrue="1">
      <formula>AND(E20&gt;0%,E20&lt;6.8%)</formula>
    </cfRule>
    <cfRule type="expression" dxfId="143" priority="19" stopIfTrue="1">
      <formula>E20=0%</formula>
    </cfRule>
    <cfRule type="expression" dxfId="142" priority="20" stopIfTrue="1">
      <formula>AND(E20&gt;-6.8%, E20&lt;0%)</formula>
    </cfRule>
    <cfRule type="expression" dxfId="141" priority="21" stopIfTrue="1">
      <formula>E20&lt;=-6.8%</formula>
    </cfRule>
  </conditionalFormatting>
  <conditionalFormatting sqref="F28:F30 F21:F26">
    <cfRule type="colorScale" priority="16164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8:I30 I21:I26">
    <cfRule type="colorScale" priority="16166">
      <colorScale>
        <cfvo type="min"/>
        <cfvo type="percentile" val="50"/>
        <cfvo type="max"/>
        <color rgb="FFFF3829"/>
        <color rgb="FFFFC000"/>
        <color rgb="FF00A400"/>
      </colorScale>
    </cfRule>
  </conditionalFormatting>
  <conditionalFormatting sqref="I20:I30">
    <cfRule type="colorScale" priority="16178">
      <colorScale>
        <cfvo type="min"/>
        <cfvo type="max"/>
        <color theme="0" tint="-4.9989318521683403E-2"/>
        <color rgb="FF00B050"/>
      </colorScale>
    </cfRule>
  </conditionalFormatting>
  <conditionalFormatting sqref="L20:L30">
    <cfRule type="colorScale" priority="16179">
      <colorScale>
        <cfvo type="min"/>
        <cfvo type="max"/>
        <color theme="0" tint="-4.9989318521683403E-2"/>
        <color rgb="FF00B050"/>
      </colorScale>
    </cfRule>
  </conditionalFormatting>
  <conditionalFormatting sqref="M20:M30">
    <cfRule type="colorScale" priority="16180">
      <colorScale>
        <cfvo type="min"/>
        <cfvo type="max"/>
        <color rgb="FFFF7C80"/>
        <color theme="0" tint="-4.9989318521683403E-2"/>
      </colorScale>
    </cfRule>
  </conditionalFormatting>
  <conditionalFormatting sqref="N20:N30">
    <cfRule type="colorScale" priority="16181">
      <colorScale>
        <cfvo type="min"/>
        <cfvo type="max"/>
        <color theme="0" tint="-4.9989318521683403E-2"/>
        <color rgb="FFFF0000"/>
      </colorScale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4F36287-5DDB-4B59-925C-5BD2104A2164}">
          <x14:formula1>
            <xm:f>'Nơi chứ dữ liệu'!$I$2:$N$2</xm:f>
          </x14:formula1>
          <xm:sqref>N20 N26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8E6F4-CD3A-4675-B214-46472E57BA58}">
  <sheetPr codeName="Sheet19">
    <tabColor rgb="FF00B0F0"/>
  </sheetPr>
  <dimension ref="A1:X39"/>
  <sheetViews>
    <sheetView zoomScaleNormal="100" workbookViewId="0">
      <selection activeCell="B24" sqref="B24"/>
    </sheetView>
  </sheetViews>
  <sheetFormatPr defaultRowHeight="15" x14ac:dyDescent="0.2"/>
  <cols>
    <col min="1" max="1" width="8" customWidth="1"/>
    <col min="2" max="2" width="9.6640625" customWidth="1"/>
    <col min="3" max="3" width="12.109375" customWidth="1"/>
    <col min="4" max="4" width="11.21875" customWidth="1"/>
    <col min="5" max="5" width="14.77734375" customWidth="1"/>
    <col min="6" max="6" width="12.33203125" customWidth="1"/>
    <col min="7" max="7" width="12.6640625" customWidth="1"/>
    <col min="8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  <col min="24" max="24" width="15.6640625" bestFit="1" customWidth="1"/>
  </cols>
  <sheetData>
    <row r="1" spans="1:11" ht="15.75" x14ac:dyDescent="0.25">
      <c r="A1" s="332" t="s">
        <v>3140</v>
      </c>
      <c r="B1" s="332"/>
      <c r="C1" s="332"/>
      <c r="D1" s="332"/>
      <c r="E1" s="332"/>
      <c r="F1" s="332"/>
      <c r="K1" s="150"/>
    </row>
    <row r="2" spans="1:11" ht="15.75" x14ac:dyDescent="0.25">
      <c r="A2" s="332" t="s">
        <v>3141</v>
      </c>
      <c r="B2" s="332"/>
      <c r="C2" s="242" t="s">
        <v>3015</v>
      </c>
      <c r="D2" s="242" t="s">
        <v>3142</v>
      </c>
      <c r="E2" s="242" t="s">
        <v>3143</v>
      </c>
      <c r="F2" s="242" t="s">
        <v>3144</v>
      </c>
    </row>
    <row r="3" spans="1:11" x14ac:dyDescent="0.2">
      <c r="A3" s="340">
        <v>45839</v>
      </c>
      <c r="B3" s="340"/>
    </row>
    <row r="12" spans="1:11" ht="18" customHeight="1" x14ac:dyDescent="0.2"/>
    <row r="13" spans="1:11" ht="14.25" customHeight="1" x14ac:dyDescent="0.2"/>
    <row r="14" spans="1:11" ht="15.75" x14ac:dyDescent="0.2">
      <c r="A14" s="155" t="str">
        <f>"Tổng điểm nhóm hôm nay"&amp;" "&amp;SUM($O$20:O23)&amp;" "&amp;"trên tổng"&amp;" "&amp;$O$19</f>
        <v>Tổng điểm nhóm hôm nay 4 trên tổng 8</v>
      </c>
      <c r="B14" s="158"/>
      <c r="C14" s="158"/>
      <c r="D14" s="158"/>
      <c r="E14" s="158"/>
      <c r="F14" s="346" t="s">
        <v>3013</v>
      </c>
      <c r="G14" s="346"/>
    </row>
    <row r="15" spans="1:11" ht="15.75" x14ac:dyDescent="0.2">
      <c r="A15" s="159" t="str">
        <f>"Tổng điểm tăng nhóm hôm nay"&amp;" "&amp;$P$19</f>
        <v>Tổng điểm tăng nhóm hôm nay 4</v>
      </c>
      <c r="B15" s="160"/>
      <c r="C15" s="160"/>
      <c r="D15" s="160"/>
      <c r="E15" s="160"/>
      <c r="F15" s="156" t="s">
        <v>3014</v>
      </c>
      <c r="G15" s="156" t="s">
        <v>3008</v>
      </c>
    </row>
    <row r="16" spans="1:11" ht="15.75" x14ac:dyDescent="0.2">
      <c r="A16" s="159" t="str">
        <f>"Tổng điểm giảm nhóm hôm nay"&amp;" "&amp;$Q$19</f>
        <v>Tổng điểm giảm nhóm hôm nay 1</v>
      </c>
      <c r="B16" s="160"/>
      <c r="C16" s="160"/>
      <c r="D16" s="160"/>
      <c r="E16" s="160"/>
      <c r="F16" s="161">
        <f>AVERAGE(E20:E28)</f>
        <v>-8.0111111111111112E-3</v>
      </c>
      <c r="G16" s="162">
        <f>AVERAGE(F20:F28)</f>
        <v>1.4041901066309435</v>
      </c>
    </row>
    <row r="17" spans="1:24" ht="15.75" x14ac:dyDescent="0.2">
      <c r="A17" s="159" t="str">
        <f>"Tổng điểm tham chiếu nhóm hôm nay"&amp;" "&amp;(O19-(P19+Q19))</f>
        <v>Tổng điểm tham chiếu nhóm hôm nay 3</v>
      </c>
      <c r="B17" s="160"/>
      <c r="C17" s="160"/>
      <c r="D17" s="160"/>
      <c r="E17" s="160"/>
      <c r="F17" s="160"/>
      <c r="G17" s="163"/>
    </row>
    <row r="18" spans="1:24" s="86" customFormat="1" ht="15.75" customHeight="1" x14ac:dyDescent="0.25">
      <c r="A18" s="339" t="s">
        <v>127</v>
      </c>
      <c r="B18" s="348" t="s">
        <v>16</v>
      </c>
      <c r="C18" s="348" t="s">
        <v>2949</v>
      </c>
      <c r="D18" s="348" t="s">
        <v>2950</v>
      </c>
      <c r="E18" s="348" t="s">
        <v>2951</v>
      </c>
      <c r="F18" s="345" t="s">
        <v>2952</v>
      </c>
      <c r="G18" s="345" t="s">
        <v>2964</v>
      </c>
      <c r="H18" s="345" t="s">
        <v>2953</v>
      </c>
      <c r="I18" s="345" t="s">
        <v>2954</v>
      </c>
      <c r="J18" s="345" t="s">
        <v>2956</v>
      </c>
      <c r="K18" s="345" t="s">
        <v>2955</v>
      </c>
      <c r="L18" s="345" t="s">
        <v>2957</v>
      </c>
      <c r="M18" s="345" t="s">
        <v>2963</v>
      </c>
      <c r="N18" s="345" t="s">
        <v>2958</v>
      </c>
      <c r="O18" s="169" t="s">
        <v>2959</v>
      </c>
      <c r="P18" s="137" t="s">
        <v>2972</v>
      </c>
      <c r="Q18" s="137" t="s">
        <v>2973</v>
      </c>
      <c r="T18" s="82" t="s">
        <v>2968</v>
      </c>
      <c r="U18" t="s">
        <v>2974</v>
      </c>
      <c r="V18" t="s">
        <v>2975</v>
      </c>
      <c r="X18"/>
    </row>
    <row r="19" spans="1:24" s="86" customFormat="1" ht="15.75" x14ac:dyDescent="0.25">
      <c r="A19" s="339"/>
      <c r="B19" s="344"/>
      <c r="C19" s="344"/>
      <c r="D19" s="344"/>
      <c r="E19" s="344"/>
      <c r="F19" s="343"/>
      <c r="G19" s="343"/>
      <c r="H19" s="343"/>
      <c r="I19" s="343"/>
      <c r="J19" s="343"/>
      <c r="K19" s="343"/>
      <c r="L19" s="343"/>
      <c r="M19" s="343"/>
      <c r="N19" s="343"/>
      <c r="O19" s="137">
        <f>COUNT(O20:O27)</f>
        <v>8</v>
      </c>
      <c r="P19" s="137">
        <f>SUM(P20:P27)</f>
        <v>4</v>
      </c>
      <c r="Q19" s="137">
        <f>SUM(Q20:Q27)</f>
        <v>1</v>
      </c>
      <c r="T19" s="12" t="s">
        <v>2631</v>
      </c>
      <c r="U19" s="85">
        <v>-5.5899999999999998E-2</v>
      </c>
      <c r="V19" s="379">
        <v>0.43031784841075799</v>
      </c>
      <c r="X19"/>
    </row>
    <row r="20" spans="1:24" ht="15.75" customHeight="1" x14ac:dyDescent="0.2">
      <c r="A20" s="347" t="s">
        <v>2993</v>
      </c>
      <c r="B20" s="222" t="s">
        <v>109</v>
      </c>
      <c r="C20" s="223" cm="1">
        <f t="array" ref="C20:M20">tinh_du_lieu_cp(B20)</f>
        <v>22.5</v>
      </c>
      <c r="D20" s="224">
        <v>22481.9</v>
      </c>
      <c r="E20" s="225">
        <v>4.5000000000000005E-3</v>
      </c>
      <c r="F20" s="226">
        <v>1.259303240695359</v>
      </c>
      <c r="G20" s="226">
        <v>0.97865656173079407</v>
      </c>
      <c r="H20" s="226">
        <v>1.2886047218098551</v>
      </c>
      <c r="I20" s="227">
        <v>0.1378125</v>
      </c>
      <c r="J20" s="222">
        <v>22.4</v>
      </c>
      <c r="K20" s="222">
        <v>25.486999999999998</v>
      </c>
      <c r="L20" s="225">
        <v>4.4642857142857782E-3</v>
      </c>
      <c r="M20" s="225">
        <v>-0.11719700239337696</v>
      </c>
      <c r="N20" s="228"/>
      <c r="O20" s="222">
        <f t="shared" ref="O20:O28" si="0">IF(E20&gt;0,1,IF(E20=0,0,-1))</f>
        <v>1</v>
      </c>
      <c r="P20" s="222">
        <f t="shared" ref="P20:P25" si="1">IF(O20=1,1,0)</f>
        <v>1</v>
      </c>
      <c r="Q20" s="222">
        <f t="shared" ref="Q20:Q25" si="2">IF(O20&lt;0,1,0)</f>
        <v>0</v>
      </c>
      <c r="T20" s="12" t="s">
        <v>2497</v>
      </c>
      <c r="U20" s="85">
        <v>-2.3599999999999999E-2</v>
      </c>
      <c r="V20" s="379">
        <v>3.9691832992111471</v>
      </c>
    </row>
    <row r="21" spans="1:24" ht="15.75" customHeight="1" x14ac:dyDescent="0.2">
      <c r="A21" s="347"/>
      <c r="B21" s="222" t="s">
        <v>117</v>
      </c>
      <c r="C21" s="223" cm="1">
        <f t="array" ref="C21:M21">tinh_du_lieu_cp(B21)</f>
        <v>11.55</v>
      </c>
      <c r="D21" s="224">
        <v>2242.1</v>
      </c>
      <c r="E21" s="225">
        <v>2.6699999999999998E-2</v>
      </c>
      <c r="F21" s="226">
        <v>0.85061158045218843</v>
      </c>
      <c r="G21" s="226">
        <v>0.97981758199107316</v>
      </c>
      <c r="H21" s="226">
        <v>0.73086535118219742</v>
      </c>
      <c r="I21" s="225">
        <v>0.13777777777777783</v>
      </c>
      <c r="J21" s="222">
        <v>11.25</v>
      </c>
      <c r="K21" s="222">
        <v>12.8</v>
      </c>
      <c r="L21" s="225">
        <v>2.6666666666666731E-2</v>
      </c>
      <c r="M21" s="225">
        <v>-9.765625E-2</v>
      </c>
      <c r="N21" s="228"/>
      <c r="O21" s="222">
        <f t="shared" si="0"/>
        <v>1</v>
      </c>
      <c r="P21" s="222">
        <f t="shared" si="1"/>
        <v>1</v>
      </c>
      <c r="Q21" s="222">
        <f t="shared" si="2"/>
        <v>0</v>
      </c>
      <c r="T21" s="12" t="s">
        <v>109</v>
      </c>
      <c r="U21" s="85">
        <v>-8.8999999999999999E-3</v>
      </c>
      <c r="V21" s="379">
        <v>0.70020562229506278</v>
      </c>
    </row>
    <row r="22" spans="1:24" ht="15.75" customHeight="1" x14ac:dyDescent="0.2">
      <c r="A22" s="347"/>
      <c r="B22" s="222" t="s">
        <v>1739</v>
      </c>
      <c r="C22" s="223" cm="1">
        <f t="array" ref="C22:M22">tinh_du_lieu_cp(B22)</f>
        <v>11.8</v>
      </c>
      <c r="D22" s="224">
        <v>1306.5</v>
      </c>
      <c r="E22" s="225">
        <v>8.5000000000000006E-3</v>
      </c>
      <c r="F22" s="226">
        <v>0.88924716315985408</v>
      </c>
      <c r="G22" s="226">
        <v>0.98817457206324322</v>
      </c>
      <c r="H22" s="226">
        <v>0.95230574857864814</v>
      </c>
      <c r="I22" s="225">
        <v>0.14606837606837619</v>
      </c>
      <c r="J22" s="222">
        <v>11.7</v>
      </c>
      <c r="K22" s="222">
        <v>13.409000000000001</v>
      </c>
      <c r="L22" s="225">
        <v>8.5470085470086693E-3</v>
      </c>
      <c r="M22" s="225">
        <v>-0.11999403385785666</v>
      </c>
      <c r="N22" s="228"/>
      <c r="O22" s="222">
        <f t="shared" si="0"/>
        <v>1</v>
      </c>
      <c r="P22" s="222">
        <f t="shared" si="1"/>
        <v>1</v>
      </c>
      <c r="Q22" s="222">
        <f t="shared" si="2"/>
        <v>0</v>
      </c>
      <c r="T22" s="12" t="s">
        <v>2463</v>
      </c>
      <c r="U22" s="85">
        <v>-4.6999999999999993E-3</v>
      </c>
      <c r="V22" s="379">
        <v>1.6114278138671614</v>
      </c>
    </row>
    <row r="23" spans="1:24" ht="15.75" customHeight="1" x14ac:dyDescent="0.2">
      <c r="A23" s="347"/>
      <c r="B23" s="222" t="s">
        <v>2694</v>
      </c>
      <c r="C23" s="223" cm="1">
        <f t="array" ref="C23:M23">tinh_du_lieu_cp(B23)</f>
        <v>20.6</v>
      </c>
      <c r="D23" s="224">
        <v>106</v>
      </c>
      <c r="E23" s="225">
        <v>4.8999999999999998E-3</v>
      </c>
      <c r="F23" s="226">
        <v>0.70279066964016634</v>
      </c>
      <c r="G23" s="226">
        <v>0.98425589513428791</v>
      </c>
      <c r="H23" s="226">
        <v>0.78605858361142011</v>
      </c>
      <c r="I23" s="225">
        <v>0.18180487804878051</v>
      </c>
      <c r="J23" s="222">
        <v>20.5</v>
      </c>
      <c r="K23" s="222">
        <v>24.227</v>
      </c>
      <c r="L23" s="225">
        <v>4.8780487804878743E-3</v>
      </c>
      <c r="M23" s="225">
        <v>-0.14970900235274689</v>
      </c>
      <c r="N23" s="228"/>
      <c r="O23" s="222">
        <f t="shared" si="0"/>
        <v>1</v>
      </c>
      <c r="P23" s="222">
        <f t="shared" si="1"/>
        <v>1</v>
      </c>
      <c r="Q23" s="222">
        <f t="shared" si="2"/>
        <v>0</v>
      </c>
      <c r="T23" s="12" t="s">
        <v>1739</v>
      </c>
      <c r="U23" s="85">
        <v>-4.3E-3</v>
      </c>
      <c r="V23" s="379">
        <v>0.53137978307167744</v>
      </c>
    </row>
    <row r="24" spans="1:24" ht="15.75" customHeight="1" x14ac:dyDescent="0.2">
      <c r="A24" s="347"/>
      <c r="B24" s="222" t="s">
        <v>2220</v>
      </c>
      <c r="C24" s="223" cm="1">
        <f t="array" ref="C24:M24">tinh_du_lieu_cp(B24)</f>
        <v>14.1</v>
      </c>
      <c r="D24" s="224">
        <v>110</v>
      </c>
      <c r="E24" s="225">
        <v>0</v>
      </c>
      <c r="F24" s="226">
        <v>0.71306500088396496</v>
      </c>
      <c r="G24" s="226">
        <v>0.99305555555555558</v>
      </c>
      <c r="H24" s="226">
        <v>0.65024630541871919</v>
      </c>
      <c r="I24" s="225">
        <v>9.0909090909090912E-2</v>
      </c>
      <c r="J24" s="222">
        <v>13.75</v>
      </c>
      <c r="K24" s="222">
        <v>15</v>
      </c>
      <c r="L24" s="225">
        <v>2.5454545454545428E-2</v>
      </c>
      <c r="M24" s="225">
        <v>-6.0000000000000026E-2</v>
      </c>
      <c r="N24" s="228"/>
      <c r="O24" s="222">
        <f t="shared" si="0"/>
        <v>0</v>
      </c>
      <c r="P24" s="222">
        <f t="shared" si="1"/>
        <v>0</v>
      </c>
      <c r="Q24" s="222">
        <f t="shared" si="2"/>
        <v>0</v>
      </c>
      <c r="T24" s="12" t="s">
        <v>2220</v>
      </c>
      <c r="U24" s="85">
        <v>0</v>
      </c>
      <c r="V24" s="379">
        <v>0.65204928932360162</v>
      </c>
    </row>
    <row r="25" spans="1:24" ht="15.75" customHeight="1" x14ac:dyDescent="0.2">
      <c r="A25" s="347"/>
      <c r="B25" s="222" t="s">
        <v>2263</v>
      </c>
      <c r="C25" s="223" cm="1">
        <f t="array" ref="C25:M25">tinh_du_lieu_cp(B25)</f>
        <v>10.050000000000001</v>
      </c>
      <c r="D25" s="224">
        <v>222</v>
      </c>
      <c r="E25" s="225">
        <v>0</v>
      </c>
      <c r="F25" s="226">
        <v>0.81694098755519873</v>
      </c>
      <c r="G25" s="226">
        <v>0.98057414202460624</v>
      </c>
      <c r="H25" s="226">
        <v>0.99506947557149261</v>
      </c>
      <c r="I25" s="225">
        <v>0.33830845771144263</v>
      </c>
      <c r="J25" s="222">
        <v>10.050000000000001</v>
      </c>
      <c r="K25" s="222">
        <v>13.45</v>
      </c>
      <c r="L25" s="225">
        <v>0</v>
      </c>
      <c r="M25" s="225">
        <v>-0.25278810408921926</v>
      </c>
      <c r="N25" s="228"/>
      <c r="O25" s="222">
        <f t="shared" si="0"/>
        <v>0</v>
      </c>
      <c r="P25" s="222">
        <f t="shared" si="1"/>
        <v>0</v>
      </c>
      <c r="Q25" s="222">
        <f t="shared" si="2"/>
        <v>0</v>
      </c>
      <c r="T25" s="12" t="s">
        <v>2263</v>
      </c>
      <c r="U25" s="85">
        <v>0</v>
      </c>
      <c r="V25" s="379">
        <v>0.35014958543465252</v>
      </c>
    </row>
    <row r="26" spans="1:24" ht="15.75" customHeight="1" x14ac:dyDescent="0.2">
      <c r="A26" s="347"/>
      <c r="B26" s="222" t="s">
        <v>2463</v>
      </c>
      <c r="C26" s="223" cm="1">
        <f t="array" ref="C26:M26">tinh_du_lieu_cp(B26)</f>
        <v>4.3</v>
      </c>
      <c r="D26" s="224">
        <v>248.8</v>
      </c>
      <c r="E26" s="225">
        <v>0</v>
      </c>
      <c r="F26" s="226">
        <v>1.7975697865353037</v>
      </c>
      <c r="G26" s="226">
        <v>0.98801033591731269</v>
      </c>
      <c r="H26" s="226">
        <v>1.4813932718070855</v>
      </c>
      <c r="I26" s="227">
        <v>0.11860465116279065</v>
      </c>
      <c r="J26" s="222">
        <v>4.3</v>
      </c>
      <c r="K26" s="222">
        <v>4.8099999999999996</v>
      </c>
      <c r="L26" s="225">
        <v>0</v>
      </c>
      <c r="M26" s="225">
        <v>-0.10602910602910599</v>
      </c>
      <c r="N26" s="228"/>
      <c r="O26" s="222">
        <f t="shared" si="0"/>
        <v>0</v>
      </c>
      <c r="P26" s="222">
        <f>IF(O26=1,1,0)</f>
        <v>0</v>
      </c>
      <c r="Q26" s="222">
        <f>IF(O26&lt;0,1,0)</f>
        <v>0</v>
      </c>
      <c r="T26" s="12" t="s">
        <v>117</v>
      </c>
      <c r="U26" s="85">
        <v>8.8999999999999999E-3</v>
      </c>
      <c r="V26" s="379">
        <v>0.39274986213955881</v>
      </c>
    </row>
    <row r="27" spans="1:24" x14ac:dyDescent="0.2">
      <c r="A27" s="347"/>
      <c r="B27" s="222" t="s">
        <v>2497</v>
      </c>
      <c r="C27" s="223">
        <f t="array" ref="C27:M27">tinh_du_lieu_cp(B27)</f>
        <v>5.56</v>
      </c>
      <c r="D27" s="224">
        <v>2599.9</v>
      </c>
      <c r="E27" s="225">
        <v>-6.08E-2</v>
      </c>
      <c r="F27" s="226">
        <v>5.1778646823456986</v>
      </c>
      <c r="G27" s="226">
        <v>1.0881720430107529</v>
      </c>
      <c r="H27" s="226">
        <v>1.4824522223383734</v>
      </c>
      <c r="I27" s="225">
        <v>0.32438478747203586</v>
      </c>
      <c r="J27" s="222">
        <v>4.47</v>
      </c>
      <c r="K27" s="222">
        <v>5.92</v>
      </c>
      <c r="L27" s="225">
        <v>0.24384787472035793</v>
      </c>
      <c r="M27" s="225">
        <v>-6.0810810810810863E-2</v>
      </c>
      <c r="N27" s="228"/>
      <c r="O27" s="222">
        <f t="shared" si="0"/>
        <v>-1</v>
      </c>
      <c r="P27" s="222">
        <f>IF(O27=1,1,0)</f>
        <v>0</v>
      </c>
      <c r="Q27" s="222">
        <f>IF(O27&lt;0,1,0)</f>
        <v>1</v>
      </c>
      <c r="T27" s="12" t="s">
        <v>2969</v>
      </c>
      <c r="U27" s="85">
        <v>-8.8499999999999995E-2</v>
      </c>
      <c r="V27" s="379">
        <v>8.6374631037536194</v>
      </c>
      <c r="W27" s="99"/>
    </row>
    <row r="28" spans="1:24" x14ac:dyDescent="0.2">
      <c r="A28" s="347"/>
      <c r="B28" s="222" t="s">
        <v>2631</v>
      </c>
      <c r="C28" s="223">
        <f t="array" ref="C28:M28">tinh_du_lieu_cp(B28)</f>
        <v>6.08</v>
      </c>
      <c r="D28" s="224">
        <v>0.8</v>
      </c>
      <c r="E28" s="225">
        <v>-5.5899999999999998E-2</v>
      </c>
      <c r="F28" s="226">
        <v>0.43031784841075799</v>
      </c>
      <c r="G28" s="226">
        <v>0.98136315228966997</v>
      </c>
      <c r="H28" s="226">
        <v>0.48484848484848486</v>
      </c>
      <c r="I28" s="225">
        <v>0.22516556291390732</v>
      </c>
      <c r="J28" s="222">
        <v>6.04</v>
      </c>
      <c r="K28" s="222">
        <v>7.4</v>
      </c>
      <c r="L28" s="225">
        <v>6.6225165562913968E-3</v>
      </c>
      <c r="M28" s="225">
        <v>-0.17837837837837842</v>
      </c>
      <c r="N28" s="228"/>
      <c r="O28" s="222">
        <f t="shared" si="0"/>
        <v>-1</v>
      </c>
      <c r="P28" s="222">
        <f>IF(O28=1,1,0)</f>
        <v>0</v>
      </c>
      <c r="Q28" s="222">
        <f>IF(O28&lt;0,1,0)</f>
        <v>1</v>
      </c>
      <c r="W28" s="99"/>
    </row>
    <row r="29" spans="1:24" x14ac:dyDescent="0.2">
      <c r="A29" s="231"/>
      <c r="W29" s="99"/>
    </row>
    <row r="30" spans="1:24" x14ac:dyDescent="0.2">
      <c r="A30" s="231"/>
      <c r="W30" s="99"/>
    </row>
    <row r="31" spans="1:24" x14ac:dyDescent="0.2">
      <c r="A31" s="231"/>
      <c r="W31" s="99"/>
    </row>
    <row r="32" spans="1:24" x14ac:dyDescent="0.2">
      <c r="A32" s="231"/>
      <c r="V32" s="98"/>
      <c r="W32" s="99"/>
    </row>
    <row r="33" spans="1:23" x14ac:dyDescent="0.2">
      <c r="A33" s="231"/>
      <c r="V33" s="98"/>
      <c r="W33" s="99"/>
    </row>
    <row r="34" spans="1:23" x14ac:dyDescent="0.2">
      <c r="A34" s="231"/>
      <c r="V34" s="98"/>
      <c r="W34" s="99"/>
    </row>
    <row r="35" spans="1:23" x14ac:dyDescent="0.2">
      <c r="A35" s="231"/>
      <c r="V35" s="98"/>
      <c r="W35" s="99"/>
    </row>
    <row r="36" spans="1:23" x14ac:dyDescent="0.2">
      <c r="A36" s="231"/>
      <c r="V36" s="98"/>
      <c r="W36" s="99"/>
    </row>
    <row r="37" spans="1:23" x14ac:dyDescent="0.2">
      <c r="V37" s="98"/>
      <c r="W37" s="99"/>
    </row>
    <row r="38" spans="1:23" x14ac:dyDescent="0.2">
      <c r="V38" s="98"/>
      <c r="W38" s="99"/>
    </row>
    <row r="39" spans="1:23" x14ac:dyDescent="0.2">
      <c r="V39" s="98"/>
      <c r="W39" s="99"/>
    </row>
  </sheetData>
  <mergeCells count="19">
    <mergeCell ref="N18:N19"/>
    <mergeCell ref="H18:H19"/>
    <mergeCell ref="I18:I19"/>
    <mergeCell ref="J18:J19"/>
    <mergeCell ref="K18:K19"/>
    <mergeCell ref="L18:L19"/>
    <mergeCell ref="M18:M19"/>
    <mergeCell ref="A3:B3"/>
    <mergeCell ref="A1:F1"/>
    <mergeCell ref="A2:B2"/>
    <mergeCell ref="A20:A28"/>
    <mergeCell ref="F14:G14"/>
    <mergeCell ref="A18:A19"/>
    <mergeCell ref="G18:G19"/>
    <mergeCell ref="B18:B19"/>
    <mergeCell ref="C18:C19"/>
    <mergeCell ref="D18:D19"/>
    <mergeCell ref="E18:E19"/>
    <mergeCell ref="F18:F19"/>
  </mergeCells>
  <conditionalFormatting sqref="A14">
    <cfRule type="expression" dxfId="139" priority="276" stopIfTrue="1">
      <formula>A14="giảm"</formula>
    </cfRule>
    <cfRule type="expression" dxfId="138" priority="277" stopIfTrue="1">
      <formula>A14="tăng"</formula>
    </cfRule>
  </conditionalFormatting>
  <conditionalFormatting sqref="C20:C28">
    <cfRule type="expression" dxfId="137" priority="6" stopIfTrue="1">
      <formula>E20&gt;=6.8%</formula>
    </cfRule>
    <cfRule type="expression" dxfId="136" priority="7" stopIfTrue="1">
      <formula>AND(E20&gt;0%,E20&lt;6.8%)</formula>
    </cfRule>
    <cfRule type="expression" dxfId="135" priority="8" stopIfTrue="1">
      <formula>E20=0%</formula>
    </cfRule>
    <cfRule type="expression" dxfId="134" priority="9" stopIfTrue="1">
      <formula>AND(E20&gt;-6.8%, E20&lt;0%)</formula>
    </cfRule>
    <cfRule type="expression" dxfId="133" priority="10" stopIfTrue="1">
      <formula>E20&lt;=-6.8%</formula>
    </cfRule>
  </conditionalFormatting>
  <conditionalFormatting sqref="B20:B28">
    <cfRule type="expression" dxfId="132" priority="16" stopIfTrue="1">
      <formula>E20&gt;=6.8%</formula>
    </cfRule>
    <cfRule type="expression" dxfId="131" priority="17" stopIfTrue="1">
      <formula>AND(E20&gt;0%,E20&lt;6.8%)</formula>
    </cfRule>
    <cfRule type="expression" dxfId="130" priority="18" stopIfTrue="1">
      <formula>E20=0%</formula>
    </cfRule>
    <cfRule type="expression" dxfId="129" priority="19" stopIfTrue="1">
      <formula>AND(E20&gt;-6.8%, E20&lt;0%)</formula>
    </cfRule>
    <cfRule type="expression" dxfId="128" priority="20" stopIfTrue="1">
      <formula>E20&lt;=-6.8%</formula>
    </cfRule>
  </conditionalFormatting>
  <conditionalFormatting sqref="F27:F28 F21:F25">
    <cfRule type="colorScale" priority="18728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7:I28 I21:I25">
    <cfRule type="colorScale" priority="18738">
      <colorScale>
        <cfvo type="min"/>
        <cfvo type="percentile" val="50"/>
        <cfvo type="max"/>
        <color rgb="FFFF3829"/>
        <color rgb="FFFFC000"/>
        <color rgb="FF00A400"/>
      </colorScale>
    </cfRule>
  </conditionalFormatting>
  <conditionalFormatting sqref="L27:M28 L21:M25">
    <cfRule type="colorScale" priority="18740">
      <colorScale>
        <cfvo type="min"/>
        <cfvo type="percentile" val="50"/>
        <cfvo type="max"/>
        <color rgb="FFFF3829"/>
        <color rgb="FFFFC000"/>
        <color rgb="FF00BC55"/>
      </colorScale>
    </cfRule>
  </conditionalFormatting>
  <conditionalFormatting sqref="I20:I28">
    <cfRule type="colorScale" priority="18840">
      <colorScale>
        <cfvo type="min"/>
        <cfvo type="max"/>
        <color theme="0" tint="-4.9989318521683403E-2"/>
        <color rgb="FF00B050"/>
      </colorScale>
    </cfRule>
  </conditionalFormatting>
  <conditionalFormatting sqref="L20:L28">
    <cfRule type="colorScale" priority="18842">
      <colorScale>
        <cfvo type="min"/>
        <cfvo type="max"/>
        <color theme="0" tint="-4.9989318521683403E-2"/>
        <color rgb="FF00B050"/>
      </colorScale>
    </cfRule>
  </conditionalFormatting>
  <conditionalFormatting sqref="M20:M28">
    <cfRule type="colorScale" priority="18844">
      <colorScale>
        <cfvo type="min"/>
        <cfvo type="max"/>
        <color rgb="FFFF7C80"/>
        <color theme="0" tint="-4.9989318521683403E-2"/>
      </colorScale>
    </cfRule>
  </conditionalFormatting>
  <conditionalFormatting sqref="N20:N28">
    <cfRule type="colorScale" priority="18846">
      <colorScale>
        <cfvo type="min"/>
        <cfvo type="max"/>
        <color theme="0" tint="-4.9989318521683403E-2"/>
        <color rgb="FFFF0000"/>
      </colorScale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D723E55-2AC6-43AC-8E6D-388EBE600321}">
          <x14:formula1>
            <xm:f>'Nơi chứ dữ liệu'!$I$2:$K$2</xm:f>
          </x14:formula1>
          <xm:sqref>N20:N28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70A65-23F8-4E0A-8DA4-211CD621F292}">
  <sheetPr codeName="Sheet16">
    <tabColor theme="5"/>
  </sheetPr>
  <dimension ref="A1:W35"/>
  <sheetViews>
    <sheetView topLeftCell="A18" zoomScaleNormal="100" workbookViewId="0">
      <selection activeCell="B20" sqref="B20"/>
    </sheetView>
  </sheetViews>
  <sheetFormatPr defaultRowHeight="15" x14ac:dyDescent="0.2"/>
  <cols>
    <col min="1" max="1" width="8" customWidth="1"/>
    <col min="2" max="2" width="9.664062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11.88671875" bestFit="1" customWidth="1"/>
  </cols>
  <sheetData>
    <row r="1" spans="1:11" ht="15.75" x14ac:dyDescent="0.25">
      <c r="A1" s="332" t="s">
        <v>3140</v>
      </c>
      <c r="B1" s="332"/>
      <c r="C1" s="332"/>
      <c r="D1" s="332"/>
      <c r="E1" s="332"/>
      <c r="F1" s="332"/>
      <c r="K1" s="150"/>
    </row>
    <row r="2" spans="1:11" ht="15.75" x14ac:dyDescent="0.25">
      <c r="A2" s="332" t="s">
        <v>3141</v>
      </c>
      <c r="B2" s="332"/>
      <c r="C2" s="242" t="s">
        <v>3015</v>
      </c>
      <c r="D2" s="242" t="s">
        <v>3142</v>
      </c>
      <c r="E2" s="242" t="s">
        <v>3143</v>
      </c>
      <c r="F2" s="242" t="s">
        <v>3144</v>
      </c>
    </row>
    <row r="3" spans="1:11" x14ac:dyDescent="0.2">
      <c r="A3" s="340">
        <v>45839</v>
      </c>
      <c r="B3" s="340"/>
    </row>
    <row r="12" spans="1:11" ht="18" customHeight="1" x14ac:dyDescent="0.2"/>
    <row r="13" spans="1:11" ht="14.25" customHeight="1" x14ac:dyDescent="0.2"/>
    <row r="14" spans="1:11" ht="15.75" x14ac:dyDescent="0.2">
      <c r="A14" s="155" t="str">
        <f>"Tổng điểm nhóm hôm nay"&amp;" "&amp;SUM($O$20:O25)&amp;" "&amp;"trên tổng"&amp;" "&amp;$O$19</f>
        <v>Tổng điểm nhóm hôm nay 6 trên tổng 6</v>
      </c>
      <c r="B14" s="158"/>
      <c r="C14" s="158"/>
      <c r="D14" s="158"/>
      <c r="E14" s="158"/>
      <c r="F14" s="346" t="s">
        <v>3013</v>
      </c>
      <c r="G14" s="346"/>
    </row>
    <row r="15" spans="1:11" ht="15.75" x14ac:dyDescent="0.2">
      <c r="A15" s="159" t="str">
        <f>"Tổng điểm tăng nhóm hôm nay"&amp;" "&amp;$P$19</f>
        <v>Tổng điểm tăng nhóm hôm nay 6</v>
      </c>
      <c r="B15" s="160"/>
      <c r="C15" s="160"/>
      <c r="D15" s="160"/>
      <c r="E15" s="160"/>
      <c r="F15" s="156" t="s">
        <v>3014</v>
      </c>
      <c r="G15" s="156" t="s">
        <v>3008</v>
      </c>
    </row>
    <row r="16" spans="1:11" ht="15.75" x14ac:dyDescent="0.2">
      <c r="A16" s="159" t="str">
        <f>"Tổng điểm giảm nhóm hôm nay"&amp;" "&amp;$Q$19</f>
        <v>Tổng điểm giảm nhóm hôm nay 0</v>
      </c>
      <c r="B16" s="160"/>
      <c r="C16" s="160"/>
      <c r="D16" s="160"/>
      <c r="E16" s="160"/>
      <c r="F16" s="164">
        <f>AVERAGE(E20:E35)</f>
        <v>3.1312500000000008E-3</v>
      </c>
      <c r="G16" s="162">
        <f>AVERAGE(F20:F35)</f>
        <v>0.81248237796640987</v>
      </c>
    </row>
    <row r="17" spans="1:23" ht="15.75" x14ac:dyDescent="0.2">
      <c r="A17" s="159" t="str">
        <f>"Tổng điểm tham chiếu nhóm hôm nay"&amp;" "&amp;(O19-(P19+Q19))</f>
        <v>Tổng điểm tham chiếu nhóm hôm nay 0</v>
      </c>
      <c r="B17" s="160"/>
      <c r="C17" s="160"/>
      <c r="D17" s="160"/>
      <c r="E17" s="160"/>
      <c r="F17" s="160"/>
      <c r="G17" s="163"/>
    </row>
    <row r="18" spans="1:23" s="86" customFormat="1" ht="15.75" customHeight="1" x14ac:dyDescent="0.25">
      <c r="A18" s="348" t="s">
        <v>127</v>
      </c>
      <c r="B18" s="345" t="s">
        <v>16</v>
      </c>
      <c r="C18" s="345" t="s">
        <v>2949</v>
      </c>
      <c r="D18" s="345" t="s">
        <v>2950</v>
      </c>
      <c r="E18" s="345" t="s">
        <v>2951</v>
      </c>
      <c r="F18" s="345" t="s">
        <v>2952</v>
      </c>
      <c r="G18" s="345" t="s">
        <v>2964</v>
      </c>
      <c r="H18" s="345" t="s">
        <v>2953</v>
      </c>
      <c r="I18" s="345" t="s">
        <v>2954</v>
      </c>
      <c r="J18" s="345" t="s">
        <v>2956</v>
      </c>
      <c r="K18" s="345" t="s">
        <v>2955</v>
      </c>
      <c r="L18" s="345" t="s">
        <v>2957</v>
      </c>
      <c r="M18" s="345" t="s">
        <v>2963</v>
      </c>
      <c r="N18" s="348" t="s">
        <v>2958</v>
      </c>
      <c r="O18" s="169" t="s">
        <v>2959</v>
      </c>
      <c r="P18" s="137" t="s">
        <v>2972</v>
      </c>
      <c r="Q18" s="137" t="s">
        <v>2973</v>
      </c>
      <c r="T18" s="82" t="s">
        <v>2968</v>
      </c>
      <c r="U18" t="s">
        <v>2974</v>
      </c>
      <c r="V18" t="s">
        <v>2975</v>
      </c>
      <c r="W18"/>
    </row>
    <row r="19" spans="1:23" s="86" customFormat="1" ht="15.75" x14ac:dyDescent="0.25">
      <c r="A19" s="344"/>
      <c r="B19" s="343"/>
      <c r="C19" s="343"/>
      <c r="D19" s="343"/>
      <c r="E19" s="343"/>
      <c r="F19" s="343"/>
      <c r="G19" s="343"/>
      <c r="H19" s="343"/>
      <c r="I19" s="343"/>
      <c r="J19" s="343"/>
      <c r="K19" s="343"/>
      <c r="L19" s="343"/>
      <c r="M19" s="343"/>
      <c r="N19" s="344"/>
      <c r="O19" s="137">
        <f>COUNT(O20:O25)</f>
        <v>6</v>
      </c>
      <c r="P19" s="137">
        <f>SUM(P20:P25)</f>
        <v>6</v>
      </c>
      <c r="Q19" s="137">
        <f>SUM(Q20:Q25)</f>
        <v>0</v>
      </c>
      <c r="T19" s="12" t="s">
        <v>2766</v>
      </c>
      <c r="U19" s="85">
        <v>-0.1</v>
      </c>
      <c r="V19" s="379">
        <v>0.4644487359550562</v>
      </c>
      <c r="W19" s="99"/>
    </row>
    <row r="20" spans="1:23" ht="15.75" customHeight="1" x14ac:dyDescent="0.2">
      <c r="A20" s="347" t="s">
        <v>3077</v>
      </c>
      <c r="B20" s="222" t="s">
        <v>1833</v>
      </c>
      <c r="C20" s="223">
        <f t="array" ref="C20:M20">tinh_du_lieu_cp(B20)</f>
        <v>21.35</v>
      </c>
      <c r="D20" s="224">
        <v>1476.6</v>
      </c>
      <c r="E20" s="225">
        <v>4.6999999999999993E-3</v>
      </c>
      <c r="F20" s="226">
        <v>0.32166844737631661</v>
      </c>
      <c r="G20" s="226">
        <v>1.0019694731659283</v>
      </c>
      <c r="H20" s="226">
        <v>0.6241264652840397</v>
      </c>
      <c r="I20" s="227">
        <v>0.50991501416430596</v>
      </c>
      <c r="J20" s="222">
        <v>17.649999999999999</v>
      </c>
      <c r="K20" s="222">
        <v>26.65</v>
      </c>
      <c r="L20" s="225">
        <v>0.20963172804532595</v>
      </c>
      <c r="M20" s="225">
        <v>-0.19887429643527194</v>
      </c>
      <c r="N20" s="228"/>
      <c r="O20" s="222">
        <f t="shared" ref="O20:O25" si="0">IF(E20&gt;0,1,IF(E20=0,0,-1))</f>
        <v>1</v>
      </c>
      <c r="P20" s="222">
        <f t="shared" ref="P20:P25" si="1">IF(O20=1,1,0)</f>
        <v>1</v>
      </c>
      <c r="Q20" s="222">
        <f t="shared" ref="Q20:Q25" si="2">IF(O20&lt;0,1,0)</f>
        <v>0</v>
      </c>
      <c r="T20" s="12" t="s">
        <v>1833</v>
      </c>
      <c r="U20" s="85">
        <v>-1.18E-2</v>
      </c>
      <c r="V20" s="379">
        <v>0.18673641209585015</v>
      </c>
      <c r="W20" s="99"/>
    </row>
    <row r="21" spans="1:23" ht="15.75" customHeight="1" x14ac:dyDescent="0.2">
      <c r="A21" s="347"/>
      <c r="B21" s="222" t="s">
        <v>3007</v>
      </c>
      <c r="C21" s="223" cm="1">
        <f t="array" ref="C21:M21">tinh_du_lieu_cp(B21)</f>
        <v>81.900000000000006</v>
      </c>
      <c r="D21" s="224">
        <v>1024.5</v>
      </c>
      <c r="E21" s="225">
        <v>1.8700000000000001E-2</v>
      </c>
      <c r="F21" s="226">
        <v>0.74445842705536125</v>
      </c>
      <c r="G21" s="226">
        <v>0.92579914508080841</v>
      </c>
      <c r="H21" s="226">
        <v>0.93817249431479977</v>
      </c>
      <c r="I21" s="225">
        <v>0.65178526841448192</v>
      </c>
      <c r="J21" s="222">
        <v>80.099999999999994</v>
      </c>
      <c r="K21" s="222">
        <v>132.30799999999999</v>
      </c>
      <c r="L21" s="225">
        <v>2.2471910112359696E-2</v>
      </c>
      <c r="M21" s="225">
        <v>-0.38098981165160073</v>
      </c>
      <c r="N21" s="228"/>
      <c r="O21" s="222">
        <f t="shared" si="0"/>
        <v>1</v>
      </c>
      <c r="P21" s="222">
        <f t="shared" si="1"/>
        <v>1</v>
      </c>
      <c r="Q21" s="222">
        <f t="shared" si="2"/>
        <v>0</v>
      </c>
      <c r="T21" s="12" t="s">
        <v>3055</v>
      </c>
      <c r="U21" s="85">
        <v>-8.6999999999999994E-3</v>
      </c>
      <c r="V21" s="379">
        <v>6.3346603570444929E-2</v>
      </c>
      <c r="W21" s="99"/>
    </row>
    <row r="22" spans="1:23" ht="15.75" customHeight="1" x14ac:dyDescent="0.2">
      <c r="A22" s="347"/>
      <c r="B22" s="222" t="s">
        <v>1107</v>
      </c>
      <c r="C22" s="223" cm="1">
        <f t="array" ref="C22:M22">tinh_du_lieu_cp(B22)</f>
        <v>13.1</v>
      </c>
      <c r="D22" s="224">
        <v>123</v>
      </c>
      <c r="E22" s="225">
        <v>7.7000000000000002E-3</v>
      </c>
      <c r="F22" s="226">
        <v>0.34924240468754031</v>
      </c>
      <c r="G22" s="226">
        <v>0.97679360286305428</v>
      </c>
      <c r="H22" s="226">
        <v>0.5225888684322334</v>
      </c>
      <c r="I22" s="225">
        <v>0.13076923076923072</v>
      </c>
      <c r="J22" s="222">
        <v>13</v>
      </c>
      <c r="K22" s="222">
        <v>14.7</v>
      </c>
      <c r="L22" s="225">
        <v>7.692307692307665E-3</v>
      </c>
      <c r="M22" s="225">
        <v>-0.10884353741496597</v>
      </c>
      <c r="N22" s="228"/>
      <c r="O22" s="222">
        <f t="shared" si="0"/>
        <v>1</v>
      </c>
      <c r="P22" s="222">
        <f t="shared" si="1"/>
        <v>1</v>
      </c>
      <c r="Q22" s="222">
        <f t="shared" si="2"/>
        <v>0</v>
      </c>
      <c r="T22" s="12" t="s">
        <v>1818</v>
      </c>
      <c r="U22" s="85">
        <v>-8.3999999999999995E-3</v>
      </c>
      <c r="V22" s="379">
        <v>0.21796266353079524</v>
      </c>
      <c r="W22" s="99"/>
    </row>
    <row r="23" spans="1:23" ht="15.75" customHeight="1" x14ac:dyDescent="0.2">
      <c r="A23" s="347"/>
      <c r="B23" s="222" t="s">
        <v>1111</v>
      </c>
      <c r="C23" s="223" cm="1">
        <f t="array" ref="C23:M23">tinh_du_lieu_cp(B23)</f>
        <v>26.5</v>
      </c>
      <c r="D23" s="224">
        <v>9120.5</v>
      </c>
      <c r="E23" s="225">
        <v>1.9199999999999998E-2</v>
      </c>
      <c r="F23" s="226">
        <v>0.75430920245122013</v>
      </c>
      <c r="G23" s="226">
        <v>0.92516537685490252</v>
      </c>
      <c r="H23" s="226">
        <v>0.78307494612361939</v>
      </c>
      <c r="I23" s="225">
        <v>0.39230769230769241</v>
      </c>
      <c r="J23" s="222">
        <v>26</v>
      </c>
      <c r="K23" s="222">
        <v>36.200000000000003</v>
      </c>
      <c r="L23" s="225">
        <v>1.9230769230769232E-2</v>
      </c>
      <c r="M23" s="225">
        <v>-0.26795580110497241</v>
      </c>
      <c r="N23" s="228"/>
      <c r="O23" s="222">
        <f t="shared" si="0"/>
        <v>1</v>
      </c>
      <c r="P23" s="222">
        <f t="shared" si="1"/>
        <v>1</v>
      </c>
      <c r="Q23" s="222">
        <f t="shared" si="2"/>
        <v>0</v>
      </c>
      <c r="T23" s="12" t="s">
        <v>1950</v>
      </c>
      <c r="U23" s="85">
        <v>-5.5000000000000005E-3</v>
      </c>
      <c r="V23" s="379">
        <v>1.2986306030449946</v>
      </c>
      <c r="W23" s="99"/>
    </row>
    <row r="24" spans="1:23" ht="15.75" customHeight="1" x14ac:dyDescent="0.2">
      <c r="A24" s="347"/>
      <c r="B24" s="222" t="s">
        <v>1772</v>
      </c>
      <c r="C24" s="223" cm="1">
        <f t="array" ref="C24:M24">tinh_du_lieu_cp(B24)</f>
        <v>21.6</v>
      </c>
      <c r="D24" s="224">
        <v>379.4</v>
      </c>
      <c r="E24" s="225">
        <v>1.41E-2</v>
      </c>
      <c r="F24" s="226">
        <v>0.87695815253364717</v>
      </c>
      <c r="G24" s="226">
        <v>0.96786986623647242</v>
      </c>
      <c r="H24" s="226">
        <v>1.1934570619691727</v>
      </c>
      <c r="I24" s="227">
        <v>0.23474178403755869</v>
      </c>
      <c r="J24" s="222">
        <v>21.3</v>
      </c>
      <c r="K24" s="222">
        <v>26.3</v>
      </c>
      <c r="L24" s="225">
        <v>1.4084507042253554E-2</v>
      </c>
      <c r="M24" s="225">
        <v>-0.17870722433460073</v>
      </c>
      <c r="N24" s="228"/>
      <c r="O24" s="222">
        <f t="shared" si="0"/>
        <v>1</v>
      </c>
      <c r="P24" s="222">
        <f t="shared" si="1"/>
        <v>1</v>
      </c>
      <c r="Q24" s="222">
        <f t="shared" si="2"/>
        <v>0</v>
      </c>
      <c r="T24" s="12" t="s">
        <v>1237</v>
      </c>
      <c r="U24" s="85">
        <v>-3.4999999999999996E-3</v>
      </c>
      <c r="V24" s="379">
        <v>0.37616393646276253</v>
      </c>
      <c r="W24" s="99"/>
    </row>
    <row r="25" spans="1:23" x14ac:dyDescent="0.2">
      <c r="A25" s="347"/>
      <c r="B25" s="222" t="s">
        <v>1818</v>
      </c>
      <c r="C25" s="223" cm="1">
        <f t="array" ref="C25:M25">tinh_du_lieu_cp(B25)</f>
        <v>17.95</v>
      </c>
      <c r="D25" s="224">
        <v>84.9</v>
      </c>
      <c r="E25" s="225">
        <v>8.3999999999999995E-3</v>
      </c>
      <c r="F25" s="226">
        <v>0.54096793813537236</v>
      </c>
      <c r="G25" s="226">
        <v>0.96076061558295045</v>
      </c>
      <c r="H25" s="226">
        <v>0.64140015109544202</v>
      </c>
      <c r="I25" s="225">
        <v>0.20016853932584261</v>
      </c>
      <c r="J25" s="222">
        <v>17.8</v>
      </c>
      <c r="K25" s="222">
        <v>21.363</v>
      </c>
      <c r="L25" s="225">
        <v>8.4269662921347514E-3</v>
      </c>
      <c r="M25" s="225">
        <v>-0.15976220568272248</v>
      </c>
      <c r="N25" s="228"/>
      <c r="O25" s="222">
        <f t="shared" si="0"/>
        <v>1</v>
      </c>
      <c r="P25" s="222">
        <f t="shared" si="1"/>
        <v>1</v>
      </c>
      <c r="Q25" s="222">
        <f t="shared" si="2"/>
        <v>0</v>
      </c>
      <c r="T25" s="12" t="s">
        <v>3157</v>
      </c>
      <c r="U25" s="85">
        <v>-1.9E-3</v>
      </c>
      <c r="V25" s="379">
        <v>0.21007925988043391</v>
      </c>
      <c r="W25" s="99"/>
    </row>
    <row r="26" spans="1:23" x14ac:dyDescent="0.2">
      <c r="A26" s="347"/>
      <c r="B26" s="222" t="s">
        <v>1948</v>
      </c>
      <c r="C26" s="223" cm="1">
        <f t="array" ref="C26:M26">tinh_du_lieu_cp(B26)</f>
        <v>14.1</v>
      </c>
      <c r="D26" s="224">
        <v>6043.8</v>
      </c>
      <c r="E26" s="225">
        <v>2.1700000000000001E-2</v>
      </c>
      <c r="F26" s="226">
        <v>0.49264407022062789</v>
      </c>
      <c r="G26" s="226">
        <v>0.99074074074074114</v>
      </c>
      <c r="H26" s="226">
        <v>0.63479070679345162</v>
      </c>
      <c r="I26" s="225">
        <v>0.17786561264822134</v>
      </c>
      <c r="J26" s="222">
        <v>12.65</v>
      </c>
      <c r="K26" s="222">
        <v>14.9</v>
      </c>
      <c r="L26" s="225">
        <v>0.11462450592885369</v>
      </c>
      <c r="M26" s="225">
        <v>-5.3691275167785282E-2</v>
      </c>
      <c r="N26" s="228"/>
      <c r="O26" s="222">
        <f t="shared" ref="O26:O31" si="3">IF(E26&gt;0,1,IF(E26=0,0,-1))</f>
        <v>1</v>
      </c>
      <c r="P26" s="222">
        <f t="shared" ref="P26:P31" si="4">IF(O26=1,1,0)</f>
        <v>1</v>
      </c>
      <c r="Q26" s="222">
        <f t="shared" ref="Q26:Q31" si="5">IF(O26&lt;0,1,0)</f>
        <v>0</v>
      </c>
      <c r="T26" s="12" t="s">
        <v>2094</v>
      </c>
      <c r="U26" s="85">
        <v>-1.1000000000000001E-3</v>
      </c>
      <c r="V26" s="379">
        <v>0.4269734376596977</v>
      </c>
      <c r="W26" s="99"/>
    </row>
    <row r="27" spans="1:23" x14ac:dyDescent="0.2">
      <c r="A27" s="347"/>
      <c r="B27" s="222" t="s">
        <v>1950</v>
      </c>
      <c r="C27" s="223" cm="1">
        <f t="array" ref="C27:M27">tinh_du_lieu_cp(B27)</f>
        <v>9.14</v>
      </c>
      <c r="D27" s="224">
        <v>171.9</v>
      </c>
      <c r="E27" s="225">
        <v>-2.2000000000000001E-3</v>
      </c>
      <c r="F27" s="226">
        <v>1.5859928706227722</v>
      </c>
      <c r="G27" s="226">
        <v>0.97325427564991507</v>
      </c>
      <c r="H27" s="226">
        <v>1.4604927782497876</v>
      </c>
      <c r="I27" s="227">
        <v>0.11050328227571113</v>
      </c>
      <c r="J27" s="222">
        <v>9.14</v>
      </c>
      <c r="K27" s="222">
        <v>10.15</v>
      </c>
      <c r="L27" s="225">
        <v>0</v>
      </c>
      <c r="M27" s="225">
        <v>-9.9507389162561549E-2</v>
      </c>
      <c r="N27" s="228"/>
      <c r="O27" s="222">
        <f t="shared" si="3"/>
        <v>-1</v>
      </c>
      <c r="P27" s="222">
        <f t="shared" si="4"/>
        <v>0</v>
      </c>
      <c r="Q27" s="222">
        <f t="shared" si="5"/>
        <v>1</v>
      </c>
      <c r="T27" s="12" t="s">
        <v>2827</v>
      </c>
      <c r="U27" s="85">
        <v>0</v>
      </c>
      <c r="V27" s="379">
        <v>2.9743016759776539</v>
      </c>
      <c r="W27" s="99"/>
    </row>
    <row r="28" spans="1:23" x14ac:dyDescent="0.2">
      <c r="A28" s="347"/>
      <c r="B28" s="222" t="s">
        <v>2094</v>
      </c>
      <c r="C28" s="223" cm="1">
        <f t="array" ref="C28:M28">tinh_du_lieu_cp(B28)</f>
        <v>46.15</v>
      </c>
      <c r="D28" s="224">
        <v>377.8</v>
      </c>
      <c r="E28" s="225">
        <v>0</v>
      </c>
      <c r="F28" s="226">
        <v>0.92222000310676167</v>
      </c>
      <c r="G28" s="226">
        <v>0.95363860622880048</v>
      </c>
      <c r="H28" s="226">
        <v>0.81922659920491503</v>
      </c>
      <c r="I28" s="225">
        <v>0.23042253521126763</v>
      </c>
      <c r="J28" s="222">
        <v>46.15</v>
      </c>
      <c r="K28" s="222">
        <v>56.783999999999999</v>
      </c>
      <c r="L28" s="225">
        <v>0</v>
      </c>
      <c r="M28" s="225">
        <v>-0.18727106227106227</v>
      </c>
      <c r="N28" s="228"/>
      <c r="O28" s="222">
        <f t="shared" si="3"/>
        <v>0</v>
      </c>
      <c r="P28" s="222">
        <f t="shared" si="4"/>
        <v>0</v>
      </c>
      <c r="Q28" s="222">
        <f t="shared" si="5"/>
        <v>0</v>
      </c>
      <c r="T28" s="12" t="s">
        <v>1772</v>
      </c>
      <c r="U28" s="85">
        <v>0</v>
      </c>
      <c r="V28" s="379">
        <v>0.41059673764805688</v>
      </c>
      <c r="W28" s="99"/>
    </row>
    <row r="29" spans="1:23" x14ac:dyDescent="0.2">
      <c r="A29" s="347"/>
      <c r="B29" s="222" t="s">
        <v>2240</v>
      </c>
      <c r="C29" s="223" cm="1">
        <f t="array" ref="C29:M29">tinh_du_lieu_cp(B29)</f>
        <v>14.05</v>
      </c>
      <c r="D29" s="224">
        <v>42.9</v>
      </c>
      <c r="E29" s="225">
        <v>3.5999999999999999E-3</v>
      </c>
      <c r="F29" s="226">
        <v>0.79071715817694366</v>
      </c>
      <c r="G29" s="226">
        <v>0.99774047772756569</v>
      </c>
      <c r="H29" s="226">
        <v>0.59930151338766013</v>
      </c>
      <c r="I29" s="225">
        <v>1.4336917562724091E-2</v>
      </c>
      <c r="J29" s="222">
        <v>13.95</v>
      </c>
      <c r="K29" s="222">
        <v>14.15</v>
      </c>
      <c r="L29" s="225">
        <v>7.1684587813621095E-3</v>
      </c>
      <c r="M29" s="225">
        <v>-7.0671378091872539E-3</v>
      </c>
      <c r="N29" s="228"/>
      <c r="O29" s="222">
        <f t="shared" si="3"/>
        <v>1</v>
      </c>
      <c r="P29" s="222">
        <f t="shared" si="4"/>
        <v>1</v>
      </c>
      <c r="Q29" s="222">
        <f t="shared" si="5"/>
        <v>0</v>
      </c>
      <c r="T29" s="12" t="s">
        <v>2240</v>
      </c>
      <c r="U29" s="85">
        <v>0</v>
      </c>
      <c r="V29" s="379">
        <v>0.21956465628495225</v>
      </c>
      <c r="W29" s="99"/>
    </row>
    <row r="30" spans="1:23" x14ac:dyDescent="0.2">
      <c r="A30" s="347"/>
      <c r="B30" s="222" t="s">
        <v>3055</v>
      </c>
      <c r="C30" s="223" cm="1">
        <f t="array" ref="C30:M30">tinh_du_lieu_cp(B30)</f>
        <v>11.7</v>
      </c>
      <c r="D30" s="224">
        <v>337.4</v>
      </c>
      <c r="E30" s="225">
        <v>1.7399999999999999E-2</v>
      </c>
      <c r="F30" s="226">
        <v>0.60423619816681051</v>
      </c>
      <c r="G30" s="226">
        <v>1.0213022508038585</v>
      </c>
      <c r="H30" s="226">
        <v>1.0974142136932834</v>
      </c>
      <c r="I30" s="225">
        <v>0.14563106796116504</v>
      </c>
      <c r="J30" s="222">
        <v>10.3</v>
      </c>
      <c r="K30" s="222">
        <v>11.8</v>
      </c>
      <c r="L30" s="225">
        <v>0.13592233009708724</v>
      </c>
      <c r="M30" s="225">
        <v>-8.4745762711865603E-3</v>
      </c>
      <c r="N30" s="228"/>
      <c r="O30" s="222">
        <f t="shared" si="3"/>
        <v>1</v>
      </c>
      <c r="P30" s="222">
        <f t="shared" si="4"/>
        <v>1</v>
      </c>
      <c r="Q30" s="222">
        <f t="shared" si="5"/>
        <v>0</v>
      </c>
      <c r="T30" s="12" t="s">
        <v>2115</v>
      </c>
      <c r="U30" s="85">
        <v>0</v>
      </c>
      <c r="V30" s="379">
        <v>7.5592715611041111E-2</v>
      </c>
    </row>
    <row r="31" spans="1:23" x14ac:dyDescent="0.2">
      <c r="A31" s="347"/>
      <c r="B31" s="222" t="s">
        <v>2827</v>
      </c>
      <c r="C31" s="223" cm="1">
        <f t="array" ref="C31:M31">tinh_du_lieu_cp(B31)</f>
        <v>42.5</v>
      </c>
      <c r="D31" s="224">
        <v>12.1</v>
      </c>
      <c r="E31" s="225">
        <v>0</v>
      </c>
      <c r="F31" s="226">
        <v>2.9743016759776539</v>
      </c>
      <c r="G31" s="226">
        <v>0.99935907707098215</v>
      </c>
      <c r="H31" s="226">
        <v>3.0124481327800829</v>
      </c>
      <c r="I31" s="225">
        <v>1.7727810650887629E-2</v>
      </c>
      <c r="J31" s="222">
        <v>42.25</v>
      </c>
      <c r="K31" s="222">
        <v>42.999000000000002</v>
      </c>
      <c r="L31" s="225">
        <v>5.9171597633136093E-3</v>
      </c>
      <c r="M31" s="225">
        <v>-1.160492104467551E-2</v>
      </c>
      <c r="N31" s="228"/>
      <c r="O31" s="222">
        <f t="shared" si="3"/>
        <v>0</v>
      </c>
      <c r="P31" s="222">
        <f t="shared" si="4"/>
        <v>0</v>
      </c>
      <c r="Q31" s="222">
        <f t="shared" si="5"/>
        <v>0</v>
      </c>
      <c r="T31" s="12" t="s">
        <v>1107</v>
      </c>
      <c r="U31" s="85">
        <v>0</v>
      </c>
      <c r="V31" s="379">
        <v>0.25240805320403953</v>
      </c>
    </row>
    <row r="32" spans="1:23" x14ac:dyDescent="0.2">
      <c r="A32" s="347"/>
      <c r="B32" s="222" t="s">
        <v>1237</v>
      </c>
      <c r="C32" s="223" cm="1">
        <f t="array" ref="C32:M32">tinh_du_lieu_cp(B32)</f>
        <v>14.4</v>
      </c>
      <c r="D32" s="224">
        <v>492.3</v>
      </c>
      <c r="E32" s="225">
        <v>-3.4999999999999996E-3</v>
      </c>
      <c r="F32" s="226">
        <v>0.60510201801238073</v>
      </c>
      <c r="G32" s="226">
        <v>1.0203098827470687</v>
      </c>
      <c r="H32" s="226">
        <v>0.48620621543323672</v>
      </c>
      <c r="I32" s="225">
        <v>0.21428571428571438</v>
      </c>
      <c r="J32" s="222">
        <v>12.6</v>
      </c>
      <c r="K32" s="222">
        <v>15.3</v>
      </c>
      <c r="L32" s="225">
        <v>0.1428571428571429</v>
      </c>
      <c r="M32" s="225">
        <v>-5.8823529411764726E-2</v>
      </c>
      <c r="N32" s="228"/>
      <c r="O32" s="222">
        <f>IF(E32&gt;0,1,IF(E32=0,0,-1))</f>
        <v>-1</v>
      </c>
      <c r="P32" s="222">
        <f>IF(O32=1,1,0)</f>
        <v>0</v>
      </c>
      <c r="Q32" s="222">
        <f>IF(O32&lt;0,1,0)</f>
        <v>1</v>
      </c>
      <c r="T32" s="12" t="s">
        <v>1948</v>
      </c>
      <c r="U32" s="85">
        <v>3.5999999999999999E-3</v>
      </c>
      <c r="V32" s="379">
        <v>0.29443752890907748</v>
      </c>
    </row>
    <row r="33" spans="1:22" x14ac:dyDescent="0.2">
      <c r="A33" s="347"/>
      <c r="B33" s="222" t="s">
        <v>2766</v>
      </c>
      <c r="C33" s="223" cm="1">
        <f t="array" ref="C33:M33">tinh_du_lieu_cp(B33)</f>
        <v>2.8</v>
      </c>
      <c r="D33" s="224">
        <v>902.9</v>
      </c>
      <c r="E33" s="225">
        <v>-6.6699999999999995E-2</v>
      </c>
      <c r="F33" s="226">
        <v>0.78092639623843174</v>
      </c>
      <c r="G33" s="226">
        <v>0.99234955843088923</v>
      </c>
      <c r="H33" s="226">
        <v>0.90324624439368428</v>
      </c>
      <c r="I33" s="225">
        <v>0.76150627615062749</v>
      </c>
      <c r="J33" s="222">
        <v>2.39</v>
      </c>
      <c r="K33" s="222">
        <v>4.21</v>
      </c>
      <c r="L33" s="225">
        <v>0.17154811715481158</v>
      </c>
      <c r="M33" s="225">
        <v>-0.33491686460807607</v>
      </c>
      <c r="N33" s="228"/>
      <c r="O33" s="222">
        <f>IF(E33&gt;0,1,IF(E33=0,0,-1))</f>
        <v>-1</v>
      </c>
      <c r="P33" s="222">
        <f>IF(O33=1,1,0)</f>
        <v>0</v>
      </c>
      <c r="Q33" s="222">
        <f>IF(O33&lt;0,1,0)</f>
        <v>1</v>
      </c>
      <c r="T33" s="12" t="s">
        <v>1111</v>
      </c>
      <c r="U33" s="85">
        <v>9.5999999999999992E-3</v>
      </c>
      <c r="V33" s="379">
        <v>0.34005215415677215</v>
      </c>
    </row>
    <row r="34" spans="1:22" x14ac:dyDescent="0.2">
      <c r="A34" s="347"/>
      <c r="B34" s="222" t="s">
        <v>3157</v>
      </c>
      <c r="C34" s="223" cm="1">
        <f t="array" ref="C34:M34">tinh_du_lieu_cp(B34)</f>
        <v>26.65</v>
      </c>
      <c r="D34" s="224">
        <v>68.2</v>
      </c>
      <c r="E34" s="225">
        <v>1.9E-3</v>
      </c>
      <c r="F34" s="226">
        <v>0.40229515229515228</v>
      </c>
      <c r="G34" s="226">
        <v>0.95777510362347917</v>
      </c>
      <c r="H34" s="226">
        <v>0.48906418070993185</v>
      </c>
      <c r="I34" s="225">
        <v>0.3590225563909773</v>
      </c>
      <c r="J34" s="222">
        <v>26.6</v>
      </c>
      <c r="K34" s="222">
        <v>36.15</v>
      </c>
      <c r="L34" s="225">
        <v>1.8796992481201937E-3</v>
      </c>
      <c r="M34" s="225">
        <v>-0.26279391424619641</v>
      </c>
      <c r="N34" s="228"/>
      <c r="O34" s="222">
        <f>IF(E34&gt;0,1,IF(E34=0,0,-1))</f>
        <v>1</v>
      </c>
      <c r="P34" s="222">
        <f>IF(O34=1,1,0)</f>
        <v>1</v>
      </c>
      <c r="Q34" s="222">
        <f>IF(O34&lt;0,1,0)</f>
        <v>0</v>
      </c>
      <c r="T34" s="12" t="s">
        <v>3007</v>
      </c>
      <c r="U34" s="85">
        <v>0.01</v>
      </c>
      <c r="V34" s="379">
        <v>0.48025682182985552</v>
      </c>
    </row>
    <row r="35" spans="1:22" x14ac:dyDescent="0.2">
      <c r="A35" s="347"/>
      <c r="B35" s="222" t="s">
        <v>2115</v>
      </c>
      <c r="C35" s="223" cm="1">
        <f t="array" ref="C35:M35">tinh_du_lieu_cp(B35)</f>
        <v>5.93</v>
      </c>
      <c r="D35" s="224">
        <v>20.3</v>
      </c>
      <c r="E35" s="225">
        <v>5.1000000000000004E-3</v>
      </c>
      <c r="F35" s="226">
        <v>0.25367793240556658</v>
      </c>
      <c r="G35" s="226">
        <v>0.99205503096761083</v>
      </c>
      <c r="H35" s="226">
        <v>0.40845070422535212</v>
      </c>
      <c r="I35" s="225">
        <v>9.8979591836734673E-2</v>
      </c>
      <c r="J35" s="222">
        <v>5.88</v>
      </c>
      <c r="K35" s="222">
        <v>6.4619999999999997</v>
      </c>
      <c r="L35" s="225">
        <v>8.5034013605441872E-3</v>
      </c>
      <c r="M35" s="225">
        <v>-8.2327452800990408E-2</v>
      </c>
      <c r="N35" s="228"/>
      <c r="O35" s="222">
        <f>IF(E35&gt;0,1,IF(E35=0,0,-1))</f>
        <v>1</v>
      </c>
      <c r="P35" s="222">
        <f>IF(O35=1,1,0)</f>
        <v>1</v>
      </c>
      <c r="Q35" s="222">
        <f>IF(O35&lt;0,1,0)</f>
        <v>0</v>
      </c>
      <c r="T35" s="12" t="s">
        <v>2969</v>
      </c>
      <c r="U35" s="85">
        <v>-0.11770000000000001</v>
      </c>
      <c r="V35" s="379">
        <v>8.2915519958214841</v>
      </c>
    </row>
  </sheetData>
  <mergeCells count="19">
    <mergeCell ref="A20:A35"/>
    <mergeCell ref="N18:N19"/>
    <mergeCell ref="H18:H19"/>
    <mergeCell ref="I18:I19"/>
    <mergeCell ref="J18:J19"/>
    <mergeCell ref="K18:K19"/>
    <mergeCell ref="L18:L19"/>
    <mergeCell ref="M18:M19"/>
    <mergeCell ref="A3:B3"/>
    <mergeCell ref="A1:F1"/>
    <mergeCell ref="A2:B2"/>
    <mergeCell ref="E18:E19"/>
    <mergeCell ref="A18:A19"/>
    <mergeCell ref="B18:B19"/>
    <mergeCell ref="C18:C19"/>
    <mergeCell ref="D18:D19"/>
    <mergeCell ref="F14:G14"/>
    <mergeCell ref="F18:F19"/>
    <mergeCell ref="G18:G19"/>
  </mergeCells>
  <conditionalFormatting sqref="A14">
    <cfRule type="expression" dxfId="126" priority="273" stopIfTrue="1">
      <formula>A14="giảm"</formula>
    </cfRule>
    <cfRule type="expression" dxfId="125" priority="274" stopIfTrue="1">
      <formula>A14="tăng"</formula>
    </cfRule>
  </conditionalFormatting>
  <conditionalFormatting sqref="C20:C35">
    <cfRule type="expression" dxfId="124" priority="18" stopIfTrue="1">
      <formula>E20&gt;=6.8%</formula>
    </cfRule>
    <cfRule type="expression" dxfId="123" priority="19" stopIfTrue="1">
      <formula>AND(E20&gt;0%,E20&lt;6.8%)</formula>
    </cfRule>
    <cfRule type="expression" dxfId="122" priority="20" stopIfTrue="1">
      <formula>E20=0%</formula>
    </cfRule>
    <cfRule type="expression" dxfId="121" priority="21" stopIfTrue="1">
      <formula>AND(E20&gt;-6.8%, E20&lt;0%)</formula>
    </cfRule>
    <cfRule type="expression" dxfId="120" priority="22" stopIfTrue="1">
      <formula>E20&lt;=-6.8%</formula>
    </cfRule>
  </conditionalFormatting>
  <conditionalFormatting sqref="B20:B35">
    <cfRule type="expression" dxfId="119" priority="28" stopIfTrue="1">
      <formula>E20&gt;=6.8%</formula>
    </cfRule>
    <cfRule type="expression" dxfId="118" priority="29" stopIfTrue="1">
      <formula>AND(E20&gt;0%,E20&lt;6.8%)</formula>
    </cfRule>
    <cfRule type="expression" dxfId="117" priority="30" stopIfTrue="1">
      <formula>E20=0%</formula>
    </cfRule>
    <cfRule type="expression" dxfId="116" priority="31" stopIfTrue="1">
      <formula>AND(E20&gt;-6.8%, E20&lt;0%)</formula>
    </cfRule>
    <cfRule type="expression" dxfId="115" priority="32" stopIfTrue="1">
      <formula>E20&lt;=-6.8%</formula>
    </cfRule>
  </conditionalFormatting>
  <conditionalFormatting sqref="L32:M32">
    <cfRule type="colorScale" priority="12">
      <colorScale>
        <cfvo type="min"/>
        <cfvo type="percentile" val="50"/>
        <cfvo type="max"/>
        <color rgb="FFFF3829"/>
        <color rgb="FFFFC000"/>
        <color rgb="FF00BC55"/>
      </colorScale>
    </cfRule>
  </conditionalFormatting>
  <conditionalFormatting sqref="L28:M31 L21:M23 L25:M26">
    <cfRule type="colorScale" priority="17649">
      <colorScale>
        <cfvo type="min"/>
        <cfvo type="percentile" val="50"/>
        <cfvo type="max"/>
        <color rgb="FFFF3829"/>
        <color rgb="FFFFC000"/>
        <color rgb="FF00BC55"/>
      </colorScale>
    </cfRule>
  </conditionalFormatting>
  <conditionalFormatting sqref="N20:N35">
    <cfRule type="colorScale" priority="17963">
      <colorScale>
        <cfvo type="min"/>
        <cfvo type="max"/>
        <color theme="0" tint="-4.9989318521683403E-2"/>
        <color rgb="FFFF0000"/>
      </colorScale>
    </cfRule>
  </conditionalFormatting>
  <conditionalFormatting sqref="L33:M35">
    <cfRule type="colorScale" priority="17965">
      <colorScale>
        <cfvo type="min"/>
        <cfvo type="percentile" val="50"/>
        <cfvo type="max"/>
        <color rgb="FFFF3829"/>
        <color rgb="FFFFC000"/>
        <color rgb="FF00BC55"/>
      </colorScale>
    </cfRule>
  </conditionalFormatting>
  <conditionalFormatting sqref="F25:F26 F21:F23 F28:F35">
    <cfRule type="colorScale" priority="17967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5:I26 I21:I23 I28:I35">
    <cfRule type="colorScale" priority="17971">
      <colorScale>
        <cfvo type="min"/>
        <cfvo type="percentile" val="50"/>
        <cfvo type="max"/>
        <color rgb="FFFF3829"/>
        <color rgb="FFFFC000"/>
        <color rgb="FF00A400"/>
      </colorScale>
    </cfRule>
  </conditionalFormatting>
  <conditionalFormatting sqref="I20:I35">
    <cfRule type="colorScale" priority="17975">
      <colorScale>
        <cfvo type="min"/>
        <cfvo type="max"/>
        <color theme="0" tint="-4.9989318521683403E-2"/>
        <color rgb="FF00B050"/>
      </colorScale>
    </cfRule>
  </conditionalFormatting>
  <conditionalFormatting sqref="L20:L35">
    <cfRule type="colorScale" priority="17977">
      <colorScale>
        <cfvo type="min"/>
        <cfvo type="max"/>
        <color theme="0" tint="-4.9989318521683403E-2"/>
        <color rgb="FF00B050"/>
      </colorScale>
    </cfRule>
  </conditionalFormatting>
  <conditionalFormatting sqref="M20:M35">
    <cfRule type="colorScale" priority="17979">
      <colorScale>
        <cfvo type="min"/>
        <cfvo type="max"/>
        <color rgb="FFFF7C80"/>
        <color theme="0" tint="-4.9989318521683403E-2"/>
      </colorScale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70CF4B2-D05F-4F83-84E9-54FD9411940A}">
          <x14:formula1>
            <xm:f>'Nơi chứ dữ liệu'!$I$2:$K$2</xm:f>
          </x14:formula1>
          <xm:sqref>N20:N35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DD2DD-C862-49FD-AB75-C3B6E87501CF}">
  <sheetPr codeName="Sheet25">
    <tabColor theme="4" tint="-0.249977111117893"/>
  </sheetPr>
  <dimension ref="A1:X37"/>
  <sheetViews>
    <sheetView topLeftCell="A9" zoomScaleNormal="100" workbookViewId="0">
      <selection activeCell="G42" sqref="G42"/>
    </sheetView>
  </sheetViews>
  <sheetFormatPr defaultRowHeight="15" x14ac:dyDescent="0.2"/>
  <cols>
    <col min="1" max="1" width="8" customWidth="1"/>
    <col min="2" max="2" width="9.6640625" customWidth="1"/>
    <col min="3" max="3" width="12.77734375" customWidth="1"/>
    <col min="4" max="4" width="11.21875" customWidth="1"/>
    <col min="5" max="5" width="13.3320312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  <col min="24" max="24" width="15.6640625" bestFit="1" customWidth="1"/>
  </cols>
  <sheetData>
    <row r="1" spans="1:11" ht="15.75" x14ac:dyDescent="0.25">
      <c r="A1" s="332" t="s">
        <v>3140</v>
      </c>
      <c r="B1" s="332"/>
      <c r="C1" s="332"/>
      <c r="D1" s="332"/>
      <c r="E1" s="332"/>
      <c r="F1" s="332"/>
      <c r="K1" s="150"/>
    </row>
    <row r="2" spans="1:11" ht="15.75" x14ac:dyDescent="0.25">
      <c r="A2" s="332" t="s">
        <v>3141</v>
      </c>
      <c r="B2" s="332"/>
      <c r="C2" s="242" t="s">
        <v>3015</v>
      </c>
      <c r="D2" s="242" t="s">
        <v>3142</v>
      </c>
      <c r="E2" s="242" t="s">
        <v>3143</v>
      </c>
      <c r="F2" s="242" t="s">
        <v>3144</v>
      </c>
    </row>
    <row r="3" spans="1:11" x14ac:dyDescent="0.2">
      <c r="A3" s="340">
        <v>45839</v>
      </c>
      <c r="B3" s="340"/>
    </row>
    <row r="12" spans="1:11" ht="18" customHeight="1" x14ac:dyDescent="0.2"/>
    <row r="13" spans="1:11" ht="14.25" customHeight="1" x14ac:dyDescent="0.2"/>
    <row r="14" spans="1:11" ht="15.75" x14ac:dyDescent="0.2">
      <c r="A14" s="155" t="str">
        <f>"Tổng điểm nhóm BĐS hôm nay"&amp;" "&amp;SUM($O$20:O21)&amp;" "&amp;"trên tổng"&amp;" "&amp;$O$19</f>
        <v>Tổng điểm nhóm BĐS hôm nay 2 trên tổng 2</v>
      </c>
      <c r="B14" s="158"/>
      <c r="C14" s="158"/>
      <c r="D14" s="158"/>
      <c r="E14" s="158"/>
      <c r="F14" s="346" t="s">
        <v>3013</v>
      </c>
      <c r="G14" s="346"/>
    </row>
    <row r="15" spans="1:11" ht="15.75" x14ac:dyDescent="0.2">
      <c r="A15" s="159" t="str">
        <f>"Tổng điểm tăng nhóm BĐS  hôm nay"&amp;" "&amp;$P$19</f>
        <v>Tổng điểm tăng nhóm BĐS  hôm nay 2</v>
      </c>
      <c r="B15" s="160"/>
      <c r="C15" s="160"/>
      <c r="D15" s="160"/>
      <c r="E15" s="160"/>
      <c r="F15" s="156" t="s">
        <v>3014</v>
      </c>
      <c r="G15" s="156" t="s">
        <v>3008</v>
      </c>
    </row>
    <row r="16" spans="1:11" ht="15.75" x14ac:dyDescent="0.2">
      <c r="A16" s="159" t="str">
        <f>"Tổng điểm giảm nhóm BĐS hôm nay"&amp;" "&amp;$Q$19</f>
        <v>Tổng điểm giảm nhóm BĐS hôm nay 0</v>
      </c>
      <c r="B16" s="160"/>
      <c r="C16" s="160"/>
      <c r="D16" s="160"/>
      <c r="E16" s="160"/>
      <c r="F16" s="161">
        <f>AVERAGE(E20:E37)</f>
        <v>3.2999999999999987E-3</v>
      </c>
      <c r="G16" s="162">
        <f>AVERAGE(F20:F37)</f>
        <v>1.2964548668720031</v>
      </c>
    </row>
    <row r="17" spans="1:24" ht="15.75" x14ac:dyDescent="0.2">
      <c r="A17" s="159" t="str">
        <f>"Tổng điểm tham chiếu nhóm BĐS hôm nay"&amp;" "&amp;(O19-(P19+Q19))</f>
        <v>Tổng điểm tham chiếu nhóm BĐS hôm nay 0</v>
      </c>
      <c r="B17" s="160"/>
      <c r="C17" s="160"/>
      <c r="D17" s="160"/>
      <c r="E17" s="160"/>
      <c r="F17" s="160"/>
      <c r="G17" s="163"/>
    </row>
    <row r="18" spans="1:24" s="86" customFormat="1" ht="15.75" customHeight="1" x14ac:dyDescent="0.25">
      <c r="A18" s="348" t="s">
        <v>3004</v>
      </c>
      <c r="B18" s="348" t="s">
        <v>16</v>
      </c>
      <c r="C18" s="348" t="s">
        <v>2949</v>
      </c>
      <c r="D18" s="348" t="s">
        <v>2950</v>
      </c>
      <c r="E18" s="348" t="s">
        <v>2951</v>
      </c>
      <c r="F18" s="345" t="s">
        <v>2952</v>
      </c>
      <c r="G18" s="345" t="s">
        <v>2964</v>
      </c>
      <c r="H18" s="345" t="s">
        <v>2953</v>
      </c>
      <c r="I18" s="345" t="s">
        <v>2954</v>
      </c>
      <c r="J18" s="345" t="s">
        <v>2956</v>
      </c>
      <c r="K18" s="345" t="s">
        <v>2955</v>
      </c>
      <c r="L18" s="345" t="s">
        <v>2957</v>
      </c>
      <c r="M18" s="345" t="s">
        <v>2963</v>
      </c>
      <c r="N18" s="345" t="s">
        <v>2958</v>
      </c>
      <c r="O18" s="169" t="s">
        <v>2959</v>
      </c>
      <c r="P18" s="137" t="s">
        <v>2972</v>
      </c>
      <c r="Q18" s="137" t="s">
        <v>2973</v>
      </c>
      <c r="T18" s="82" t="s">
        <v>2968</v>
      </c>
      <c r="U18" t="s">
        <v>2974</v>
      </c>
      <c r="V18" t="s">
        <v>2975</v>
      </c>
      <c r="X18"/>
    </row>
    <row r="19" spans="1:24" s="86" customFormat="1" ht="15.75" x14ac:dyDescent="0.25">
      <c r="A19" s="344"/>
      <c r="B19" s="344"/>
      <c r="C19" s="344"/>
      <c r="D19" s="344"/>
      <c r="E19" s="344"/>
      <c r="F19" s="343"/>
      <c r="G19" s="343"/>
      <c r="H19" s="343"/>
      <c r="I19" s="343"/>
      <c r="J19" s="343"/>
      <c r="K19" s="343"/>
      <c r="L19" s="343"/>
      <c r="M19" s="343"/>
      <c r="N19" s="343"/>
      <c r="O19" s="137">
        <f>COUNT(O20:O21)</f>
        <v>2</v>
      </c>
      <c r="P19" s="137">
        <f>SUM(P20:P21)</f>
        <v>2</v>
      </c>
      <c r="Q19" s="137">
        <f>SUM(Q20:Q21)</f>
        <v>0</v>
      </c>
      <c r="T19" s="12" t="s">
        <v>2210</v>
      </c>
      <c r="U19" s="85">
        <v>-6.6400000000000001E-2</v>
      </c>
      <c r="V19" s="379">
        <v>4.4861248761149657</v>
      </c>
      <c r="X19"/>
    </row>
    <row r="20" spans="1:24" ht="15.75" customHeight="1" x14ac:dyDescent="0.2">
      <c r="A20" s="350" t="s">
        <v>3165</v>
      </c>
      <c r="B20" s="222" t="s">
        <v>368</v>
      </c>
      <c r="C20" s="223" cm="1">
        <f t="array" ref="C20:M20">tinh_du_lieu_cp(B20)</f>
        <v>47.05</v>
      </c>
      <c r="D20" s="224">
        <v>314.5</v>
      </c>
      <c r="E20" s="225">
        <v>2.2799999999999997E-2</v>
      </c>
      <c r="F20" s="226">
        <v>1.0460984865665774</v>
      </c>
      <c r="G20" s="226">
        <v>0.94620016702562537</v>
      </c>
      <c r="H20" s="226">
        <v>1.0396121425816758</v>
      </c>
      <c r="I20" s="227">
        <v>0.24565217391304342</v>
      </c>
      <c r="J20" s="222">
        <v>46</v>
      </c>
      <c r="K20" s="222">
        <v>57.3</v>
      </c>
      <c r="L20" s="225">
        <v>2.2826086956521677E-2</v>
      </c>
      <c r="M20" s="225">
        <v>-0.17888307155322863</v>
      </c>
      <c r="N20" s="228"/>
      <c r="O20" s="222">
        <f>IF(E20&gt;0,1,IF(E20=0,0,-1))</f>
        <v>1</v>
      </c>
      <c r="P20" s="222">
        <f>IF(O20=1,1,0)</f>
        <v>1</v>
      </c>
      <c r="Q20" s="222">
        <f>IF(O20&lt;0,1,0)</f>
        <v>0</v>
      </c>
      <c r="T20" s="12" t="s">
        <v>1618</v>
      </c>
      <c r="U20" s="85">
        <v>-5.45E-2</v>
      </c>
      <c r="V20" s="379">
        <v>4.869791666666667</v>
      </c>
    </row>
    <row r="21" spans="1:24" ht="15.75" customHeight="1" x14ac:dyDescent="0.2">
      <c r="A21" s="351"/>
      <c r="B21" s="222" t="s">
        <v>1382</v>
      </c>
      <c r="C21" s="223">
        <f t="array" ref="C21:M21">tinh_du_lieu_cp(B21)</f>
        <v>38.299999999999997</v>
      </c>
      <c r="D21" s="224">
        <v>1288.5999999999999</v>
      </c>
      <c r="E21" s="225">
        <v>1.8600000000000002E-2</v>
      </c>
      <c r="F21" s="226">
        <v>1.1584435963026831</v>
      </c>
      <c r="G21" s="226">
        <v>0.95440460380699421</v>
      </c>
      <c r="H21" s="226">
        <v>1.0560996598778838</v>
      </c>
      <c r="I21" s="225">
        <v>0.30585106382978722</v>
      </c>
      <c r="J21" s="222">
        <v>37.6</v>
      </c>
      <c r="K21" s="222">
        <v>49.1</v>
      </c>
      <c r="L21" s="225">
        <v>1.8617021276595629E-2</v>
      </c>
      <c r="M21" s="225">
        <v>-0.21995926680244407</v>
      </c>
      <c r="N21" s="228"/>
      <c r="O21" s="222">
        <f>IF(E21&gt;0,1,IF(E21=0,0,-1))</f>
        <v>1</v>
      </c>
      <c r="P21" s="222">
        <f>IF(O21=1,1,0)</f>
        <v>1</v>
      </c>
      <c r="Q21" s="222">
        <f>IF(O21&lt;0,1,0)</f>
        <v>0</v>
      </c>
      <c r="T21" s="12" t="s">
        <v>3065</v>
      </c>
      <c r="U21" s="85">
        <v>-1.47E-2</v>
      </c>
      <c r="V21" s="379">
        <v>7.3674418604651168E-2</v>
      </c>
    </row>
    <row r="22" spans="1:24" x14ac:dyDescent="0.2">
      <c r="A22" s="351"/>
      <c r="B22" s="222" t="s">
        <v>1436</v>
      </c>
      <c r="C22" s="223" cm="1">
        <f t="array" ref="C22:M22">tinh_du_lieu_cp(B22)</f>
        <v>28.5</v>
      </c>
      <c r="D22" s="224">
        <v>997</v>
      </c>
      <c r="E22" s="225">
        <v>8.8000000000000005E-3</v>
      </c>
      <c r="F22" s="226">
        <v>0.625920303172121</v>
      </c>
      <c r="G22" s="226">
        <v>0.96872915704684204</v>
      </c>
      <c r="H22" s="226">
        <v>0.94565114293844255</v>
      </c>
      <c r="I22" s="225">
        <v>0.2407079646017698</v>
      </c>
      <c r="J22" s="222">
        <v>28.25</v>
      </c>
      <c r="K22" s="222">
        <v>35.049999999999997</v>
      </c>
      <c r="L22" s="225">
        <v>8.8495575221238937E-3</v>
      </c>
      <c r="M22" s="225">
        <v>-0.18687589158345214</v>
      </c>
      <c r="N22" s="228"/>
      <c r="O22" s="222">
        <f t="shared" ref="O22:O34" si="0">IF(E22&gt;0,1,IF(E22=0,0,-1))</f>
        <v>1</v>
      </c>
      <c r="P22" s="222">
        <f t="shared" ref="P22:P34" si="1">IF(O22=1,1,0)</f>
        <v>1</v>
      </c>
      <c r="Q22" s="222">
        <f t="shared" ref="Q22:Q34" si="2">IF(O22&lt;0,1,0)</f>
        <v>0</v>
      </c>
      <c r="T22" s="12" t="s">
        <v>1741</v>
      </c>
      <c r="U22" s="85">
        <v>-1.18E-2</v>
      </c>
      <c r="V22" s="379">
        <v>0.21981790232943124</v>
      </c>
      <c r="W22" s="99"/>
    </row>
    <row r="23" spans="1:24" x14ac:dyDescent="0.2">
      <c r="A23" s="351"/>
      <c r="B23" s="222" t="s">
        <v>1543</v>
      </c>
      <c r="C23" s="223" cm="1">
        <f t="array" ref="C23:M23">tinh_du_lieu_cp(B23)</f>
        <v>28.8</v>
      </c>
      <c r="D23" s="224">
        <v>85.1</v>
      </c>
      <c r="E23" s="225">
        <v>0</v>
      </c>
      <c r="F23" s="226">
        <v>1.5899787685774946</v>
      </c>
      <c r="G23" s="226">
        <v>1.0142655254246327</v>
      </c>
      <c r="H23" s="226">
        <v>1.0582383419689119</v>
      </c>
      <c r="I23" s="225">
        <v>7.2088724584103481E-2</v>
      </c>
      <c r="J23" s="222">
        <v>27.05</v>
      </c>
      <c r="K23" s="222">
        <v>29</v>
      </c>
      <c r="L23" s="225">
        <v>6.4695009242144177E-2</v>
      </c>
      <c r="M23" s="225">
        <v>-6.8965517241379067E-3</v>
      </c>
      <c r="N23" s="228"/>
      <c r="O23" s="222">
        <f t="shared" si="0"/>
        <v>0</v>
      </c>
      <c r="P23" s="222">
        <f t="shared" si="1"/>
        <v>0</v>
      </c>
      <c r="Q23" s="222">
        <f t="shared" si="2"/>
        <v>0</v>
      </c>
      <c r="T23" s="12" t="s">
        <v>581</v>
      </c>
      <c r="U23" s="85">
        <v>-9.7000000000000003E-3</v>
      </c>
      <c r="V23" s="379">
        <v>9.3377712848472072E-2</v>
      </c>
    </row>
    <row r="24" spans="1:24" x14ac:dyDescent="0.2">
      <c r="A24" s="351"/>
      <c r="B24" s="222" t="s">
        <v>1741</v>
      </c>
      <c r="C24" s="223" cm="1">
        <f t="array" ref="C24:M24">tinh_du_lieu_cp(B24)</f>
        <v>25.3</v>
      </c>
      <c r="D24" s="224">
        <v>1394</v>
      </c>
      <c r="E24" s="225">
        <v>-2E-3</v>
      </c>
      <c r="F24" s="226">
        <v>0.63521126760563384</v>
      </c>
      <c r="G24" s="226">
        <v>0.97246376811594204</v>
      </c>
      <c r="H24" s="226">
        <v>0.9518282066163668</v>
      </c>
      <c r="I24" s="225">
        <v>0.13071209430001629</v>
      </c>
      <c r="J24" s="222">
        <v>24.771999999999998</v>
      </c>
      <c r="K24" s="222">
        <v>28.01</v>
      </c>
      <c r="L24" s="225">
        <v>2.1314387211367764E-2</v>
      </c>
      <c r="M24" s="225">
        <v>-9.6751160299892919E-2</v>
      </c>
      <c r="N24" s="228"/>
      <c r="O24" s="222">
        <f t="shared" si="0"/>
        <v>-1</v>
      </c>
      <c r="P24" s="222">
        <f t="shared" si="1"/>
        <v>0</v>
      </c>
      <c r="Q24" s="222">
        <f t="shared" si="2"/>
        <v>1</v>
      </c>
      <c r="T24" s="12" t="s">
        <v>2684</v>
      </c>
      <c r="U24" s="85">
        <v>-7.1999999999999998E-3</v>
      </c>
      <c r="V24" s="379">
        <v>0.42508758113135808</v>
      </c>
    </row>
    <row r="25" spans="1:24" x14ac:dyDescent="0.2">
      <c r="A25" s="351"/>
      <c r="B25" s="222" t="s">
        <v>1884</v>
      </c>
      <c r="C25" s="223" cm="1">
        <f t="array" ref="C25:M25">tinh_du_lieu_cp(B25)</f>
        <v>62.9</v>
      </c>
      <c r="D25" s="224">
        <v>228.2</v>
      </c>
      <c r="E25" s="225">
        <v>2.1099999999999997E-2</v>
      </c>
      <c r="F25" s="226">
        <v>0.75812808625662553</v>
      </c>
      <c r="G25" s="226">
        <v>0.9946348093568923</v>
      </c>
      <c r="H25" s="226">
        <v>1.1356058721074895</v>
      </c>
      <c r="I25" s="225">
        <v>0.17462932454695212</v>
      </c>
      <c r="J25" s="222">
        <v>60.7</v>
      </c>
      <c r="K25" s="222">
        <v>71.3</v>
      </c>
      <c r="L25" s="225">
        <v>3.6243822075782466E-2</v>
      </c>
      <c r="M25" s="225">
        <v>-0.11781206171107993</v>
      </c>
      <c r="N25" s="228"/>
      <c r="O25" s="222">
        <f t="shared" si="0"/>
        <v>1</v>
      </c>
      <c r="P25" s="222">
        <f t="shared" si="1"/>
        <v>1</v>
      </c>
      <c r="Q25" s="222">
        <f t="shared" si="2"/>
        <v>0</v>
      </c>
      <c r="T25" s="12" t="s">
        <v>1436</v>
      </c>
      <c r="U25" s="85">
        <v>-7.0999999999999995E-3</v>
      </c>
      <c r="V25" s="379">
        <v>0.35325738264925693</v>
      </c>
    </row>
    <row r="26" spans="1:24" x14ac:dyDescent="0.2">
      <c r="A26" s="351"/>
      <c r="B26" s="222" t="s">
        <v>2233</v>
      </c>
      <c r="C26" s="223" cm="1">
        <f t="array" ref="C26:M26">tinh_du_lieu_cp(B26)</f>
        <v>49.5</v>
      </c>
      <c r="D26" s="224">
        <v>58.9</v>
      </c>
      <c r="E26" s="225">
        <v>5.1000000000000004E-3</v>
      </c>
      <c r="F26" s="226">
        <v>0.45617123142997956</v>
      </c>
      <c r="G26" s="226">
        <v>0.98670104491789923</v>
      </c>
      <c r="H26" s="226">
        <v>0.92368008363826459</v>
      </c>
      <c r="I26" s="225">
        <v>0.17163451776649752</v>
      </c>
      <c r="J26" s="222">
        <v>49.25</v>
      </c>
      <c r="K26" s="222">
        <v>57.703000000000003</v>
      </c>
      <c r="L26" s="225">
        <v>5.076142131979695E-3</v>
      </c>
      <c r="M26" s="225">
        <v>-0.14215898653449566</v>
      </c>
      <c r="N26" s="228"/>
      <c r="O26" s="222">
        <f t="shared" si="0"/>
        <v>1</v>
      </c>
      <c r="P26" s="222">
        <f t="shared" si="1"/>
        <v>1</v>
      </c>
      <c r="Q26" s="222">
        <f t="shared" si="2"/>
        <v>0</v>
      </c>
      <c r="T26" s="12" t="s">
        <v>1543</v>
      </c>
      <c r="U26" s="85">
        <v>-6.8999999999999999E-3</v>
      </c>
      <c r="V26" s="379">
        <v>0.62801244997776795</v>
      </c>
    </row>
    <row r="27" spans="1:24" x14ac:dyDescent="0.2">
      <c r="A27" s="351"/>
      <c r="B27" s="222" t="s">
        <v>2346</v>
      </c>
      <c r="C27" s="223" cm="1">
        <f t="array" ref="C27:M27">tinh_du_lieu_cp(B27)</f>
        <v>20.65</v>
      </c>
      <c r="D27" s="224">
        <v>172.3</v>
      </c>
      <c r="E27" s="225">
        <v>4.8999999999999998E-3</v>
      </c>
      <c r="F27" s="226">
        <v>0.48338391695784133</v>
      </c>
      <c r="G27" s="226">
        <v>0.94530665033013406</v>
      </c>
      <c r="H27" s="226">
        <v>0.58098235360233785</v>
      </c>
      <c r="I27" s="225">
        <v>0.41605839416058399</v>
      </c>
      <c r="J27" s="222">
        <v>20.55</v>
      </c>
      <c r="K27" s="222">
        <v>29.1</v>
      </c>
      <c r="L27" s="225">
        <v>4.8661800486616965E-3</v>
      </c>
      <c r="M27" s="225">
        <v>-0.29037800687285231</v>
      </c>
      <c r="N27" s="228"/>
      <c r="O27" s="222">
        <f t="shared" si="0"/>
        <v>1</v>
      </c>
      <c r="P27" s="222">
        <f t="shared" si="1"/>
        <v>1</v>
      </c>
      <c r="Q27" s="222">
        <f t="shared" si="2"/>
        <v>0</v>
      </c>
      <c r="T27" s="12" t="s">
        <v>2346</v>
      </c>
      <c r="U27" s="85">
        <v>-4.8999999999999998E-3</v>
      </c>
      <c r="V27" s="379">
        <v>0.25769290242770992</v>
      </c>
    </row>
    <row r="28" spans="1:24" x14ac:dyDescent="0.2">
      <c r="A28" s="351"/>
      <c r="B28" s="222" t="s">
        <v>3065</v>
      </c>
      <c r="C28" s="223" cm="1">
        <f t="array" ref="C28:M28">tinh_du_lieu_cp(B28)</f>
        <v>46.9</v>
      </c>
      <c r="D28" s="224">
        <v>2.2999999999999998</v>
      </c>
      <c r="E28" s="225">
        <v>-1.47E-2</v>
      </c>
      <c r="F28" s="226">
        <v>9.4052044609665417E-2</v>
      </c>
      <c r="G28" s="226">
        <v>0.98303030303030314</v>
      </c>
      <c r="H28" s="226">
        <v>0.1536748329621381</v>
      </c>
      <c r="I28" s="225">
        <v>0.1492537313432836</v>
      </c>
      <c r="J28" s="222">
        <v>46.9</v>
      </c>
      <c r="K28" s="222">
        <v>53.9</v>
      </c>
      <c r="L28" s="225">
        <v>0</v>
      </c>
      <c r="M28" s="225">
        <v>-0.12987012987012989</v>
      </c>
      <c r="N28" s="228"/>
      <c r="O28" s="222">
        <f t="shared" si="0"/>
        <v>-1</v>
      </c>
      <c r="P28" s="222">
        <f t="shared" si="1"/>
        <v>0</v>
      </c>
      <c r="Q28" s="222">
        <f t="shared" si="2"/>
        <v>1</v>
      </c>
      <c r="T28" s="12" t="s">
        <v>2444</v>
      </c>
      <c r="U28" s="85">
        <v>-2.8000000000000004E-3</v>
      </c>
      <c r="V28" s="379">
        <v>1.097728013914556</v>
      </c>
    </row>
    <row r="29" spans="1:24" x14ac:dyDescent="0.2">
      <c r="A29" s="351"/>
      <c r="B29" s="222" t="s">
        <v>2444</v>
      </c>
      <c r="C29" s="223" cm="1">
        <f t="array" ref="C29:M29">tinh_du_lieu_cp(B29)</f>
        <v>17.649999999999999</v>
      </c>
      <c r="D29" s="224">
        <v>117.2</v>
      </c>
      <c r="E29" s="225">
        <v>0</v>
      </c>
      <c r="F29" s="226">
        <v>2.6012913640032282</v>
      </c>
      <c r="G29" s="226">
        <v>0.99238023069798731</v>
      </c>
      <c r="H29" s="226">
        <v>1.6774809160305342</v>
      </c>
      <c r="I29" s="225">
        <v>4.2492917847025496E-2</v>
      </c>
      <c r="J29" s="222">
        <v>17.649999999999999</v>
      </c>
      <c r="K29" s="222">
        <v>18.399999999999999</v>
      </c>
      <c r="L29" s="225">
        <v>0</v>
      </c>
      <c r="M29" s="225">
        <v>-4.0760869565217392E-2</v>
      </c>
      <c r="N29" s="228"/>
      <c r="O29" s="222">
        <f t="shared" si="0"/>
        <v>0</v>
      </c>
      <c r="P29" s="222">
        <f t="shared" si="1"/>
        <v>0</v>
      </c>
      <c r="Q29" s="222">
        <f t="shared" si="2"/>
        <v>0</v>
      </c>
      <c r="T29" s="12" t="s">
        <v>1776</v>
      </c>
      <c r="U29" s="85">
        <v>-8.0000000000000004E-4</v>
      </c>
      <c r="V29" s="379">
        <v>0.28472821397756687</v>
      </c>
    </row>
    <row r="30" spans="1:24" x14ac:dyDescent="0.2">
      <c r="A30" s="351"/>
      <c r="B30" s="222" t="s">
        <v>2684</v>
      </c>
      <c r="C30" s="223" cm="1">
        <f t="array" ref="C30:M30">tinh_du_lieu_cp(B30)</f>
        <v>42.3</v>
      </c>
      <c r="D30" s="224">
        <v>236.9</v>
      </c>
      <c r="E30" s="225">
        <v>1.2E-2</v>
      </c>
      <c r="F30" s="226">
        <v>0.69870763620763621</v>
      </c>
      <c r="G30" s="226">
        <v>0.98730611454427009</v>
      </c>
      <c r="H30" s="226">
        <v>0.99747368421052629</v>
      </c>
      <c r="I30" s="225">
        <v>0.12530413625304132</v>
      </c>
      <c r="J30" s="222">
        <v>41.1</v>
      </c>
      <c r="K30" s="222">
        <v>46.25</v>
      </c>
      <c r="L30" s="225">
        <v>2.9197080291970698E-2</v>
      </c>
      <c r="M30" s="225">
        <v>-8.5405405405405463E-2</v>
      </c>
      <c r="N30" s="228"/>
      <c r="O30" s="222">
        <f t="shared" si="0"/>
        <v>1</v>
      </c>
      <c r="P30" s="222">
        <f t="shared" si="1"/>
        <v>1</v>
      </c>
      <c r="Q30" s="222">
        <f t="shared" si="2"/>
        <v>0</v>
      </c>
      <c r="T30" s="12" t="s">
        <v>1390</v>
      </c>
      <c r="U30" s="85">
        <v>0</v>
      </c>
      <c r="V30" s="379">
        <v>0.25071225071225073</v>
      </c>
    </row>
    <row r="31" spans="1:24" x14ac:dyDescent="0.2">
      <c r="A31" s="351"/>
      <c r="B31" s="222" t="s">
        <v>2818</v>
      </c>
      <c r="C31" s="223" cm="1">
        <f t="array" ref="C31:M31">tinh_du_lieu_cp(B31)</f>
        <v>14.5</v>
      </c>
      <c r="D31" s="224">
        <v>1.7</v>
      </c>
      <c r="E31" s="225">
        <v>2.8399999999999998E-2</v>
      </c>
      <c r="F31" s="226">
        <v>0.51303155006858714</v>
      </c>
      <c r="G31" s="226">
        <v>0.97777777777777752</v>
      </c>
      <c r="H31" s="226">
        <v>0.76119402985074625</v>
      </c>
      <c r="I31" s="225">
        <v>0.15942857142857139</v>
      </c>
      <c r="J31" s="222">
        <v>14</v>
      </c>
      <c r="K31" s="222">
        <v>16.231999999999999</v>
      </c>
      <c r="L31" s="225">
        <v>3.5714285714285712E-2</v>
      </c>
      <c r="M31" s="225">
        <v>-0.10670280926564807</v>
      </c>
      <c r="N31" s="228"/>
      <c r="O31" s="222">
        <f t="shared" si="0"/>
        <v>1</v>
      </c>
      <c r="P31" s="222">
        <f t="shared" si="1"/>
        <v>1</v>
      </c>
      <c r="Q31" s="222">
        <f t="shared" si="2"/>
        <v>0</v>
      </c>
      <c r="T31" s="12" t="s">
        <v>2233</v>
      </c>
      <c r="U31" s="85">
        <v>1E-3</v>
      </c>
      <c r="V31" s="379">
        <v>0.25175023988059275</v>
      </c>
    </row>
    <row r="32" spans="1:24" x14ac:dyDescent="0.2">
      <c r="A32" s="351"/>
      <c r="B32" s="222" t="s">
        <v>1618</v>
      </c>
      <c r="C32" s="223" cm="1">
        <f t="array" ref="C32:M32">tinh_du_lieu_cp(B32)</f>
        <v>26</v>
      </c>
      <c r="D32" s="224">
        <v>8.5</v>
      </c>
      <c r="E32" s="225">
        <v>-5.45E-2</v>
      </c>
      <c r="F32" s="226">
        <v>4.869791666666667</v>
      </c>
      <c r="G32" s="226">
        <v>0.99547782499727577</v>
      </c>
      <c r="H32" s="226">
        <v>1.795774647887324</v>
      </c>
      <c r="I32" s="225">
        <v>0.23076923076923078</v>
      </c>
      <c r="J32" s="222">
        <v>26</v>
      </c>
      <c r="K32" s="222">
        <v>32</v>
      </c>
      <c r="L32" s="225">
        <v>0</v>
      </c>
      <c r="M32" s="225">
        <v>-0.1875</v>
      </c>
      <c r="N32" s="228"/>
      <c r="O32" s="222">
        <f t="shared" si="0"/>
        <v>-1</v>
      </c>
      <c r="P32" s="222">
        <f t="shared" si="1"/>
        <v>0</v>
      </c>
      <c r="Q32" s="222">
        <f t="shared" si="2"/>
        <v>1</v>
      </c>
      <c r="T32" s="12" t="s">
        <v>1884</v>
      </c>
      <c r="U32" s="85">
        <v>6.5000000000000006E-3</v>
      </c>
      <c r="V32" s="379">
        <v>0.38537777163140186</v>
      </c>
    </row>
    <row r="33" spans="1:22" x14ac:dyDescent="0.2">
      <c r="A33" s="351"/>
      <c r="B33" s="222" t="s">
        <v>1776</v>
      </c>
      <c r="C33" s="223" cm="1">
        <f t="array" ref="C33:M33">tinh_du_lieu_cp(B33)</f>
        <v>129.4</v>
      </c>
      <c r="D33" s="224">
        <v>3.8</v>
      </c>
      <c r="E33" s="225">
        <v>1.5E-3</v>
      </c>
      <c r="F33" s="226">
        <v>0.35941530524505594</v>
      </c>
      <c r="G33" s="226">
        <v>0.96884577248963388</v>
      </c>
      <c r="H33" s="226">
        <v>0.28078817733990147</v>
      </c>
      <c r="I33" s="225">
        <v>0.10526315789473703</v>
      </c>
      <c r="J33" s="222">
        <v>129.19999999999999</v>
      </c>
      <c r="K33" s="222">
        <v>142.80000000000001</v>
      </c>
      <c r="L33" s="225">
        <v>1.5479876160992034E-3</v>
      </c>
      <c r="M33" s="225">
        <v>-9.383753501400563E-2</v>
      </c>
      <c r="N33" s="228"/>
      <c r="O33" s="222">
        <f t="shared" si="0"/>
        <v>1</v>
      </c>
      <c r="P33" s="222">
        <f t="shared" si="1"/>
        <v>1</v>
      </c>
      <c r="Q33" s="222">
        <f t="shared" si="2"/>
        <v>0</v>
      </c>
      <c r="T33" s="12" t="s">
        <v>368</v>
      </c>
      <c r="U33" s="85">
        <v>8.6999999999999994E-3</v>
      </c>
      <c r="V33" s="379">
        <v>0.36270530194217199</v>
      </c>
    </row>
    <row r="34" spans="1:22" x14ac:dyDescent="0.2">
      <c r="A34" s="351"/>
      <c r="B34" s="222" t="s">
        <v>759</v>
      </c>
      <c r="C34" s="223" cm="1">
        <f t="array" ref="C34:M34">tinh_du_lieu_cp(B34)</f>
        <v>29.4</v>
      </c>
      <c r="D34" s="224">
        <v>26.4</v>
      </c>
      <c r="E34" s="225">
        <v>1.55E-2</v>
      </c>
      <c r="F34" s="226">
        <v>0.67898059387421084</v>
      </c>
      <c r="G34" s="226">
        <v>0.9676675497988424</v>
      </c>
      <c r="H34" s="226">
        <v>0.73333333333333328</v>
      </c>
      <c r="I34" s="225">
        <v>0.25734024179620035</v>
      </c>
      <c r="J34" s="222">
        <v>28.95</v>
      </c>
      <c r="K34" s="222">
        <v>36.4</v>
      </c>
      <c r="L34" s="225">
        <v>1.5544041450777177E-2</v>
      </c>
      <c r="M34" s="225">
        <v>-0.19230769230769232</v>
      </c>
      <c r="N34" s="228"/>
      <c r="O34" s="222">
        <f t="shared" si="0"/>
        <v>1</v>
      </c>
      <c r="P34" s="222">
        <f t="shared" si="1"/>
        <v>1</v>
      </c>
      <c r="Q34" s="222">
        <f t="shared" si="2"/>
        <v>0</v>
      </c>
      <c r="T34" s="12" t="s">
        <v>1382</v>
      </c>
      <c r="U34" s="85">
        <v>1.06E-2</v>
      </c>
      <c r="V34" s="379">
        <v>0.58976231854855643</v>
      </c>
    </row>
    <row r="35" spans="1:22" x14ac:dyDescent="0.2">
      <c r="A35" s="351"/>
      <c r="B35" s="222" t="s">
        <v>2210</v>
      </c>
      <c r="C35" s="223" cm="1">
        <f t="array" ref="C35:M35">tinh_du_lieu_cp(B35)</f>
        <v>12.45</v>
      </c>
      <c r="D35" s="224">
        <v>119.2</v>
      </c>
      <c r="E35" s="225">
        <v>-2.7300000000000001E-2</v>
      </c>
      <c r="F35" s="226">
        <v>5.9532349602724182</v>
      </c>
      <c r="G35" s="226">
        <v>0.92477615141279301</v>
      </c>
      <c r="H35" s="226">
        <v>3.9146141215106733</v>
      </c>
      <c r="I35" s="225">
        <v>0.25301204819277112</v>
      </c>
      <c r="J35" s="222">
        <v>12.45</v>
      </c>
      <c r="K35" s="222">
        <v>15.6</v>
      </c>
      <c r="L35" s="225">
        <v>0</v>
      </c>
      <c r="M35" s="225">
        <v>-0.20192307692307696</v>
      </c>
      <c r="N35" s="228"/>
      <c r="O35" s="222">
        <f>IF(E35&gt;0,1,IF(E35=0,0,-1))</f>
        <v>-1</v>
      </c>
      <c r="P35" s="222">
        <f>IF(O35=1,1,0)</f>
        <v>0</v>
      </c>
      <c r="Q35" s="222">
        <f>IF(O35&lt;0,1,0)</f>
        <v>1</v>
      </c>
      <c r="T35" s="12" t="s">
        <v>759</v>
      </c>
      <c r="U35" s="85">
        <v>1.55E-2</v>
      </c>
      <c r="V35" s="379">
        <v>0.41912199739675782</v>
      </c>
    </row>
    <row r="36" spans="1:22" x14ac:dyDescent="0.2">
      <c r="A36" s="351"/>
      <c r="B36" s="222" t="s">
        <v>581</v>
      </c>
      <c r="C36" s="223" cm="1">
        <f t="array" ref="C36:M36">tinh_du_lieu_cp(B36)</f>
        <v>4.18</v>
      </c>
      <c r="D36" s="224">
        <v>20</v>
      </c>
      <c r="E36" s="225">
        <v>1.46E-2</v>
      </c>
      <c r="F36" s="226">
        <v>0.29839935871265094</v>
      </c>
      <c r="G36" s="226">
        <v>1.0191405801768594</v>
      </c>
      <c r="H36" s="226">
        <v>0.81967213114754101</v>
      </c>
      <c r="I36" s="225">
        <v>0.18205461638491541</v>
      </c>
      <c r="J36" s="222">
        <v>3.8450000000000002</v>
      </c>
      <c r="K36" s="222">
        <v>4.5449999999999999</v>
      </c>
      <c r="L36" s="225">
        <v>8.7126137841352272E-2</v>
      </c>
      <c r="M36" s="225">
        <v>-8.0308030803080355E-2</v>
      </c>
      <c r="N36" s="228"/>
      <c r="O36" s="222">
        <f>IF(E36&gt;0,1,IF(E36=0,0,-1))</f>
        <v>1</v>
      </c>
      <c r="P36" s="222">
        <f>IF(O36=1,1,0)</f>
        <v>1</v>
      </c>
      <c r="Q36" s="222">
        <f>IF(O36&lt;0,1,0)</f>
        <v>0</v>
      </c>
      <c r="T36" s="12" t="s">
        <v>2818</v>
      </c>
      <c r="U36" s="85">
        <v>2.8399999999999998E-2</v>
      </c>
      <c r="V36" s="379">
        <v>0.51303155006858714</v>
      </c>
    </row>
    <row r="37" spans="1:22" x14ac:dyDescent="0.2">
      <c r="A37" s="352"/>
      <c r="B37" s="222" t="s">
        <v>1390</v>
      </c>
      <c r="C37" s="223" cm="1">
        <f t="array" ref="C37:M37">tinh_du_lieu_cp(B37)</f>
        <v>21.9</v>
      </c>
      <c r="D37" s="224">
        <v>2.5</v>
      </c>
      <c r="E37" s="225">
        <v>4.5999999999999999E-3</v>
      </c>
      <c r="F37" s="226">
        <v>0.51594746716697937</v>
      </c>
      <c r="G37" s="226">
        <v>0.99587543823468749</v>
      </c>
      <c r="H37" s="226">
        <v>0.82872928176795579</v>
      </c>
      <c r="I37" s="225">
        <v>7.8341013824884759E-2</v>
      </c>
      <c r="J37" s="222">
        <v>21.7</v>
      </c>
      <c r="K37" s="222">
        <v>23.4</v>
      </c>
      <c r="L37" s="225">
        <v>9.2165898617511191E-3</v>
      </c>
      <c r="M37" s="225">
        <v>-6.4102564102564111E-2</v>
      </c>
      <c r="N37" s="228"/>
      <c r="O37" s="222">
        <f>IF(E37&gt;0,1,IF(E37=0,0,-1))</f>
        <v>1</v>
      </c>
      <c r="P37" s="222">
        <f>IF(O37=1,1,0)</f>
        <v>1</v>
      </c>
      <c r="Q37" s="222">
        <f>IF(O37&lt;0,1,0)</f>
        <v>0</v>
      </c>
      <c r="T37" s="12" t="s">
        <v>2969</v>
      </c>
      <c r="U37" s="85">
        <v>-0.11609999999999999</v>
      </c>
      <c r="V37" s="379">
        <v>15.561754550822721</v>
      </c>
    </row>
  </sheetData>
  <mergeCells count="19">
    <mergeCell ref="A20:A37"/>
    <mergeCell ref="A3:B3"/>
    <mergeCell ref="A1:F1"/>
    <mergeCell ref="A2:B2"/>
    <mergeCell ref="F14:G14"/>
    <mergeCell ref="G18:G19"/>
    <mergeCell ref="M18:M19"/>
    <mergeCell ref="N18:N19"/>
    <mergeCell ref="I18:I19"/>
    <mergeCell ref="J18:J19"/>
    <mergeCell ref="K18:K19"/>
    <mergeCell ref="L18:L19"/>
    <mergeCell ref="H18:H19"/>
    <mergeCell ref="A18:A19"/>
    <mergeCell ref="B18:B19"/>
    <mergeCell ref="C18:C19"/>
    <mergeCell ref="D18:D19"/>
    <mergeCell ref="E18:E19"/>
    <mergeCell ref="F18:F19"/>
  </mergeCells>
  <conditionalFormatting sqref="A14">
    <cfRule type="expression" dxfId="113" priority="267" stopIfTrue="1">
      <formula>A14="giảm"</formula>
    </cfRule>
    <cfRule type="expression" dxfId="112" priority="268" stopIfTrue="1">
      <formula>A14="tăng"</formula>
    </cfRule>
  </conditionalFormatting>
  <conditionalFormatting sqref="C20:C37">
    <cfRule type="expression" dxfId="111" priority="13" stopIfTrue="1">
      <formula>E20&gt;=6.8%</formula>
    </cfRule>
    <cfRule type="expression" dxfId="110" priority="14" stopIfTrue="1">
      <formula>AND(E20&gt;0%,E20&lt;6.8%)</formula>
    </cfRule>
    <cfRule type="expression" dxfId="109" priority="15" stopIfTrue="1">
      <formula>E20=0%</formula>
    </cfRule>
    <cfRule type="expression" dxfId="108" priority="16" stopIfTrue="1">
      <formula>AND(E20&gt;-6.8%, E20&lt;0%)</formula>
    </cfRule>
    <cfRule type="expression" dxfId="107" priority="17" stopIfTrue="1">
      <formula>E20&lt;=-6.8%</formula>
    </cfRule>
  </conditionalFormatting>
  <conditionalFormatting sqref="B20:B37">
    <cfRule type="expression" dxfId="106" priority="23" stopIfTrue="1">
      <formula>E20&gt;=6.8%</formula>
    </cfRule>
    <cfRule type="expression" dxfId="105" priority="24" stopIfTrue="1">
      <formula>AND(E20&gt;0%,E20&lt;6.8%)</formula>
    </cfRule>
    <cfRule type="expression" dxfId="104" priority="25" stopIfTrue="1">
      <formula>E20=0%</formula>
    </cfRule>
    <cfRule type="expression" dxfId="103" priority="26" stopIfTrue="1">
      <formula>AND(E20&gt;-6.8%, E20&lt;0%)</formula>
    </cfRule>
    <cfRule type="expression" dxfId="102" priority="27" stopIfTrue="1">
      <formula>E20&lt;=-6.8%</formula>
    </cfRule>
  </conditionalFormatting>
  <conditionalFormatting sqref="L22:M34">
    <cfRule type="colorScale" priority="7">
      <colorScale>
        <cfvo type="min"/>
        <cfvo type="percentile" val="50"/>
        <cfvo type="max"/>
        <color rgb="FFFF3829"/>
        <color rgb="FFFFC000"/>
        <color rgb="FF00BC55"/>
      </colorScale>
    </cfRule>
  </conditionalFormatting>
  <conditionalFormatting sqref="F21:F37">
    <cfRule type="colorScale" priority="16021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1:I37">
    <cfRule type="colorScale" priority="16023">
      <colorScale>
        <cfvo type="min"/>
        <cfvo type="percentile" val="50"/>
        <cfvo type="max"/>
        <color rgb="FFFF3829"/>
        <color rgb="FFFFC000"/>
        <color rgb="FF00A400"/>
      </colorScale>
    </cfRule>
  </conditionalFormatting>
  <conditionalFormatting sqref="L21:M21">
    <cfRule type="colorScale" priority="16025">
      <colorScale>
        <cfvo type="min"/>
        <cfvo type="percentile" val="50"/>
        <cfvo type="max"/>
        <color rgb="FFFF3829"/>
        <color rgb="FFFFC000"/>
        <color rgb="FF00BC55"/>
      </colorScale>
    </cfRule>
  </conditionalFormatting>
  <conditionalFormatting sqref="I20:I37">
    <cfRule type="colorScale" priority="16026">
      <colorScale>
        <cfvo type="min"/>
        <cfvo type="max"/>
        <color theme="0" tint="-4.9989318521683403E-2"/>
        <color rgb="FF00B050"/>
      </colorScale>
    </cfRule>
  </conditionalFormatting>
  <conditionalFormatting sqref="L20:L37">
    <cfRule type="colorScale" priority="16028">
      <colorScale>
        <cfvo type="min"/>
        <cfvo type="max"/>
        <color theme="0" tint="-4.9989318521683403E-2"/>
        <color rgb="FF00B050"/>
      </colorScale>
    </cfRule>
  </conditionalFormatting>
  <conditionalFormatting sqref="M20:M37">
    <cfRule type="colorScale" priority="16030">
      <colorScale>
        <cfvo type="min"/>
        <cfvo type="max"/>
        <color rgb="FFFF7C80"/>
        <color theme="0" tint="-4.9989318521683403E-2"/>
      </colorScale>
    </cfRule>
  </conditionalFormatting>
  <conditionalFormatting sqref="N20:N37">
    <cfRule type="colorScale" priority="16032">
      <colorScale>
        <cfvo type="min"/>
        <cfvo type="max"/>
        <color theme="0" tint="-4.9989318521683403E-2"/>
        <color rgb="FFFF0000"/>
      </colorScale>
    </cfRule>
  </conditionalFormatting>
  <conditionalFormatting sqref="L35:M37">
    <cfRule type="colorScale" priority="1">
      <colorScale>
        <cfvo type="min"/>
        <cfvo type="percentile" val="50"/>
        <cfvo type="max"/>
        <color rgb="FFFF3829"/>
        <color rgb="FFFFC000"/>
        <color rgb="FF00BC55"/>
      </colorScale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2872237-DA08-4B52-8D14-DDBCB3CADF6B}">
          <x14:formula1>
            <xm:f>'Nơi chứ dữ liệu'!$I$2:$N$2</xm:f>
          </x14:formula1>
          <xm:sqref>N20</xm:sqref>
        </x14:dataValidation>
        <x14:dataValidation type="list" allowBlank="1" showInputMessage="1" showErrorMessage="1" xr:uid="{D5A14AB4-4355-4CB5-A62C-C9D8578DF3B8}">
          <x14:formula1>
            <xm:f>'Nơi chứ dữ liệu'!$I$2:$K$2</xm:f>
          </x14:formula1>
          <xm:sqref>N21:N37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D2063-A011-4F6D-A03C-9C430E591801}">
  <sheetPr codeName="Sheet28">
    <tabColor theme="5"/>
  </sheetPr>
  <dimension ref="A1:X40"/>
  <sheetViews>
    <sheetView topLeftCell="A18" zoomScaleNormal="100" workbookViewId="0">
      <selection activeCell="S12" sqref="S12"/>
    </sheetView>
  </sheetViews>
  <sheetFormatPr defaultRowHeight="15" x14ac:dyDescent="0.2"/>
  <cols>
    <col min="1" max="1" width="8" customWidth="1"/>
    <col min="2" max="2" width="9.6640625" customWidth="1"/>
    <col min="3" max="3" width="12.77734375" customWidth="1"/>
    <col min="4" max="4" width="11.21875" customWidth="1"/>
    <col min="5" max="5" width="13.3320312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16.109375" bestFit="1" customWidth="1"/>
    <col min="23" max="23" width="20.109375" bestFit="1" customWidth="1"/>
    <col min="24" max="24" width="15.6640625" bestFit="1" customWidth="1"/>
  </cols>
  <sheetData>
    <row r="1" spans="1:11" ht="15.75" x14ac:dyDescent="0.25">
      <c r="A1" s="332" t="s">
        <v>3140</v>
      </c>
      <c r="B1" s="332"/>
      <c r="C1" s="332"/>
      <c r="D1" s="332"/>
      <c r="E1" s="332"/>
      <c r="F1" s="332"/>
      <c r="K1" s="150"/>
    </row>
    <row r="2" spans="1:11" ht="15.75" x14ac:dyDescent="0.25">
      <c r="A2" s="332" t="s">
        <v>3141</v>
      </c>
      <c r="B2" s="332"/>
      <c r="C2" s="242" t="s">
        <v>3015</v>
      </c>
      <c r="D2" s="242" t="s">
        <v>3142</v>
      </c>
      <c r="E2" s="242" t="s">
        <v>3143</v>
      </c>
      <c r="F2" s="242" t="s">
        <v>3144</v>
      </c>
    </row>
    <row r="3" spans="1:11" x14ac:dyDescent="0.2">
      <c r="A3" s="340">
        <v>45839</v>
      </c>
      <c r="B3" s="340"/>
    </row>
    <row r="12" spans="1:11" ht="18" customHeight="1" x14ac:dyDescent="0.2"/>
    <row r="13" spans="1:11" ht="14.25" customHeight="1" x14ac:dyDescent="0.2"/>
    <row r="14" spans="1:11" ht="15.75" x14ac:dyDescent="0.2">
      <c r="A14" s="155" t="str">
        <f>"Tổng điểm nhóm BĐS hôm nay"&amp;" "&amp;SUM($O$20:O27)&amp;" "&amp;"trên tổng"&amp;" "&amp;$O$19</f>
        <v>Tổng điểm nhóm BĐS hôm nay 4 trên tổng 15</v>
      </c>
      <c r="B14" s="158"/>
      <c r="C14" s="158"/>
      <c r="D14" s="158"/>
      <c r="E14" s="158"/>
      <c r="F14" s="346" t="s">
        <v>3013</v>
      </c>
      <c r="G14" s="346"/>
    </row>
    <row r="15" spans="1:11" ht="15.75" x14ac:dyDescent="0.2">
      <c r="A15" s="159" t="str">
        <f>"Tổng điểm tăng nhóm BĐS  hôm nay"&amp;" "&amp;$P$19</f>
        <v>Tổng điểm tăng nhóm BĐS  hôm nay 9</v>
      </c>
      <c r="B15" s="160"/>
      <c r="C15" s="160"/>
      <c r="D15" s="160"/>
      <c r="E15" s="160"/>
      <c r="F15" s="156" t="s">
        <v>3014</v>
      </c>
      <c r="G15" s="156" t="s">
        <v>3008</v>
      </c>
    </row>
    <row r="16" spans="1:11" ht="15.75" x14ac:dyDescent="0.2">
      <c r="A16" s="159" t="str">
        <f>"Tổng điểm giảm nhóm BĐS hôm nay"&amp;" "&amp;$Q$19</f>
        <v>Tổng điểm giảm nhóm BĐS hôm nay 4</v>
      </c>
      <c r="B16" s="160"/>
      <c r="C16" s="160"/>
      <c r="D16" s="160"/>
      <c r="E16" s="160"/>
      <c r="F16" s="161">
        <f>AVERAGE(E20:E40)</f>
        <v>1.1714285714285714E-2</v>
      </c>
      <c r="G16" s="162">
        <f>AVERAGE(F20:F40)</f>
        <v>1.0479929307722398</v>
      </c>
    </row>
    <row r="17" spans="1:24" ht="15.75" x14ac:dyDescent="0.2">
      <c r="A17" s="159" t="str">
        <f>"Tổng điểm tham chiếu nhóm BĐS hôm nay"&amp;" "&amp;(O19-(P19+Q19))</f>
        <v>Tổng điểm tham chiếu nhóm BĐS hôm nay 2</v>
      </c>
      <c r="B17" s="160"/>
      <c r="C17" s="160"/>
      <c r="D17" s="160"/>
      <c r="E17" s="160"/>
      <c r="F17" s="160"/>
      <c r="G17" s="163"/>
    </row>
    <row r="18" spans="1:24" s="86" customFormat="1" ht="15.75" customHeight="1" x14ac:dyDescent="0.25">
      <c r="A18" s="348" t="s">
        <v>3004</v>
      </c>
      <c r="B18" s="348" t="s">
        <v>16</v>
      </c>
      <c r="C18" s="348" t="s">
        <v>2949</v>
      </c>
      <c r="D18" s="348" t="s">
        <v>2950</v>
      </c>
      <c r="E18" s="348" t="s">
        <v>2951</v>
      </c>
      <c r="F18" s="345" t="s">
        <v>2952</v>
      </c>
      <c r="G18" s="345" t="s">
        <v>2964</v>
      </c>
      <c r="H18" s="345" t="s">
        <v>2953</v>
      </c>
      <c r="I18" s="345" t="s">
        <v>2954</v>
      </c>
      <c r="J18" s="345" t="s">
        <v>2956</v>
      </c>
      <c r="K18" s="345" t="s">
        <v>2955</v>
      </c>
      <c r="L18" s="345" t="s">
        <v>2957</v>
      </c>
      <c r="M18" s="345" t="s">
        <v>2963</v>
      </c>
      <c r="N18" s="345" t="s">
        <v>2958</v>
      </c>
      <c r="O18" s="169" t="s">
        <v>2959</v>
      </c>
      <c r="P18" s="137" t="s">
        <v>2972</v>
      </c>
      <c r="Q18" s="137" t="s">
        <v>2973</v>
      </c>
      <c r="T18" s="82" t="s">
        <v>2968</v>
      </c>
      <c r="U18" t="s">
        <v>2974</v>
      </c>
      <c r="V18" t="s">
        <v>3080</v>
      </c>
      <c r="X18"/>
    </row>
    <row r="19" spans="1:24" s="86" customFormat="1" ht="15.75" x14ac:dyDescent="0.25">
      <c r="A19" s="344"/>
      <c r="B19" s="344"/>
      <c r="C19" s="344"/>
      <c r="D19" s="344"/>
      <c r="E19" s="344"/>
      <c r="F19" s="343"/>
      <c r="G19" s="343"/>
      <c r="H19" s="343"/>
      <c r="I19" s="343"/>
      <c r="J19" s="343"/>
      <c r="K19" s="343"/>
      <c r="L19" s="343"/>
      <c r="M19" s="343"/>
      <c r="N19" s="343"/>
      <c r="O19" s="137">
        <f>COUNT(O20:O34)</f>
        <v>15</v>
      </c>
      <c r="P19" s="137">
        <f>SUM(P20:P34)</f>
        <v>9</v>
      </c>
      <c r="Q19" s="137">
        <f>SUM(Q20:Q34)</f>
        <v>4</v>
      </c>
      <c r="T19" s="12" t="s">
        <v>1572</v>
      </c>
      <c r="U19" s="379">
        <v>-3.6400000000000002E-2</v>
      </c>
      <c r="V19" s="379">
        <v>0.42264307898912273</v>
      </c>
      <c r="X19"/>
    </row>
    <row r="20" spans="1:24" ht="15.75" customHeight="1" x14ac:dyDescent="0.2">
      <c r="A20" s="353" t="s">
        <v>3073</v>
      </c>
      <c r="B20" s="222" t="s">
        <v>390</v>
      </c>
      <c r="C20" s="223" cm="1">
        <f t="array" ref="C20:M20">tinh_du_lieu_cp(B20)</f>
        <v>57.2</v>
      </c>
      <c r="D20" s="224">
        <v>415.6</v>
      </c>
      <c r="E20" s="225">
        <v>3.0600000000000002E-2</v>
      </c>
      <c r="F20" s="226">
        <v>2.1508856947940438</v>
      </c>
      <c r="G20" s="226">
        <v>0.99954297389574442</v>
      </c>
      <c r="H20" s="226">
        <v>1.2422657300851891</v>
      </c>
      <c r="I20" s="227">
        <v>0.35094339622641496</v>
      </c>
      <c r="J20" s="222">
        <v>53</v>
      </c>
      <c r="K20" s="222">
        <v>71.599999999999994</v>
      </c>
      <c r="L20" s="225">
        <v>7.9245283018867976E-2</v>
      </c>
      <c r="M20" s="225">
        <v>-0.20111731843575409</v>
      </c>
      <c r="N20" s="228"/>
      <c r="O20" s="222">
        <f t="shared" ref="O20:O25" si="0">IF(E20&gt;0,1,IF(E20=0,0,-1))</f>
        <v>1</v>
      </c>
      <c r="P20" s="222">
        <f>IF(O20=1,1,0)</f>
        <v>1</v>
      </c>
      <c r="Q20" s="222">
        <f>IF(O20&lt;0,1,0)</f>
        <v>0</v>
      </c>
      <c r="T20" s="12" t="s">
        <v>462</v>
      </c>
      <c r="U20" s="379">
        <v>-2.4199999999999999E-2</v>
      </c>
      <c r="V20" s="379">
        <v>0.78827361563517917</v>
      </c>
    </row>
    <row r="21" spans="1:24" ht="15.75" customHeight="1" x14ac:dyDescent="0.2">
      <c r="A21" s="354"/>
      <c r="B21" s="222" t="s">
        <v>727</v>
      </c>
      <c r="C21" s="223" cm="1">
        <f t="array" ref="C21:M21">tinh_du_lieu_cp(B21)</f>
        <v>22.7</v>
      </c>
      <c r="D21" s="224">
        <v>191.8</v>
      </c>
      <c r="E21" s="225">
        <v>-2.2000000000000001E-3</v>
      </c>
      <c r="F21" s="226">
        <v>0.99874553243863762</v>
      </c>
      <c r="G21" s="226">
        <v>0.9663889965129796</v>
      </c>
      <c r="H21" s="226">
        <v>1.0471337579617834</v>
      </c>
      <c r="I21" s="225">
        <v>0.22888888888888884</v>
      </c>
      <c r="J21" s="222">
        <v>22.5</v>
      </c>
      <c r="K21" s="222">
        <v>27.65</v>
      </c>
      <c r="L21" s="225">
        <v>8.8888888888888577E-3</v>
      </c>
      <c r="M21" s="225">
        <v>-0.17902350813743217</v>
      </c>
      <c r="N21" s="228"/>
      <c r="O21" s="222">
        <f t="shared" si="0"/>
        <v>-1</v>
      </c>
      <c r="P21" s="222">
        <f t="shared" ref="P21:P32" si="1">IF(O21=1,1,0)</f>
        <v>0</v>
      </c>
      <c r="Q21" s="222">
        <f t="shared" ref="Q21:Q32" si="2">IF(O21&lt;0,1,0)</f>
        <v>1</v>
      </c>
      <c r="T21" s="12" t="s">
        <v>2778</v>
      </c>
      <c r="U21" s="379">
        <v>-1.1599999999999999E-2</v>
      </c>
      <c r="V21" s="379">
        <v>0.65919614692083817</v>
      </c>
    </row>
    <row r="22" spans="1:24" ht="15.75" customHeight="1" x14ac:dyDescent="0.2">
      <c r="A22" s="354"/>
      <c r="B22" s="222" t="s">
        <v>794</v>
      </c>
      <c r="C22" s="223" cm="1">
        <f t="array" ref="C22:M22">tinh_du_lieu_cp(B22)</f>
        <v>33.65</v>
      </c>
      <c r="D22" s="224">
        <v>2667.3</v>
      </c>
      <c r="E22" s="225">
        <v>3.3799999999999997E-2</v>
      </c>
      <c r="F22" s="226">
        <v>1.023403345347154</v>
      </c>
      <c r="G22" s="226">
        <v>0.99156376409278801</v>
      </c>
      <c r="H22" s="226">
        <v>0.93682794896389776</v>
      </c>
      <c r="I22" s="225">
        <v>0.31861751152073742</v>
      </c>
      <c r="J22" s="222">
        <v>32.549999999999997</v>
      </c>
      <c r="K22" s="222">
        <v>42.920999999999999</v>
      </c>
      <c r="L22" s="225">
        <v>3.3794162826420934E-2</v>
      </c>
      <c r="M22" s="225">
        <v>-0.2160014911115771</v>
      </c>
      <c r="N22" s="228"/>
      <c r="O22" s="222">
        <f t="shared" si="0"/>
        <v>1</v>
      </c>
      <c r="P22" s="222">
        <f t="shared" si="1"/>
        <v>1</v>
      </c>
      <c r="Q22" s="222">
        <f t="shared" si="2"/>
        <v>0</v>
      </c>
      <c r="T22" s="12" t="s">
        <v>281</v>
      </c>
      <c r="U22" s="379">
        <v>-1.0800000000000001E-2</v>
      </c>
      <c r="V22" s="379">
        <v>0.50230581426892129</v>
      </c>
    </row>
    <row r="23" spans="1:24" ht="15.75" customHeight="1" x14ac:dyDescent="0.2">
      <c r="A23" s="354"/>
      <c r="B23" s="222" t="s">
        <v>814</v>
      </c>
      <c r="C23" s="223" cm="1">
        <f t="array" ref="C23:M23">tinh_du_lieu_cp(B23)</f>
        <v>45.4</v>
      </c>
      <c r="D23" s="224">
        <v>348.1</v>
      </c>
      <c r="E23" s="225">
        <v>2.2000000000000001E-3</v>
      </c>
      <c r="F23" s="226">
        <v>0.49469978359872097</v>
      </c>
      <c r="G23" s="226">
        <v>0.96211436991966548</v>
      </c>
      <c r="H23" s="226">
        <v>0.87822723067866448</v>
      </c>
      <c r="I23" s="225">
        <v>0.24414715719063534</v>
      </c>
      <c r="J23" s="222">
        <v>44.85</v>
      </c>
      <c r="K23" s="222">
        <v>55.8</v>
      </c>
      <c r="L23" s="225">
        <v>1.2263099219620896E-2</v>
      </c>
      <c r="M23" s="225">
        <v>-0.18637992831541217</v>
      </c>
      <c r="N23" s="228"/>
      <c r="O23" s="222">
        <f t="shared" si="0"/>
        <v>1</v>
      </c>
      <c r="P23" s="222">
        <f t="shared" si="1"/>
        <v>1</v>
      </c>
      <c r="Q23" s="222">
        <f t="shared" si="2"/>
        <v>0</v>
      </c>
      <c r="T23" s="12" t="s">
        <v>1729</v>
      </c>
      <c r="U23" s="379">
        <v>-0.01</v>
      </c>
      <c r="V23" s="379">
        <v>0.43626839610875534</v>
      </c>
    </row>
    <row r="24" spans="1:24" ht="15.75" customHeight="1" x14ac:dyDescent="0.2">
      <c r="A24" s="354"/>
      <c r="B24" s="222" t="s">
        <v>894</v>
      </c>
      <c r="C24" s="223" cm="1">
        <f t="array" ref="C24:M24">tinh_du_lieu_cp(B24)</f>
        <v>24.4</v>
      </c>
      <c r="D24" s="224">
        <v>6483.4</v>
      </c>
      <c r="E24" s="225">
        <v>4.2699999999999995E-2</v>
      </c>
      <c r="F24" s="226">
        <v>1.8177980952186752</v>
      </c>
      <c r="G24" s="226">
        <v>1.0154562020044255</v>
      </c>
      <c r="H24" s="226">
        <v>1.2406086254899398</v>
      </c>
      <c r="I24" s="225">
        <v>0.29017857142857145</v>
      </c>
      <c r="J24" s="222">
        <v>22.4</v>
      </c>
      <c r="K24" s="222">
        <v>28.9</v>
      </c>
      <c r="L24" s="225">
        <v>8.9285714285714288E-2</v>
      </c>
      <c r="M24" s="225">
        <v>-0.15570934256055363</v>
      </c>
      <c r="N24" s="228"/>
      <c r="O24" s="222">
        <f t="shared" si="0"/>
        <v>1</v>
      </c>
      <c r="P24" s="222">
        <f t="shared" si="1"/>
        <v>1</v>
      </c>
      <c r="Q24" s="222">
        <f t="shared" si="2"/>
        <v>0</v>
      </c>
      <c r="T24" s="12" t="s">
        <v>1244</v>
      </c>
      <c r="U24" s="379">
        <v>-5.3E-3</v>
      </c>
      <c r="V24" s="379">
        <v>1.2440406199893104</v>
      </c>
    </row>
    <row r="25" spans="1:24" ht="15.75" customHeight="1" x14ac:dyDescent="0.2">
      <c r="A25" s="354"/>
      <c r="B25" s="222" t="s">
        <v>1365</v>
      </c>
      <c r="C25" s="223">
        <f t="array" ref="C25:M25">tinh_du_lieu_cp(B25)</f>
        <v>24.2</v>
      </c>
      <c r="D25" s="224">
        <v>3.5</v>
      </c>
      <c r="E25" s="225">
        <v>2.1099999999999997E-2</v>
      </c>
      <c r="F25" s="226">
        <v>0.25355804503454316</v>
      </c>
      <c r="G25" s="226">
        <v>0.99430459400683224</v>
      </c>
      <c r="H25" s="226">
        <v>0.63593967657925021</v>
      </c>
      <c r="I25" s="225">
        <v>0.14367088607594941</v>
      </c>
      <c r="J25" s="222">
        <v>23.7</v>
      </c>
      <c r="K25" s="222">
        <v>27.105</v>
      </c>
      <c r="L25" s="225">
        <v>2.1097046413502109E-2</v>
      </c>
      <c r="M25" s="225">
        <v>-0.10717579782327988</v>
      </c>
      <c r="N25" s="228"/>
      <c r="O25" s="222">
        <f t="shared" si="0"/>
        <v>1</v>
      </c>
      <c r="P25" s="222">
        <f t="shared" si="1"/>
        <v>1</v>
      </c>
      <c r="Q25" s="222">
        <f t="shared" si="2"/>
        <v>0</v>
      </c>
      <c r="T25" s="12" t="s">
        <v>1836</v>
      </c>
      <c r="U25" s="379">
        <v>-5.1000000000000004E-3</v>
      </c>
      <c r="V25" s="379">
        <v>0.94017094017094005</v>
      </c>
    </row>
    <row r="26" spans="1:24" ht="15.75" customHeight="1" x14ac:dyDescent="0.2">
      <c r="A26" s="354"/>
      <c r="B26" s="222" t="s">
        <v>1514</v>
      </c>
      <c r="C26" s="223">
        <f t="array" ref="C26:M26">tinh_du_lieu_cp(B26)</f>
        <v>13.7</v>
      </c>
      <c r="D26" s="224">
        <v>123.3</v>
      </c>
      <c r="E26" s="225">
        <v>7.4000000000000003E-3</v>
      </c>
      <c r="F26" s="226">
        <v>0.76233032627940311</v>
      </c>
      <c r="G26" s="226">
        <v>0.98417312661498701</v>
      </c>
      <c r="H26" s="226">
        <v>0.58542375563820526</v>
      </c>
      <c r="I26" s="225">
        <v>0.24264705882352933</v>
      </c>
      <c r="J26" s="222">
        <v>13.6</v>
      </c>
      <c r="K26" s="222">
        <v>16.899999999999999</v>
      </c>
      <c r="L26" s="225">
        <v>7.3529411764705621E-3</v>
      </c>
      <c r="M26" s="225">
        <v>-0.18934911242603547</v>
      </c>
      <c r="N26" s="228"/>
      <c r="O26" s="222">
        <f t="shared" ref="O26:O32" si="3">IF(E26&gt;0,1,IF(E26=0,0,-1))</f>
        <v>1</v>
      </c>
      <c r="P26" s="222">
        <f t="shared" si="1"/>
        <v>1</v>
      </c>
      <c r="Q26" s="222">
        <f t="shared" si="2"/>
        <v>0</v>
      </c>
      <c r="T26" s="12" t="s">
        <v>727</v>
      </c>
      <c r="U26" s="379">
        <v>-4.4000000000000003E-3</v>
      </c>
      <c r="V26" s="379">
        <v>0.40847812332700639</v>
      </c>
    </row>
    <row r="27" spans="1:24" ht="15.75" customHeight="1" x14ac:dyDescent="0.2">
      <c r="A27" s="354"/>
      <c r="B27" s="222" t="s">
        <v>1572</v>
      </c>
      <c r="C27" s="223">
        <f t="array" ref="C27:M27">tinh_du_lieu_cp(B27)</f>
        <v>5.3</v>
      </c>
      <c r="D27" s="224">
        <v>52.1</v>
      </c>
      <c r="E27" s="225">
        <v>-3.6400000000000002E-2</v>
      </c>
      <c r="F27" s="226">
        <v>0.42264307898912273</v>
      </c>
      <c r="G27" s="226">
        <v>0.88222543352601168</v>
      </c>
      <c r="H27" s="226">
        <v>0.35510621379075319</v>
      </c>
      <c r="I27" s="225">
        <v>0.32075471698113212</v>
      </c>
      <c r="J27" s="222">
        <v>5.3</v>
      </c>
      <c r="K27" s="222">
        <v>7</v>
      </c>
      <c r="L27" s="225">
        <v>0</v>
      </c>
      <c r="M27" s="225">
        <v>-0.24285714285714288</v>
      </c>
      <c r="N27" s="228"/>
      <c r="O27" s="222">
        <f t="shared" si="3"/>
        <v>-1</v>
      </c>
      <c r="P27" s="222">
        <f t="shared" si="1"/>
        <v>0</v>
      </c>
      <c r="Q27" s="222">
        <f t="shared" si="2"/>
        <v>1</v>
      </c>
      <c r="T27" s="12" t="s">
        <v>814</v>
      </c>
      <c r="U27" s="379">
        <v>-2.2000000000000001E-3</v>
      </c>
      <c r="V27" s="379">
        <v>0.27152693926834837</v>
      </c>
    </row>
    <row r="28" spans="1:24" x14ac:dyDescent="0.2">
      <c r="A28" s="354"/>
      <c r="B28" s="222" t="s">
        <v>1723</v>
      </c>
      <c r="C28" s="223">
        <f t="array" ref="C28:M28">tinh_du_lieu_cp(B28)</f>
        <v>65</v>
      </c>
      <c r="D28" s="224">
        <v>0.3</v>
      </c>
      <c r="E28" s="225">
        <v>0</v>
      </c>
      <c r="F28" s="226">
        <v>7.0280803756828422E-2</v>
      </c>
      <c r="G28" s="226">
        <v>1.0746981691768906</v>
      </c>
      <c r="H28" s="226">
        <v>0.1607142857142857</v>
      </c>
      <c r="I28" s="227">
        <v>0.25</v>
      </c>
      <c r="J28" s="222">
        <v>52</v>
      </c>
      <c r="K28" s="222">
        <v>65</v>
      </c>
      <c r="L28" s="225">
        <v>0.25</v>
      </c>
      <c r="M28" s="225">
        <v>0</v>
      </c>
      <c r="N28" s="228"/>
      <c r="O28" s="222">
        <f t="shared" si="3"/>
        <v>0</v>
      </c>
      <c r="P28" s="222">
        <f t="shared" si="1"/>
        <v>0</v>
      </c>
      <c r="Q28" s="222">
        <f t="shared" si="2"/>
        <v>0</v>
      </c>
      <c r="T28" s="12" t="s">
        <v>2191</v>
      </c>
      <c r="U28" s="379">
        <v>0</v>
      </c>
      <c r="V28" s="379">
        <v>0.26894865525672373</v>
      </c>
      <c r="W28" s="99"/>
    </row>
    <row r="29" spans="1:24" x14ac:dyDescent="0.2">
      <c r="A29" s="354"/>
      <c r="B29" s="222" t="s">
        <v>1836</v>
      </c>
      <c r="C29" s="223">
        <f t="array" ref="C29:M29">tinh_du_lieu_cp(B29)</f>
        <v>19.399999999999999</v>
      </c>
      <c r="D29" s="224">
        <v>3</v>
      </c>
      <c r="E29" s="225">
        <v>-5.1000000000000004E-3</v>
      </c>
      <c r="F29" s="226">
        <v>4.5205479452054798</v>
      </c>
      <c r="G29" s="226">
        <v>0.98797736916548784</v>
      </c>
      <c r="H29" s="226">
        <v>2.903225806451613</v>
      </c>
      <c r="I29" s="225">
        <v>0.11827956989247307</v>
      </c>
      <c r="J29" s="222">
        <v>18.600000000000001</v>
      </c>
      <c r="K29" s="222">
        <v>20.8</v>
      </c>
      <c r="L29" s="225">
        <v>4.3010752688171887E-2</v>
      </c>
      <c r="M29" s="225">
        <v>-6.7307692307692402E-2</v>
      </c>
      <c r="N29" s="228"/>
      <c r="O29" s="222">
        <f t="shared" si="3"/>
        <v>-1</v>
      </c>
      <c r="P29" s="222">
        <f t="shared" si="1"/>
        <v>0</v>
      </c>
      <c r="Q29" s="222">
        <f t="shared" si="2"/>
        <v>1</v>
      </c>
      <c r="T29" s="12" t="s">
        <v>1723</v>
      </c>
      <c r="U29" s="379">
        <v>0</v>
      </c>
      <c r="V29" s="379">
        <v>2.3352333641159548E-2</v>
      </c>
      <c r="W29" s="99"/>
    </row>
    <row r="30" spans="1:24" x14ac:dyDescent="0.2">
      <c r="A30" s="354"/>
      <c r="B30" s="222" t="s">
        <v>2191</v>
      </c>
      <c r="C30" s="223">
        <f t="array" ref="C30:M30">tinh_du_lieu_cp(B30)</f>
        <v>10.7</v>
      </c>
      <c r="D30" s="224">
        <v>0.5</v>
      </c>
      <c r="E30" s="225">
        <v>0</v>
      </c>
      <c r="F30" s="226">
        <v>0.26894865525672373</v>
      </c>
      <c r="G30" s="226">
        <v>0.99964666807999436</v>
      </c>
      <c r="H30" s="226">
        <v>1.3043478260869565</v>
      </c>
      <c r="I30" s="225">
        <v>7.8048780487804947E-2</v>
      </c>
      <c r="J30" s="222">
        <v>10.25</v>
      </c>
      <c r="K30" s="222">
        <v>11.05</v>
      </c>
      <c r="L30" s="225">
        <v>4.3902439024390172E-2</v>
      </c>
      <c r="M30" s="225">
        <v>-3.1674208144796503E-2</v>
      </c>
      <c r="N30" s="228"/>
      <c r="O30" s="222">
        <f t="shared" si="3"/>
        <v>0</v>
      </c>
      <c r="P30" s="222">
        <f t="shared" si="1"/>
        <v>0</v>
      </c>
      <c r="Q30" s="222">
        <f t="shared" si="2"/>
        <v>0</v>
      </c>
      <c r="T30" s="12" t="s">
        <v>140</v>
      </c>
      <c r="U30" s="379">
        <v>0</v>
      </c>
      <c r="V30" s="379">
        <v>0.40986389140436225</v>
      </c>
      <c r="W30" s="99"/>
    </row>
    <row r="31" spans="1:24" x14ac:dyDescent="0.2">
      <c r="A31" s="354"/>
      <c r="B31" s="222" t="s">
        <v>140</v>
      </c>
      <c r="C31" s="223" cm="1">
        <f t="array" ref="C31:M31">tinh_du_lieu_cp(B31)</f>
        <v>7.25</v>
      </c>
      <c r="D31" s="224">
        <v>595</v>
      </c>
      <c r="E31" s="225">
        <v>2.8000000000000004E-3</v>
      </c>
      <c r="F31" s="226">
        <v>0.59068531228706678</v>
      </c>
      <c r="G31" s="226">
        <v>0.99660326086956519</v>
      </c>
      <c r="H31" s="226">
        <v>0.5440912000487701</v>
      </c>
      <c r="I31" s="225">
        <v>9.8096632503660311E-2</v>
      </c>
      <c r="J31" s="222">
        <v>6.83</v>
      </c>
      <c r="K31" s="222">
        <v>7.5</v>
      </c>
      <c r="L31" s="225">
        <v>6.1493411420204966E-2</v>
      </c>
      <c r="M31" s="225">
        <v>-3.3333333333333333E-2</v>
      </c>
      <c r="N31" s="228"/>
      <c r="O31" s="222">
        <f t="shared" si="3"/>
        <v>1</v>
      </c>
      <c r="P31" s="222">
        <f t="shared" si="1"/>
        <v>1</v>
      </c>
      <c r="Q31" s="222">
        <f t="shared" si="2"/>
        <v>0</v>
      </c>
      <c r="T31" s="12" t="s">
        <v>3138</v>
      </c>
      <c r="U31" s="379">
        <v>0</v>
      </c>
      <c r="V31" s="379">
        <v>0.2689708537529017</v>
      </c>
      <c r="W31" s="99"/>
    </row>
    <row r="32" spans="1:24" x14ac:dyDescent="0.2">
      <c r="A32" s="354"/>
      <c r="B32" s="222" t="s">
        <v>281</v>
      </c>
      <c r="C32" s="223">
        <f t="array" ref="C32:M32">tinh_du_lieu_cp(B32)</f>
        <v>5.58</v>
      </c>
      <c r="D32" s="224">
        <v>84.2</v>
      </c>
      <c r="E32" s="225">
        <v>3.5999999999999999E-3</v>
      </c>
      <c r="F32" s="226">
        <v>0.82493876642173236</v>
      </c>
      <c r="G32" s="226">
        <v>0.99742260974472896</v>
      </c>
      <c r="H32" s="226">
        <v>0.765106769650159</v>
      </c>
      <c r="I32" s="225">
        <v>0.10185185185185182</v>
      </c>
      <c r="J32" s="222">
        <v>5.4</v>
      </c>
      <c r="K32" s="222">
        <v>5.95</v>
      </c>
      <c r="L32" s="225">
        <v>3.3333333333333277E-2</v>
      </c>
      <c r="M32" s="225">
        <v>-6.2184873949579847E-2</v>
      </c>
      <c r="N32" s="228"/>
      <c r="O32" s="222">
        <f t="shared" si="3"/>
        <v>1</v>
      </c>
      <c r="P32" s="222">
        <f t="shared" si="1"/>
        <v>1</v>
      </c>
      <c r="Q32" s="222">
        <f t="shared" si="2"/>
        <v>0</v>
      </c>
      <c r="T32" s="12" t="s">
        <v>2871</v>
      </c>
      <c r="U32" s="379">
        <v>0</v>
      </c>
      <c r="V32" s="379">
        <v>0.45206065734823503</v>
      </c>
      <c r="W32" s="99"/>
    </row>
    <row r="33" spans="1:22" x14ac:dyDescent="0.2">
      <c r="A33" s="354"/>
      <c r="B33" s="222" t="s">
        <v>446</v>
      </c>
      <c r="C33" s="223">
        <f t="array" ref="C33:M33">tinh_du_lieu_cp(B33)</f>
        <v>150.9</v>
      </c>
      <c r="D33" s="224">
        <v>199.8</v>
      </c>
      <c r="E33" s="225">
        <v>1.55E-2</v>
      </c>
      <c r="F33" s="226">
        <v>1.2390348404555194</v>
      </c>
      <c r="G33" s="226">
        <v>0.99413579304236277</v>
      </c>
      <c r="H33" s="226">
        <v>1.4291845493562232</v>
      </c>
      <c r="I33" s="225">
        <v>0.17134192570128881</v>
      </c>
      <c r="J33" s="222">
        <v>131.9</v>
      </c>
      <c r="K33" s="222">
        <v>154.5</v>
      </c>
      <c r="L33" s="225">
        <v>0.14404852160727824</v>
      </c>
      <c r="M33" s="225">
        <v>-2.330097087378637E-2</v>
      </c>
      <c r="N33" s="228"/>
      <c r="O33" s="222">
        <f>IF(E33&gt;0,1,IF(E33=0,0,-1))</f>
        <v>1</v>
      </c>
      <c r="P33" s="222">
        <f>IF(O33=1,1,0)</f>
        <v>1</v>
      </c>
      <c r="Q33" s="222">
        <f>IF(O33&lt;0,1,0)</f>
        <v>0</v>
      </c>
      <c r="T33" s="12" t="s">
        <v>1514</v>
      </c>
      <c r="U33" s="379">
        <v>7.4000000000000003E-3</v>
      </c>
      <c r="V33" s="379">
        <v>0.43814197671764438</v>
      </c>
    </row>
    <row r="34" spans="1:22" x14ac:dyDescent="0.2">
      <c r="A34" s="354"/>
      <c r="B34" s="222" t="s">
        <v>462</v>
      </c>
      <c r="C34" s="223">
        <f t="array" ref="C34:M34">tinh_du_lieu_cp(B34)</f>
        <v>12.1</v>
      </c>
      <c r="D34" s="224">
        <v>1.1000000000000001</v>
      </c>
      <c r="E34" s="225">
        <v>-2.4199999999999999E-2</v>
      </c>
      <c r="F34" s="226">
        <v>0.78827361563517917</v>
      </c>
      <c r="G34" s="226">
        <v>1.0027434842249661</v>
      </c>
      <c r="H34" s="226">
        <v>1.03125</v>
      </c>
      <c r="I34" s="225">
        <v>5.9322033898305024E-2</v>
      </c>
      <c r="J34" s="222">
        <v>11.8</v>
      </c>
      <c r="K34" s="222">
        <v>12.5</v>
      </c>
      <c r="L34" s="225">
        <v>2.542372881355923E-2</v>
      </c>
      <c r="M34" s="225">
        <v>-3.2000000000000028E-2</v>
      </c>
      <c r="N34" s="228"/>
      <c r="O34" s="222">
        <f>IF(E34&gt;0,1,IF(E34=0,0,-1))</f>
        <v>-1</v>
      </c>
      <c r="P34" s="222">
        <f>IF(O34=1,1,0)</f>
        <v>0</v>
      </c>
      <c r="Q34" s="222">
        <f>IF(O34&lt;0,1,0)</f>
        <v>1</v>
      </c>
      <c r="T34" s="12" t="s">
        <v>1365</v>
      </c>
      <c r="U34" s="379">
        <v>1.2699999999999999E-2</v>
      </c>
      <c r="V34" s="379">
        <v>0.16728489344679612</v>
      </c>
    </row>
    <row r="35" spans="1:22" x14ac:dyDescent="0.2">
      <c r="A35" s="354"/>
      <c r="B35" s="222" t="s">
        <v>1244</v>
      </c>
      <c r="C35" s="223" cm="1">
        <f t="array" ref="C35:M35">tinh_du_lieu_cp(B35)</f>
        <v>5.61</v>
      </c>
      <c r="D35" s="224">
        <v>213.1</v>
      </c>
      <c r="E35" s="225">
        <v>0</v>
      </c>
      <c r="F35" s="226">
        <v>1.638715089657101</v>
      </c>
      <c r="G35" s="226">
        <v>1.0008142253040211</v>
      </c>
      <c r="H35" s="226">
        <v>1.6335760827903412</v>
      </c>
      <c r="I35" s="225">
        <v>0.27889944576405401</v>
      </c>
      <c r="J35" s="222">
        <v>5.0519999999999996</v>
      </c>
      <c r="K35" s="222">
        <v>6.4610000000000003</v>
      </c>
      <c r="L35" s="225">
        <v>0.11045130641330181</v>
      </c>
      <c r="M35" s="225">
        <v>-0.13171335706546974</v>
      </c>
      <c r="N35" s="228"/>
      <c r="O35" s="222">
        <f t="shared" ref="O35:O40" si="4">IF(E35&gt;0,1,IF(E35=0,0,-1))</f>
        <v>0</v>
      </c>
      <c r="P35" s="222">
        <f t="shared" ref="P35:P40" si="5">IF(O35=1,1,0)</f>
        <v>0</v>
      </c>
      <c r="Q35" s="222">
        <f t="shared" ref="Q35:Q40" si="6">IF(O35&lt;0,1,0)</f>
        <v>0</v>
      </c>
      <c r="T35" s="12" t="s">
        <v>390</v>
      </c>
      <c r="U35" s="379">
        <v>1.44E-2</v>
      </c>
      <c r="V35" s="379">
        <v>1.2849356771089069</v>
      </c>
    </row>
    <row r="36" spans="1:22" x14ac:dyDescent="0.2">
      <c r="A36" s="354"/>
      <c r="B36" s="222" t="s">
        <v>1729</v>
      </c>
      <c r="C36" s="223" cm="1">
        <f t="array" ref="C36:M36">tinh_du_lieu_cp(B36)</f>
        <v>9.9600000000000009</v>
      </c>
      <c r="D36" s="224">
        <v>53.7</v>
      </c>
      <c r="E36" s="225">
        <v>-4.0000000000000001E-3</v>
      </c>
      <c r="F36" s="226">
        <v>1.4070986183897094</v>
      </c>
      <c r="G36" s="226">
        <v>0.98278595025406279</v>
      </c>
      <c r="H36" s="226">
        <v>1.0164037854889589</v>
      </c>
      <c r="I36" s="225">
        <v>6.9277108433734885E-2</v>
      </c>
      <c r="J36" s="222">
        <v>9.9600000000000009</v>
      </c>
      <c r="K36" s="222">
        <v>10.65</v>
      </c>
      <c r="L36" s="225">
        <v>0</v>
      </c>
      <c r="M36" s="225">
        <v>-6.4788732394366153E-2</v>
      </c>
      <c r="N36" s="228"/>
      <c r="O36" s="222">
        <f t="shared" si="4"/>
        <v>-1</v>
      </c>
      <c r="P36" s="222">
        <f t="shared" si="5"/>
        <v>0</v>
      </c>
      <c r="Q36" s="222">
        <f t="shared" si="6"/>
        <v>1</v>
      </c>
      <c r="T36" s="12" t="s">
        <v>446</v>
      </c>
      <c r="U36" s="379">
        <v>1.4800000000000001E-2</v>
      </c>
      <c r="V36" s="379">
        <v>0.69740267252848964</v>
      </c>
    </row>
    <row r="37" spans="1:22" x14ac:dyDescent="0.2">
      <c r="A37" s="354"/>
      <c r="B37" s="222" t="s">
        <v>3138</v>
      </c>
      <c r="C37" s="223" cm="1">
        <f t="array" ref="C37:M37">tinh_du_lieu_cp(B37)</f>
        <v>49</v>
      </c>
      <c r="D37" s="224">
        <v>30.9</v>
      </c>
      <c r="E37" s="225">
        <v>1.03E-2</v>
      </c>
      <c r="F37" s="226">
        <v>0.34938582515290129</v>
      </c>
      <c r="G37" s="226">
        <v>0.98174509626137152</v>
      </c>
      <c r="H37" s="226">
        <v>0.82363394047090188</v>
      </c>
      <c r="I37" s="225">
        <v>7.4906918530049008E-2</v>
      </c>
      <c r="J37" s="222">
        <v>47.539000000000001</v>
      </c>
      <c r="K37" s="222">
        <v>51.1</v>
      </c>
      <c r="L37" s="225">
        <v>3.0732661604156556E-2</v>
      </c>
      <c r="M37" s="225">
        <v>-4.109589041095893E-2</v>
      </c>
      <c r="N37" s="228"/>
      <c r="O37" s="222">
        <f t="shared" si="4"/>
        <v>1</v>
      </c>
      <c r="P37" s="222">
        <f t="shared" si="5"/>
        <v>1</v>
      </c>
      <c r="Q37" s="222">
        <f t="shared" si="6"/>
        <v>0</v>
      </c>
      <c r="T37" s="12" t="s">
        <v>794</v>
      </c>
      <c r="U37" s="379">
        <v>2.76E-2</v>
      </c>
      <c r="V37" s="379">
        <v>0.6256539368122328</v>
      </c>
    </row>
    <row r="38" spans="1:22" x14ac:dyDescent="0.2">
      <c r="A38" s="354"/>
      <c r="B38" s="222" t="s">
        <v>2735</v>
      </c>
      <c r="C38" s="223" cm="1">
        <f t="array" ref="C38:M38">tinh_du_lieu_cp(B38)</f>
        <v>1.6</v>
      </c>
      <c r="D38" s="224">
        <v>13.3</v>
      </c>
      <c r="E38" s="225">
        <v>0.1429</v>
      </c>
      <c r="F38" s="226">
        <v>9.3273828498565511E-2</v>
      </c>
      <c r="G38" s="226">
        <v>1.2552552552552549</v>
      </c>
      <c r="H38" s="226">
        <v>4.8655569782330349E-2</v>
      </c>
      <c r="I38" s="225">
        <v>1</v>
      </c>
      <c r="J38" s="222">
        <v>0.8</v>
      </c>
      <c r="K38" s="222">
        <v>1.6</v>
      </c>
      <c r="L38" s="225">
        <v>1</v>
      </c>
      <c r="M38" s="225">
        <v>0</v>
      </c>
      <c r="N38" s="228"/>
      <c r="O38" s="222">
        <f t="shared" si="4"/>
        <v>1</v>
      </c>
      <c r="P38" s="222">
        <f t="shared" si="5"/>
        <v>1</v>
      </c>
      <c r="Q38" s="222">
        <f t="shared" si="6"/>
        <v>0</v>
      </c>
      <c r="T38" s="12" t="s">
        <v>894</v>
      </c>
      <c r="U38" s="379">
        <v>3.2099999999999997E-2</v>
      </c>
      <c r="V38" s="379">
        <v>1.0700176970565261</v>
      </c>
    </row>
    <row r="39" spans="1:22" x14ac:dyDescent="0.2">
      <c r="A39" s="354"/>
      <c r="B39" s="222" t="s">
        <v>2778</v>
      </c>
      <c r="C39" s="223" cm="1">
        <f t="array" ref="C39:M39">tinh_du_lieu_cp(B39)</f>
        <v>17.2</v>
      </c>
      <c r="D39" s="224">
        <v>24</v>
      </c>
      <c r="E39" s="225">
        <v>0</v>
      </c>
      <c r="F39" s="226">
        <v>1.4131287151501852</v>
      </c>
      <c r="G39" s="226">
        <v>0.98049803129022906</v>
      </c>
      <c r="H39" s="226">
        <v>3.3103448275862069</v>
      </c>
      <c r="I39" s="225">
        <v>0.16279917385493864</v>
      </c>
      <c r="J39" s="222">
        <v>16.462</v>
      </c>
      <c r="K39" s="222">
        <v>19.141999999999999</v>
      </c>
      <c r="L39" s="225">
        <v>4.4830518770501732E-2</v>
      </c>
      <c r="M39" s="225">
        <v>-0.10145230383450006</v>
      </c>
      <c r="N39" s="228"/>
      <c r="O39" s="222">
        <f t="shared" si="4"/>
        <v>0</v>
      </c>
      <c r="P39" s="222">
        <f t="shared" si="5"/>
        <v>0</v>
      </c>
      <c r="Q39" s="222">
        <f t="shared" si="6"/>
        <v>0</v>
      </c>
      <c r="T39" s="12" t="s">
        <v>2735</v>
      </c>
      <c r="U39" s="379">
        <v>0.1429</v>
      </c>
      <c r="V39" s="379">
        <v>9.3273828498565511E-2</v>
      </c>
    </row>
    <row r="40" spans="1:22" x14ac:dyDescent="0.2">
      <c r="A40" s="354"/>
      <c r="B40" s="222" t="s">
        <v>2871</v>
      </c>
      <c r="C40" s="223" cm="1">
        <f t="array" ref="C40:M40">tinh_du_lieu_cp(B40)</f>
        <v>20.3</v>
      </c>
      <c r="D40" s="224">
        <v>838.6</v>
      </c>
      <c r="E40" s="225">
        <v>5.0000000000000001E-3</v>
      </c>
      <c r="F40" s="226">
        <v>0.87947562864974371</v>
      </c>
      <c r="G40" s="226">
        <v>0.99732679884161302</v>
      </c>
      <c r="H40" s="226">
        <v>0.80753675290492399</v>
      </c>
      <c r="I40" s="225">
        <v>5.0251256281407038E-2</v>
      </c>
      <c r="J40" s="222">
        <v>19.899999999999999</v>
      </c>
      <c r="K40" s="222">
        <v>20.9</v>
      </c>
      <c r="L40" s="225">
        <v>2.0100502512562922E-2</v>
      </c>
      <c r="M40" s="225">
        <v>-2.8708133971291766E-2</v>
      </c>
      <c r="N40" s="228"/>
      <c r="O40" s="222">
        <f t="shared" si="4"/>
        <v>1</v>
      </c>
      <c r="P40" s="222">
        <f t="shared" si="5"/>
        <v>1</v>
      </c>
      <c r="Q40" s="222">
        <f t="shared" si="6"/>
        <v>0</v>
      </c>
      <c r="T40" s="12" t="s">
        <v>2969</v>
      </c>
      <c r="U40" s="379">
        <v>0.1419</v>
      </c>
      <c r="V40" s="379">
        <v>11.472810748250966</v>
      </c>
    </row>
  </sheetData>
  <mergeCells count="19">
    <mergeCell ref="A20:A40"/>
    <mergeCell ref="N18:N19"/>
    <mergeCell ref="H18:H19"/>
    <mergeCell ref="I18:I19"/>
    <mergeCell ref="J18:J19"/>
    <mergeCell ref="K18:K19"/>
    <mergeCell ref="L18:L19"/>
    <mergeCell ref="M18:M19"/>
    <mergeCell ref="A3:B3"/>
    <mergeCell ref="A1:F1"/>
    <mergeCell ref="A2:B2"/>
    <mergeCell ref="F14:G14"/>
    <mergeCell ref="A18:A19"/>
    <mergeCell ref="B18:B19"/>
    <mergeCell ref="C18:C19"/>
    <mergeCell ref="D18:D19"/>
    <mergeCell ref="E18:E19"/>
    <mergeCell ref="F18:F19"/>
    <mergeCell ref="G18:G19"/>
  </mergeCells>
  <conditionalFormatting sqref="A14">
    <cfRule type="expression" dxfId="100" priority="203" stopIfTrue="1">
      <formula>A14="giảm"</formula>
    </cfRule>
    <cfRule type="expression" dxfId="99" priority="204" stopIfTrue="1">
      <formula>A14="tăng"</formula>
    </cfRule>
  </conditionalFormatting>
  <conditionalFormatting sqref="C20:C40">
    <cfRule type="expression" dxfId="98" priority="12" stopIfTrue="1">
      <formula>E20&gt;=6.8%</formula>
    </cfRule>
    <cfRule type="expression" dxfId="97" priority="13" stopIfTrue="1">
      <formula>AND(E20&gt;0%,E20&lt;6.8%)</formula>
    </cfRule>
    <cfRule type="expression" dxfId="96" priority="14" stopIfTrue="1">
      <formula>E20=0%</formula>
    </cfRule>
    <cfRule type="expression" dxfId="95" priority="15" stopIfTrue="1">
      <formula>AND(E20&gt;-6.8%, E20&lt;0%)</formula>
    </cfRule>
    <cfRule type="expression" dxfId="94" priority="16" stopIfTrue="1">
      <formula>E20&lt;=-6.8%</formula>
    </cfRule>
  </conditionalFormatting>
  <conditionalFormatting sqref="B20:B40">
    <cfRule type="expression" dxfId="93" priority="22" stopIfTrue="1">
      <formula>E20&gt;=6.8%</formula>
    </cfRule>
    <cfRule type="expression" dxfId="92" priority="23" stopIfTrue="1">
      <formula>AND(E20&gt;0%,E20&lt;6.8%)</formula>
    </cfRule>
    <cfRule type="expression" dxfId="91" priority="24" stopIfTrue="1">
      <formula>E20=0%</formula>
    </cfRule>
    <cfRule type="expression" dxfId="90" priority="25" stopIfTrue="1">
      <formula>AND(E20&gt;-6.8%, E20&lt;0%)</formula>
    </cfRule>
    <cfRule type="expression" dxfId="89" priority="26" stopIfTrue="1">
      <formula>E20&lt;=-6.8%</formula>
    </cfRule>
  </conditionalFormatting>
  <conditionalFormatting sqref="L35:M40">
    <cfRule type="colorScale" priority="6">
      <colorScale>
        <cfvo type="min"/>
        <cfvo type="percentile" val="50"/>
        <cfvo type="max"/>
        <color rgb="FFFF3829"/>
        <color rgb="FFFFC000"/>
        <color rgb="FF00BC55"/>
      </colorScale>
    </cfRule>
  </conditionalFormatting>
  <conditionalFormatting sqref="F21:F27 F29:F40">
    <cfRule type="colorScale" priority="18867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1:I27 I29:I40">
    <cfRule type="colorScale" priority="18869">
      <colorScale>
        <cfvo type="min"/>
        <cfvo type="percentile" val="50"/>
        <cfvo type="max"/>
        <color rgb="FFFF3829"/>
        <color rgb="FFFFC000"/>
        <color rgb="FF00A400"/>
      </colorScale>
    </cfRule>
  </conditionalFormatting>
  <conditionalFormatting sqref="L21:M27 L29:M34">
    <cfRule type="colorScale" priority="18871">
      <colorScale>
        <cfvo type="min"/>
        <cfvo type="percentile" val="50"/>
        <cfvo type="max"/>
        <color rgb="FFFF3829"/>
        <color rgb="FFFFC000"/>
        <color rgb="FF00BC55"/>
      </colorScale>
    </cfRule>
  </conditionalFormatting>
  <conditionalFormatting sqref="I20:I40">
    <cfRule type="colorScale" priority="18873">
      <colorScale>
        <cfvo type="min"/>
        <cfvo type="max"/>
        <color theme="0" tint="-4.9989318521683403E-2"/>
        <color rgb="FF00B050"/>
      </colorScale>
    </cfRule>
  </conditionalFormatting>
  <conditionalFormatting sqref="L20:L40">
    <cfRule type="colorScale" priority="18875">
      <colorScale>
        <cfvo type="min"/>
        <cfvo type="max"/>
        <color theme="0" tint="-4.9989318521683403E-2"/>
        <color rgb="FF00B050"/>
      </colorScale>
    </cfRule>
  </conditionalFormatting>
  <conditionalFormatting sqref="M20:M40">
    <cfRule type="colorScale" priority="18877">
      <colorScale>
        <cfvo type="min"/>
        <cfvo type="max"/>
        <color rgb="FFFF7C80"/>
        <color theme="0" tint="-4.9989318521683403E-2"/>
      </colorScale>
    </cfRule>
  </conditionalFormatting>
  <conditionalFormatting sqref="N20:N40">
    <cfRule type="colorScale" priority="18879">
      <colorScale>
        <cfvo type="min"/>
        <cfvo type="max"/>
        <color theme="0" tint="-4.9989318521683403E-2"/>
        <color rgb="FFFF0000"/>
      </colorScale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067610E-7AE6-4C3B-B68F-3A532225A233}">
          <x14:formula1>
            <xm:f>'Nơi chứ dữ liệu'!$I$2:$N$2</xm:f>
          </x14:formula1>
          <xm:sqref>N20</xm:sqref>
        </x14:dataValidation>
        <x14:dataValidation type="list" allowBlank="1" showInputMessage="1" showErrorMessage="1" xr:uid="{6393C4CE-FE3A-42F3-8B53-AAE62A06D0BC}">
          <x14:formula1>
            <xm:f>'Nơi chứ dữ liệu'!$I$2:$K$2</xm:f>
          </x14:formula1>
          <xm:sqref>N21:N40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11849-9A48-4A31-B576-ACD25683DAF8}">
  <sheetPr codeName="Sheet26">
    <tabColor theme="6"/>
  </sheetPr>
  <dimension ref="A1:X40"/>
  <sheetViews>
    <sheetView topLeftCell="A3" zoomScaleNormal="100" workbookViewId="0">
      <selection activeCell="B20" sqref="B20:B27"/>
    </sheetView>
  </sheetViews>
  <sheetFormatPr defaultRowHeight="15" x14ac:dyDescent="0.2"/>
  <cols>
    <col min="1" max="1" width="8" customWidth="1"/>
    <col min="2" max="2" width="9.6640625" customWidth="1"/>
    <col min="3" max="3" width="11.664062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  <col min="24" max="24" width="15.6640625" bestFit="1" customWidth="1"/>
  </cols>
  <sheetData>
    <row r="1" spans="1:11" ht="15.75" x14ac:dyDescent="0.25">
      <c r="A1" s="332" t="s">
        <v>3140</v>
      </c>
      <c r="B1" s="332"/>
      <c r="C1" s="332"/>
      <c r="D1" s="332"/>
      <c r="E1" s="332"/>
      <c r="F1" s="332"/>
      <c r="K1" s="150"/>
    </row>
    <row r="2" spans="1:11" ht="15.75" x14ac:dyDescent="0.25">
      <c r="A2" s="332" t="s">
        <v>3141</v>
      </c>
      <c r="B2" s="332"/>
      <c r="C2" s="242" t="s">
        <v>3015</v>
      </c>
      <c r="D2" s="242" t="s">
        <v>3142</v>
      </c>
      <c r="E2" s="242" t="s">
        <v>3143</v>
      </c>
      <c r="F2" s="242" t="s">
        <v>3144</v>
      </c>
    </row>
    <row r="3" spans="1:11" x14ac:dyDescent="0.2">
      <c r="A3" s="340">
        <v>45839</v>
      </c>
      <c r="B3" s="340"/>
    </row>
    <row r="12" spans="1:11" ht="18" customHeight="1" x14ac:dyDescent="0.2"/>
    <row r="13" spans="1:11" ht="14.25" customHeight="1" x14ac:dyDescent="0.2"/>
    <row r="14" spans="1:11" ht="15.75" x14ac:dyDescent="0.2">
      <c r="A14" s="155" t="str">
        <f>"Tổng điểm nhóm BĐS hôm nay"&amp;" "&amp;SUM($O$20:O27)&amp;" "&amp;"trên tổng"&amp;" "&amp;$O$19</f>
        <v>Tổng điểm nhóm BĐS hôm nay 1 trên tổng 8</v>
      </c>
      <c r="B14" s="158"/>
      <c r="C14" s="158"/>
      <c r="D14" s="158"/>
      <c r="E14" s="158"/>
      <c r="F14" s="346" t="s">
        <v>3013</v>
      </c>
      <c r="G14" s="346"/>
    </row>
    <row r="15" spans="1:11" ht="15.75" x14ac:dyDescent="0.2">
      <c r="A15" s="159" t="str">
        <f>"Tổng điểm tăng nhóm BĐS  hôm nay"&amp;" "&amp;$P$19</f>
        <v>Tổng điểm tăng nhóm BĐS  hôm nay 4</v>
      </c>
      <c r="B15" s="160"/>
      <c r="C15" s="160"/>
      <c r="D15" s="160"/>
      <c r="E15" s="160"/>
      <c r="F15" s="156" t="s">
        <v>3014</v>
      </c>
      <c r="G15" s="156" t="s">
        <v>3008</v>
      </c>
    </row>
    <row r="16" spans="1:11" ht="15.75" x14ac:dyDescent="0.2">
      <c r="A16" s="159" t="str">
        <f>"Tổng điểm giảm nhóm BĐS hôm nay"&amp;" "&amp;$Q$19</f>
        <v>Tổng điểm giảm nhóm BĐS hôm nay 3</v>
      </c>
      <c r="B16" s="165"/>
      <c r="C16" s="160"/>
      <c r="D16" s="160"/>
      <c r="E16" s="160"/>
      <c r="F16" s="166">
        <f>AVERAGE(E20:E27)</f>
        <v>5.4000000000000003E-3</v>
      </c>
      <c r="G16" s="162">
        <f>AVERAGE(F20:F27)</f>
        <v>2.1000216743194469</v>
      </c>
    </row>
    <row r="17" spans="1:24" ht="15.75" x14ac:dyDescent="0.2">
      <c r="A17" s="159" t="str">
        <f>"Tổng điểm tham chiếu nhóm BĐS hôm nay"&amp;" "&amp;(O19-(P19+Q19))</f>
        <v>Tổng điểm tham chiếu nhóm BĐS hôm nay 1</v>
      </c>
      <c r="B17" s="160"/>
      <c r="C17" s="160"/>
      <c r="D17" s="160"/>
      <c r="E17" s="160"/>
      <c r="F17" s="160"/>
      <c r="G17" s="163"/>
    </row>
    <row r="18" spans="1:24" s="86" customFormat="1" ht="15.75" customHeight="1" x14ac:dyDescent="0.25">
      <c r="A18" s="339" t="s">
        <v>3004</v>
      </c>
      <c r="B18" s="348" t="s">
        <v>16</v>
      </c>
      <c r="C18" s="348" t="s">
        <v>2949</v>
      </c>
      <c r="D18" s="348" t="s">
        <v>2950</v>
      </c>
      <c r="E18" s="348" t="s">
        <v>2951</v>
      </c>
      <c r="F18" s="345" t="s">
        <v>2952</v>
      </c>
      <c r="G18" s="345" t="s">
        <v>2964</v>
      </c>
      <c r="H18" s="345" t="s">
        <v>2953</v>
      </c>
      <c r="I18" s="345" t="s">
        <v>2954</v>
      </c>
      <c r="J18" s="345" t="s">
        <v>2956</v>
      </c>
      <c r="K18" s="345" t="s">
        <v>2955</v>
      </c>
      <c r="L18" s="345" t="s">
        <v>2957</v>
      </c>
      <c r="M18" s="345" t="s">
        <v>2963</v>
      </c>
      <c r="N18" s="345" t="s">
        <v>2958</v>
      </c>
      <c r="O18" s="169" t="s">
        <v>2959</v>
      </c>
      <c r="P18" s="137" t="s">
        <v>2972</v>
      </c>
      <c r="Q18" s="137" t="s">
        <v>2973</v>
      </c>
      <c r="T18" s="82" t="s">
        <v>2968</v>
      </c>
      <c r="U18" t="s">
        <v>2974</v>
      </c>
      <c r="V18" t="s">
        <v>2975</v>
      </c>
      <c r="X18"/>
    </row>
    <row r="19" spans="1:24" s="86" customFormat="1" ht="15.75" x14ac:dyDescent="0.25">
      <c r="A19" s="339"/>
      <c r="B19" s="344"/>
      <c r="C19" s="344"/>
      <c r="D19" s="344"/>
      <c r="E19" s="344"/>
      <c r="F19" s="343"/>
      <c r="G19" s="343"/>
      <c r="H19" s="343"/>
      <c r="I19" s="343"/>
      <c r="J19" s="343"/>
      <c r="K19" s="343"/>
      <c r="L19" s="343"/>
      <c r="M19" s="343"/>
      <c r="N19" s="343"/>
      <c r="O19" s="137">
        <f>COUNT(O20:O27)</f>
        <v>8</v>
      </c>
      <c r="P19" s="137">
        <f>SUM(P20:P27)</f>
        <v>4</v>
      </c>
      <c r="Q19" s="137">
        <f>SUM(Q20:Q27)</f>
        <v>3</v>
      </c>
      <c r="T19" s="12" t="s">
        <v>1404</v>
      </c>
      <c r="U19" s="98">
        <v>-1.26E-2</v>
      </c>
      <c r="V19" s="379">
        <v>0.24941387738813789</v>
      </c>
      <c r="X19"/>
    </row>
    <row r="20" spans="1:24" ht="15.75" customHeight="1" x14ac:dyDescent="0.2">
      <c r="A20" s="355" t="s">
        <v>3005</v>
      </c>
      <c r="B20" s="222" t="s">
        <v>778</v>
      </c>
      <c r="C20" s="223" cm="1">
        <f t="array" ref="C20:M20">tinh_du_lieu_cp(B20)</f>
        <v>51.1</v>
      </c>
      <c r="D20" s="224">
        <v>33.799999999999997</v>
      </c>
      <c r="E20" s="225">
        <v>-2E-3</v>
      </c>
      <c r="F20" s="226">
        <v>0.99946236559139789</v>
      </c>
      <c r="G20" s="226">
        <v>1.0035156423835163</v>
      </c>
      <c r="H20" s="226">
        <v>2.7442489851150205</v>
      </c>
      <c r="I20" s="227">
        <v>8.4607543323139772E-2</v>
      </c>
      <c r="J20" s="222">
        <v>49.05</v>
      </c>
      <c r="K20" s="222">
        <v>53.2</v>
      </c>
      <c r="L20" s="225">
        <v>4.1794087665647385E-2</v>
      </c>
      <c r="M20" s="225">
        <v>-3.9473684210526341E-2</v>
      </c>
      <c r="N20" s="228"/>
      <c r="O20" s="222">
        <f t="shared" ref="O20:O27" si="0">IF(E20&gt;0,1,IF(E20=0,0,-1))</f>
        <v>-1</v>
      </c>
      <c r="P20" s="222">
        <f>IF(O20=1,1,0)</f>
        <v>0</v>
      </c>
      <c r="Q20" s="222">
        <f>IF(O20&lt;0,1,0)</f>
        <v>1</v>
      </c>
      <c r="T20" s="12" t="s">
        <v>782</v>
      </c>
      <c r="U20" s="98">
        <v>-7.9000000000000008E-3</v>
      </c>
      <c r="V20" s="379">
        <v>3.1345410136372891</v>
      </c>
    </row>
    <row r="21" spans="1:24" ht="15.75" customHeight="1" x14ac:dyDescent="0.2">
      <c r="A21" s="355"/>
      <c r="B21" s="222" t="s">
        <v>782</v>
      </c>
      <c r="C21" s="223">
        <f t="array" ref="C21:M21">tinh_du_lieu_cp(B21)</f>
        <v>12.6</v>
      </c>
      <c r="D21" s="224">
        <v>119.3</v>
      </c>
      <c r="E21" s="225">
        <v>-7.9000000000000008E-3</v>
      </c>
      <c r="F21" s="226">
        <v>4.8549759526452094</v>
      </c>
      <c r="G21" s="226">
        <v>1.019077223136466</v>
      </c>
      <c r="H21" s="226">
        <v>4.1761960326721121</v>
      </c>
      <c r="I21" s="225">
        <v>0.24999999999999994</v>
      </c>
      <c r="J21" s="222">
        <v>10.4</v>
      </c>
      <c r="K21" s="222">
        <v>13</v>
      </c>
      <c r="L21" s="225">
        <v>0.21153846153846145</v>
      </c>
      <c r="M21" s="225">
        <v>-3.0769230769230795E-2</v>
      </c>
      <c r="N21" s="228"/>
      <c r="O21" s="222">
        <f t="shared" si="0"/>
        <v>-1</v>
      </c>
      <c r="P21" s="222">
        <f t="shared" ref="P21:P27" si="1">IF(O21=1,1,0)</f>
        <v>0</v>
      </c>
      <c r="Q21" s="222">
        <f t="shared" ref="Q21:Q27" si="2">IF(O21&lt;0,1,0)</f>
        <v>1</v>
      </c>
      <c r="T21" s="12" t="s">
        <v>778</v>
      </c>
      <c r="U21" s="98">
        <v>-5.8999999999999999E-3</v>
      </c>
      <c r="V21" s="379">
        <v>0.32954230235783633</v>
      </c>
    </row>
    <row r="22" spans="1:24" ht="15.75" customHeight="1" x14ac:dyDescent="0.2">
      <c r="A22" s="355"/>
      <c r="B22" s="222" t="s">
        <v>792</v>
      </c>
      <c r="C22" s="223">
        <f t="array" ref="C22:M22">tinh_du_lieu_cp(B22)</f>
        <v>38.5</v>
      </c>
      <c r="D22" s="224">
        <v>460.6</v>
      </c>
      <c r="E22" s="225">
        <v>1.8500000000000003E-2</v>
      </c>
      <c r="F22" s="226">
        <v>0.79878918782566188</v>
      </c>
      <c r="G22" s="226">
        <v>1.0076403056122245</v>
      </c>
      <c r="H22" s="226">
        <v>0.52434257959245623</v>
      </c>
      <c r="I22" s="225">
        <v>8.3333333333333329E-2</v>
      </c>
      <c r="J22" s="222">
        <v>36</v>
      </c>
      <c r="K22" s="222">
        <v>39</v>
      </c>
      <c r="L22" s="225">
        <v>6.9444444444444448E-2</v>
      </c>
      <c r="M22" s="225">
        <v>-1.282051282051282E-2</v>
      </c>
      <c r="N22" s="228"/>
      <c r="O22" s="222">
        <f t="shared" si="0"/>
        <v>1</v>
      </c>
      <c r="P22" s="222">
        <f t="shared" si="1"/>
        <v>1</v>
      </c>
      <c r="Q22" s="222">
        <f t="shared" si="2"/>
        <v>0</v>
      </c>
      <c r="T22" s="12" t="s">
        <v>826</v>
      </c>
      <c r="U22" s="98">
        <v>0</v>
      </c>
      <c r="V22" s="379">
        <v>0.3686327077747989</v>
      </c>
    </row>
    <row r="23" spans="1:24" ht="15.75" customHeight="1" x14ac:dyDescent="0.2">
      <c r="A23" s="355"/>
      <c r="B23" s="222" t="s">
        <v>826</v>
      </c>
      <c r="C23" s="223">
        <f t="array" ref="C23:M23">tinh_du_lieu_cp(B23)</f>
        <v>93</v>
      </c>
      <c r="D23" s="224">
        <v>4.5</v>
      </c>
      <c r="E23" s="225">
        <v>5.4000000000000003E-3</v>
      </c>
      <c r="F23" s="226">
        <v>0.65476190476190477</v>
      </c>
      <c r="G23" s="226">
        <v>0.9936529525104838</v>
      </c>
      <c r="H23" s="226">
        <v>0.76704545454545447</v>
      </c>
      <c r="I23" s="225">
        <v>5.081081081081084E-2</v>
      </c>
      <c r="J23" s="222">
        <v>92.5</v>
      </c>
      <c r="K23" s="222">
        <v>97.2</v>
      </c>
      <c r="L23" s="225">
        <v>5.4054054054054057E-3</v>
      </c>
      <c r="M23" s="225">
        <v>-4.3209876543209902E-2</v>
      </c>
      <c r="N23" s="228"/>
      <c r="O23" s="222">
        <f t="shared" si="0"/>
        <v>1</v>
      </c>
      <c r="P23" s="222">
        <f t="shared" si="1"/>
        <v>1</v>
      </c>
      <c r="Q23" s="222">
        <f t="shared" si="2"/>
        <v>0</v>
      </c>
      <c r="T23" s="12" t="s">
        <v>1432</v>
      </c>
      <c r="U23" s="98">
        <v>0</v>
      </c>
      <c r="V23" s="379">
        <v>0.22435072670955444</v>
      </c>
    </row>
    <row r="24" spans="1:24" ht="15.75" customHeight="1" x14ac:dyDescent="0.2">
      <c r="A24" s="355"/>
      <c r="B24" s="222" t="s">
        <v>1404</v>
      </c>
      <c r="C24" s="223">
        <f t="array" ref="C24:M24">tinh_du_lieu_cp(B24)</f>
        <v>39</v>
      </c>
      <c r="D24" s="224">
        <v>8.9</v>
      </c>
      <c r="E24" s="225">
        <v>-1.52E-2</v>
      </c>
      <c r="F24" s="226">
        <v>0.86287056500835113</v>
      </c>
      <c r="G24" s="226">
        <v>0.95490674758380378</v>
      </c>
      <c r="H24" s="226">
        <v>1.4385775862068966</v>
      </c>
      <c r="I24" s="225">
        <v>0.41997435897435892</v>
      </c>
      <c r="J24" s="222">
        <v>39</v>
      </c>
      <c r="K24" s="222">
        <v>55.378999999999998</v>
      </c>
      <c r="L24" s="225">
        <v>0</v>
      </c>
      <c r="M24" s="225">
        <v>-0.29576193141804652</v>
      </c>
      <c r="N24" s="228"/>
      <c r="O24" s="222">
        <f t="shared" si="0"/>
        <v>-1</v>
      </c>
      <c r="P24" s="222">
        <f t="shared" si="1"/>
        <v>0</v>
      </c>
      <c r="Q24" s="222">
        <f t="shared" si="2"/>
        <v>1</v>
      </c>
      <c r="T24" s="12" t="s">
        <v>792</v>
      </c>
      <c r="U24" s="98">
        <v>1.2999999999999999E-3</v>
      </c>
      <c r="V24" s="379">
        <v>0.51647895199297067</v>
      </c>
    </row>
    <row r="25" spans="1:24" ht="15.75" customHeight="1" x14ac:dyDescent="0.2">
      <c r="A25" s="355"/>
      <c r="B25" s="222" t="s">
        <v>1432</v>
      </c>
      <c r="C25" s="223">
        <f t="array" ref="C25:M25">tinh_du_lieu_cp(B25)</f>
        <v>3.25</v>
      </c>
      <c r="D25" s="224">
        <v>46.6</v>
      </c>
      <c r="E25" s="225">
        <v>0</v>
      </c>
      <c r="F25" s="226">
        <v>0.48274238357583465</v>
      </c>
      <c r="G25" s="226">
        <v>0.93635077793493648</v>
      </c>
      <c r="H25" s="226">
        <v>0.5017046474071416</v>
      </c>
      <c r="I25" s="225">
        <v>0.32307692307692304</v>
      </c>
      <c r="J25" s="222">
        <v>3.25</v>
      </c>
      <c r="K25" s="222">
        <v>4.3</v>
      </c>
      <c r="L25" s="225">
        <v>0</v>
      </c>
      <c r="M25" s="225">
        <v>-0.24418604651162787</v>
      </c>
      <c r="N25" s="228"/>
      <c r="O25" s="222">
        <f t="shared" si="0"/>
        <v>0</v>
      </c>
      <c r="P25" s="222">
        <f t="shared" si="1"/>
        <v>0</v>
      </c>
      <c r="Q25" s="222">
        <f t="shared" si="2"/>
        <v>0</v>
      </c>
      <c r="T25" s="12" t="s">
        <v>2494</v>
      </c>
      <c r="U25" s="98">
        <v>3.7000000000000002E-3</v>
      </c>
      <c r="V25" s="379">
        <v>0.14523023645906608</v>
      </c>
    </row>
    <row r="26" spans="1:24" ht="15.75" customHeight="1" x14ac:dyDescent="0.2">
      <c r="A26" s="355"/>
      <c r="B26" s="222" t="s">
        <v>1814</v>
      </c>
      <c r="C26" s="223">
        <f t="array" ref="C26:M26">tinh_du_lieu_cp(B26)</f>
        <v>20</v>
      </c>
      <c r="D26" s="224">
        <v>6.1</v>
      </c>
      <c r="E26" s="225">
        <v>3.0899999999999997E-2</v>
      </c>
      <c r="F26" s="226">
        <v>7.9323797139141741</v>
      </c>
      <c r="G26" s="226">
        <v>1.0013799675738564</v>
      </c>
      <c r="H26" s="226">
        <v>3.450876862153498</v>
      </c>
      <c r="I26" s="225">
        <v>0.10939190651374152</v>
      </c>
      <c r="J26" s="222">
        <v>18.484000000000002</v>
      </c>
      <c r="K26" s="222">
        <v>20.506</v>
      </c>
      <c r="L26" s="225">
        <v>8.2016879463319523E-2</v>
      </c>
      <c r="M26" s="225">
        <v>-2.4675704671803387E-2</v>
      </c>
      <c r="N26" s="228"/>
      <c r="O26" s="222">
        <f t="shared" si="0"/>
        <v>1</v>
      </c>
      <c r="P26" s="222">
        <f t="shared" si="1"/>
        <v>1</v>
      </c>
      <c r="Q26" s="222">
        <f t="shared" si="2"/>
        <v>0</v>
      </c>
      <c r="T26" s="12" t="s">
        <v>1814</v>
      </c>
      <c r="U26" s="98">
        <v>3.0899999999999997E-2</v>
      </c>
      <c r="V26" s="379">
        <v>7.9323797139141741</v>
      </c>
    </row>
    <row r="27" spans="1:24" ht="15.75" customHeight="1" x14ac:dyDescent="0.2">
      <c r="A27" s="355"/>
      <c r="B27" s="222" t="s">
        <v>2494</v>
      </c>
      <c r="C27" s="223">
        <f t="array" ref="C27:M27">tinh_du_lieu_cp(B27)</f>
        <v>8.27</v>
      </c>
      <c r="D27" s="224">
        <v>36.1</v>
      </c>
      <c r="E27" s="225">
        <v>1.3500000000000002E-2</v>
      </c>
      <c r="F27" s="226">
        <v>0.21419132123304296</v>
      </c>
      <c r="G27" s="226">
        <v>0.96473744048887944</v>
      </c>
      <c r="H27" s="226">
        <v>0.40937440937440939</v>
      </c>
      <c r="I27" s="225">
        <v>0.29213483146067415</v>
      </c>
      <c r="J27" s="222">
        <v>8.01</v>
      </c>
      <c r="K27" s="222">
        <v>10.35</v>
      </c>
      <c r="L27" s="225">
        <v>3.2459425717852659E-2</v>
      </c>
      <c r="M27" s="225">
        <v>-0.20096618357487925</v>
      </c>
      <c r="N27" s="228"/>
      <c r="O27" s="222">
        <f t="shared" si="0"/>
        <v>1</v>
      </c>
      <c r="P27" s="222">
        <f t="shared" si="1"/>
        <v>1</v>
      </c>
      <c r="Q27" s="222">
        <f t="shared" si="2"/>
        <v>0</v>
      </c>
      <c r="T27" s="12" t="s">
        <v>2969</v>
      </c>
      <c r="U27" s="98">
        <v>9.4999999999999946E-3</v>
      </c>
      <c r="V27" s="379">
        <v>12.900569530233827</v>
      </c>
    </row>
    <row r="28" spans="1:24" x14ac:dyDescent="0.2">
      <c r="A28" s="231"/>
      <c r="T28" s="231"/>
      <c r="U28" s="231"/>
      <c r="V28" s="241"/>
      <c r="W28" s="99"/>
    </row>
    <row r="29" spans="1:24" x14ac:dyDescent="0.2">
      <c r="A29" s="231"/>
      <c r="T29" s="231"/>
      <c r="U29" s="231"/>
      <c r="V29" s="241"/>
      <c r="W29" s="99"/>
    </row>
    <row r="30" spans="1:24" x14ac:dyDescent="0.2">
      <c r="A30" s="231"/>
      <c r="T30" s="231"/>
      <c r="U30" s="231"/>
      <c r="V30" s="241"/>
      <c r="W30" s="99"/>
    </row>
    <row r="31" spans="1:24" x14ac:dyDescent="0.2">
      <c r="A31" s="231"/>
      <c r="T31" s="231"/>
      <c r="U31" s="231"/>
      <c r="V31" s="241"/>
      <c r="W31" s="99"/>
    </row>
    <row r="32" spans="1:24" x14ac:dyDescent="0.2">
      <c r="A32" s="231"/>
      <c r="T32" s="231"/>
      <c r="U32" s="231"/>
      <c r="V32" s="241"/>
      <c r="W32" s="99"/>
    </row>
    <row r="33" spans="1:23" x14ac:dyDescent="0.2">
      <c r="A33" s="231"/>
      <c r="T33" s="231"/>
      <c r="U33" s="231"/>
      <c r="V33" s="241"/>
      <c r="W33" s="99"/>
    </row>
    <row r="34" spans="1:23" x14ac:dyDescent="0.2">
      <c r="A34" s="231"/>
      <c r="T34" s="231"/>
      <c r="U34" s="231"/>
      <c r="V34" s="241"/>
      <c r="W34" s="99"/>
    </row>
    <row r="35" spans="1:23" x14ac:dyDescent="0.2">
      <c r="A35" s="231"/>
      <c r="V35" s="98"/>
      <c r="W35" s="99"/>
    </row>
    <row r="36" spans="1:23" x14ac:dyDescent="0.2">
      <c r="A36" s="231"/>
      <c r="V36" s="98"/>
      <c r="W36" s="99"/>
    </row>
    <row r="37" spans="1:23" x14ac:dyDescent="0.2">
      <c r="A37" s="231"/>
      <c r="V37" s="98"/>
      <c r="W37" s="99"/>
    </row>
    <row r="38" spans="1:23" x14ac:dyDescent="0.2">
      <c r="A38" s="231"/>
    </row>
    <row r="39" spans="1:23" x14ac:dyDescent="0.2">
      <c r="A39" s="231"/>
    </row>
    <row r="40" spans="1:23" x14ac:dyDescent="0.2">
      <c r="A40" s="231"/>
    </row>
  </sheetData>
  <mergeCells count="19">
    <mergeCell ref="N18:N19"/>
    <mergeCell ref="I18:I19"/>
    <mergeCell ref="J18:J19"/>
    <mergeCell ref="K18:K19"/>
    <mergeCell ref="L18:L19"/>
    <mergeCell ref="A3:B3"/>
    <mergeCell ref="A1:F1"/>
    <mergeCell ref="A2:B2"/>
    <mergeCell ref="A20:A27"/>
    <mergeCell ref="M18:M19"/>
    <mergeCell ref="F14:G14"/>
    <mergeCell ref="G18:G19"/>
    <mergeCell ref="H18:H19"/>
    <mergeCell ref="A18:A19"/>
    <mergeCell ref="B18:B19"/>
    <mergeCell ref="C18:C19"/>
    <mergeCell ref="D18:D19"/>
    <mergeCell ref="E18:E19"/>
    <mergeCell ref="F18:F19"/>
  </mergeCells>
  <conditionalFormatting sqref="A14">
    <cfRule type="expression" dxfId="88" priority="234" stopIfTrue="1">
      <formula>A14="giảm"</formula>
    </cfRule>
    <cfRule type="expression" dxfId="87" priority="235" stopIfTrue="1">
      <formula>A14="tăng"</formula>
    </cfRule>
  </conditionalFormatting>
  <conditionalFormatting sqref="F21:F27">
    <cfRule type="colorScale" priority="50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1:I27">
    <cfRule type="colorScale" priority="41">
      <colorScale>
        <cfvo type="min"/>
        <cfvo type="percentile" val="50"/>
        <cfvo type="max"/>
        <color rgb="FFFF3829"/>
        <color rgb="FFFFC000"/>
        <color rgb="FF00A400"/>
      </colorScale>
    </cfRule>
  </conditionalFormatting>
  <conditionalFormatting sqref="L21:M27">
    <cfRule type="colorScale" priority="40">
      <colorScale>
        <cfvo type="min"/>
        <cfvo type="percentile" val="50"/>
        <cfvo type="max"/>
        <color rgb="FFFF3829"/>
        <color rgb="FFFFC000"/>
        <color rgb="FF00BC55"/>
      </colorScale>
    </cfRule>
  </conditionalFormatting>
  <conditionalFormatting sqref="I20:I27">
    <cfRule type="colorScale" priority="24">
      <colorScale>
        <cfvo type="min"/>
        <cfvo type="max"/>
        <color theme="0" tint="-4.9989318521683403E-2"/>
        <color rgb="FF00B050"/>
      </colorScale>
    </cfRule>
  </conditionalFormatting>
  <conditionalFormatting sqref="L20:L27">
    <cfRule type="colorScale" priority="23">
      <colorScale>
        <cfvo type="min"/>
        <cfvo type="max"/>
        <color theme="0" tint="-4.9989318521683403E-2"/>
        <color rgb="FF00B050"/>
      </colorScale>
    </cfRule>
  </conditionalFormatting>
  <conditionalFormatting sqref="M20:M27">
    <cfRule type="colorScale" priority="22">
      <colorScale>
        <cfvo type="min"/>
        <cfvo type="max"/>
        <color rgb="FFFF7C80"/>
        <color theme="0" tint="-4.9989318521683403E-2"/>
      </colorScale>
    </cfRule>
  </conditionalFormatting>
  <conditionalFormatting sqref="N20:N27">
    <cfRule type="colorScale" priority="21">
      <colorScale>
        <cfvo type="min"/>
        <cfvo type="max"/>
        <color theme="0" tint="-4.9989318521683403E-2"/>
        <color rgb="FFFF0000"/>
      </colorScale>
    </cfRule>
  </conditionalFormatting>
  <conditionalFormatting sqref="C20:C27">
    <cfRule type="expression" dxfId="86" priority="6" stopIfTrue="1">
      <formula>E20&gt;=6.8%</formula>
    </cfRule>
    <cfRule type="expression" dxfId="85" priority="7" stopIfTrue="1">
      <formula>AND(E20&gt;0%,E20&lt;6.8%)</formula>
    </cfRule>
    <cfRule type="expression" dxfId="84" priority="8" stopIfTrue="1">
      <formula>E20=0%</formula>
    </cfRule>
    <cfRule type="expression" dxfId="83" priority="9" stopIfTrue="1">
      <formula>AND(E20&gt;-6.8%, E20&lt;0%)</formula>
    </cfRule>
    <cfRule type="expression" dxfId="82" priority="10" stopIfTrue="1">
      <formula>E20&lt;=-6.8%</formula>
    </cfRule>
  </conditionalFormatting>
  <conditionalFormatting sqref="B20:B27">
    <cfRule type="expression" dxfId="81" priority="16" stopIfTrue="1">
      <formula>E20&gt;=6.8%</formula>
    </cfRule>
    <cfRule type="expression" dxfId="80" priority="17" stopIfTrue="1">
      <formula>AND(E20&gt;0%,E20&lt;6.8%)</formula>
    </cfRule>
    <cfRule type="expression" dxfId="79" priority="18" stopIfTrue="1">
      <formula>E20=0%</formula>
    </cfRule>
    <cfRule type="expression" dxfId="78" priority="19" stopIfTrue="1">
      <formula>AND(E20&gt;-6.8%, E20&lt;0%)</formula>
    </cfRule>
    <cfRule type="expression" dxfId="77" priority="20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ED1D08C-E811-4341-8AE6-F5B17C144450}">
          <x14:formula1>
            <xm:f>'Nơi chứ dữ liệu'!$I$2:$N$2</xm:f>
          </x14:formula1>
          <xm:sqref>N20</xm:sqref>
        </x14:dataValidation>
        <x14:dataValidation type="list" allowBlank="1" showInputMessage="1" showErrorMessage="1" xr:uid="{9E44A3C8-BE49-4A63-BE9E-6B4B7A21A8AD}">
          <x14:formula1>
            <xm:f>'Nơi chứ dữ liệu'!$I$2:$K$2</xm:f>
          </x14:formula1>
          <xm:sqref>N21:N27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F4296-B3FA-4F06-9F75-1DC7A96DCC16}">
  <sheetPr codeName="Sheet11">
    <tabColor rgb="FF663300"/>
  </sheetPr>
  <dimension ref="A1:X61"/>
  <sheetViews>
    <sheetView zoomScaleNormal="100" workbookViewId="0">
      <selection activeCell="T23" sqref="T23"/>
    </sheetView>
  </sheetViews>
  <sheetFormatPr defaultRowHeight="15" x14ac:dyDescent="0.2"/>
  <cols>
    <col min="1" max="1" width="8" customWidth="1"/>
    <col min="2" max="2" width="9.6640625" customWidth="1"/>
    <col min="3" max="3" width="11.4414062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  <col min="24" max="24" width="15.6640625" bestFit="1" customWidth="1"/>
  </cols>
  <sheetData>
    <row r="1" spans="1:11" ht="15.75" x14ac:dyDescent="0.25">
      <c r="A1" s="332" t="s">
        <v>3140</v>
      </c>
      <c r="B1" s="332"/>
      <c r="C1" s="332"/>
      <c r="D1" s="332"/>
      <c r="E1" s="332"/>
      <c r="F1" s="332"/>
      <c r="K1" s="150"/>
    </row>
    <row r="2" spans="1:11" ht="15.75" x14ac:dyDescent="0.25">
      <c r="A2" s="332" t="s">
        <v>3141</v>
      </c>
      <c r="B2" s="332"/>
      <c r="C2" s="242" t="s">
        <v>3015</v>
      </c>
      <c r="D2" s="242" t="s">
        <v>3142</v>
      </c>
      <c r="E2" s="242" t="s">
        <v>3143</v>
      </c>
      <c r="F2" s="242" t="s">
        <v>3144</v>
      </c>
    </row>
    <row r="3" spans="1:11" x14ac:dyDescent="0.2">
      <c r="A3" s="340">
        <v>45839</v>
      </c>
      <c r="B3" s="340"/>
      <c r="C3" t="s">
        <v>1205</v>
      </c>
    </row>
    <row r="12" spans="1:11" ht="18" customHeight="1" x14ac:dyDescent="0.2"/>
    <row r="13" spans="1:11" ht="14.25" customHeight="1" x14ac:dyDescent="0.2"/>
    <row r="14" spans="1:11" ht="15.75" x14ac:dyDescent="0.2">
      <c r="A14" s="155" t="str">
        <f>"Tổng điểm nhóm BĐS hôm nay"&amp;" "&amp;SUM($O$20:O41)&amp;" "&amp;"trên tổng"&amp;" "&amp;$O$19</f>
        <v>Tổng điểm nhóm BĐS hôm nay 3 trên tổng 42</v>
      </c>
      <c r="B14" s="158"/>
      <c r="C14" s="158"/>
      <c r="D14" s="158"/>
      <c r="E14" s="158"/>
      <c r="F14" s="346" t="s">
        <v>3013</v>
      </c>
      <c r="G14" s="346"/>
    </row>
    <row r="15" spans="1:11" ht="15.75" x14ac:dyDescent="0.2">
      <c r="A15" s="159" t="str">
        <f>"Tổng điểm tăng nhóm BĐS  hôm nay"&amp;" "&amp;$P$19</f>
        <v>Tổng điểm tăng nhóm BĐS  hôm nay 21</v>
      </c>
      <c r="B15" s="160"/>
      <c r="C15" s="160"/>
      <c r="D15" s="160"/>
      <c r="E15" s="160"/>
      <c r="F15" s="156" t="s">
        <v>3014</v>
      </c>
      <c r="G15" s="156" t="s">
        <v>3008</v>
      </c>
    </row>
    <row r="16" spans="1:11" ht="15.75" x14ac:dyDescent="0.2">
      <c r="A16" s="159" t="str">
        <f>"Tổng điểm giảm nhóm BĐS hôm nay"&amp;" "&amp;$Q$19</f>
        <v>Tổng điểm giảm nhóm BĐS hôm nay 12</v>
      </c>
      <c r="B16" s="160"/>
      <c r="C16" s="160"/>
      <c r="D16" s="160"/>
      <c r="E16" s="160"/>
      <c r="F16" s="164">
        <f>AVERAGE(E20:E61)</f>
        <v>2.9619047619047611E-3</v>
      </c>
      <c r="G16" s="162">
        <f>AVERAGE(F20:F61)</f>
        <v>0.97276475009240704</v>
      </c>
    </row>
    <row r="17" spans="1:24" ht="15.75" x14ac:dyDescent="0.2">
      <c r="A17" s="159" t="str">
        <f>"Tổng điểm tham chiếu nhóm BĐS hôm nay"&amp;" "&amp;(O19-(P19+Q19))</f>
        <v>Tổng điểm tham chiếu nhóm BĐS hôm nay 9</v>
      </c>
      <c r="B17" s="160"/>
      <c r="C17" s="160"/>
      <c r="D17" s="160"/>
      <c r="E17" s="160"/>
      <c r="F17" s="160"/>
      <c r="G17" s="163"/>
    </row>
    <row r="18" spans="1:24" s="86" customFormat="1" ht="15.75" customHeight="1" x14ac:dyDescent="0.25">
      <c r="A18" s="348" t="s">
        <v>127</v>
      </c>
      <c r="B18" s="348" t="s">
        <v>16</v>
      </c>
      <c r="C18" s="348" t="s">
        <v>2949</v>
      </c>
      <c r="D18" s="348" t="s">
        <v>2950</v>
      </c>
      <c r="E18" s="348" t="s">
        <v>2951</v>
      </c>
      <c r="F18" s="345" t="s">
        <v>2952</v>
      </c>
      <c r="G18" s="345" t="s">
        <v>2964</v>
      </c>
      <c r="H18" s="345" t="s">
        <v>2953</v>
      </c>
      <c r="I18" s="345" t="s">
        <v>2954</v>
      </c>
      <c r="J18" s="345" t="s">
        <v>2956</v>
      </c>
      <c r="K18" s="345" t="s">
        <v>2955</v>
      </c>
      <c r="L18" s="345" t="s">
        <v>2957</v>
      </c>
      <c r="M18" s="345" t="s">
        <v>2963</v>
      </c>
      <c r="N18" s="345" t="s">
        <v>2958</v>
      </c>
      <c r="O18" s="169" t="s">
        <v>2959</v>
      </c>
      <c r="P18" s="137" t="s">
        <v>2972</v>
      </c>
      <c r="Q18" s="137" t="s">
        <v>2973</v>
      </c>
      <c r="T18" s="82" t="s">
        <v>2968</v>
      </c>
      <c r="U18" t="s">
        <v>2974</v>
      </c>
      <c r="V18" t="s">
        <v>2975</v>
      </c>
      <c r="X18"/>
    </row>
    <row r="19" spans="1:24" s="86" customFormat="1" ht="15.75" x14ac:dyDescent="0.25">
      <c r="A19" s="344"/>
      <c r="B19" s="344"/>
      <c r="C19" s="344"/>
      <c r="D19" s="344"/>
      <c r="E19" s="344"/>
      <c r="F19" s="343"/>
      <c r="G19" s="343"/>
      <c r="H19" s="343"/>
      <c r="I19" s="343"/>
      <c r="J19" s="343"/>
      <c r="K19" s="343"/>
      <c r="L19" s="343"/>
      <c r="M19" s="343"/>
      <c r="N19" s="343"/>
      <c r="O19" s="137">
        <f>COUNT(O20:O61)</f>
        <v>42</v>
      </c>
      <c r="P19" s="137">
        <f>SUM(P20:P61)</f>
        <v>21</v>
      </c>
      <c r="Q19" s="137">
        <f>SUM(Q20:Q61)</f>
        <v>12</v>
      </c>
      <c r="T19" s="12" t="s">
        <v>2803</v>
      </c>
      <c r="U19" s="85">
        <v>-6.25E-2</v>
      </c>
      <c r="V19" s="379">
        <v>2.6379425517702071</v>
      </c>
      <c r="X19"/>
    </row>
    <row r="20" spans="1:24" ht="15.75" customHeight="1" x14ac:dyDescent="0.2">
      <c r="A20" s="347" t="s">
        <v>2976</v>
      </c>
      <c r="B20" s="222" t="s">
        <v>121</v>
      </c>
      <c r="C20" s="223" cm="1">
        <f t="array" ref="C20:M20">tinh_du_lieu_cp(B20)</f>
        <v>11.45</v>
      </c>
      <c r="D20" s="224">
        <v>112.6</v>
      </c>
      <c r="E20" s="225">
        <v>-4.3E-3</v>
      </c>
      <c r="F20" s="226">
        <v>0.45341728593915875</v>
      </c>
      <c r="G20" s="226">
        <v>0.98137046348224066</v>
      </c>
      <c r="H20" s="226">
        <v>0.78695398951659867</v>
      </c>
      <c r="I20" s="227">
        <v>0.12663755458515294</v>
      </c>
      <c r="J20" s="222">
        <v>11.45</v>
      </c>
      <c r="K20" s="222">
        <v>12.9</v>
      </c>
      <c r="L20" s="225">
        <v>0</v>
      </c>
      <c r="M20" s="225">
        <v>-0.11240310077519387</v>
      </c>
      <c r="N20" s="228"/>
      <c r="O20" s="222">
        <f t="shared" ref="O20:O26" si="0">IF(E20&gt;0,1,IF(E20=0,0,-1))</f>
        <v>-1</v>
      </c>
      <c r="P20" s="222">
        <f t="shared" ref="P20:P41" si="1">IF(O20=1,1,0)</f>
        <v>0</v>
      </c>
      <c r="Q20" s="222">
        <f t="shared" ref="Q20:Q28" si="2">IF(O20&lt;0,1,0)</f>
        <v>1</v>
      </c>
      <c r="T20" s="12" t="s">
        <v>1795</v>
      </c>
      <c r="U20" s="85">
        <v>-5.9000000000000004E-2</v>
      </c>
      <c r="V20" s="379">
        <v>0.27848101265822789</v>
      </c>
    </row>
    <row r="21" spans="1:24" ht="15.75" customHeight="1" x14ac:dyDescent="0.2">
      <c r="A21" s="347"/>
      <c r="B21" s="222" t="s">
        <v>368</v>
      </c>
      <c r="C21" s="223" cm="1">
        <f t="array" ref="C21:M21">tinh_du_lieu_cp(B21)</f>
        <v>47.05</v>
      </c>
      <c r="D21" s="224">
        <v>314.5</v>
      </c>
      <c r="E21" s="225">
        <v>2.2799999999999997E-2</v>
      </c>
      <c r="F21" s="226">
        <v>1.0460984865665774</v>
      </c>
      <c r="G21" s="226">
        <v>0.94620016702562537</v>
      </c>
      <c r="H21" s="226">
        <v>1.0396121425816758</v>
      </c>
      <c r="I21" s="225">
        <v>0.24565217391304342</v>
      </c>
      <c r="J21" s="222">
        <v>46</v>
      </c>
      <c r="K21" s="222">
        <v>57.3</v>
      </c>
      <c r="L21" s="225">
        <v>2.2826086956521677E-2</v>
      </c>
      <c r="M21" s="225">
        <v>-0.17888307155322863</v>
      </c>
      <c r="N21" s="228"/>
      <c r="O21" s="222">
        <f t="shared" si="0"/>
        <v>1</v>
      </c>
      <c r="P21" s="222">
        <f t="shared" si="1"/>
        <v>1</v>
      </c>
      <c r="Q21" s="222">
        <f t="shared" si="2"/>
        <v>0</v>
      </c>
      <c r="T21" s="12" t="s">
        <v>2207</v>
      </c>
      <c r="U21" s="85">
        <v>-2.3199999999999998E-2</v>
      </c>
      <c r="V21" s="379">
        <v>0.31561574269995768</v>
      </c>
    </row>
    <row r="22" spans="1:24" ht="15.75" customHeight="1" x14ac:dyDescent="0.2">
      <c r="A22" s="347"/>
      <c r="B22" s="222" t="s">
        <v>581</v>
      </c>
      <c r="C22" s="223" cm="1">
        <f t="array" ref="C22:M22">tinh_du_lieu_cp(B22)</f>
        <v>4.18</v>
      </c>
      <c r="D22" s="224">
        <v>20</v>
      </c>
      <c r="E22" s="225">
        <v>1.46E-2</v>
      </c>
      <c r="F22" s="226">
        <v>0.29839935871265094</v>
      </c>
      <c r="G22" s="226">
        <v>1.0191405801768594</v>
      </c>
      <c r="H22" s="226">
        <v>0.81967213114754101</v>
      </c>
      <c r="I22" s="225">
        <v>0.18205461638491541</v>
      </c>
      <c r="J22" s="222">
        <v>3.8450000000000002</v>
      </c>
      <c r="K22" s="222">
        <v>4.5449999999999999</v>
      </c>
      <c r="L22" s="225">
        <v>8.7126137841352272E-2</v>
      </c>
      <c r="M22" s="225">
        <v>-8.0308030803080355E-2</v>
      </c>
      <c r="N22" s="228"/>
      <c r="O22" s="222">
        <f t="shared" si="0"/>
        <v>1</v>
      </c>
      <c r="P22" s="222">
        <f t="shared" si="1"/>
        <v>1</v>
      </c>
      <c r="Q22" s="222">
        <f t="shared" si="2"/>
        <v>0</v>
      </c>
      <c r="T22" s="12" t="s">
        <v>648</v>
      </c>
      <c r="U22" s="85">
        <v>-1.9599999999999999E-2</v>
      </c>
      <c r="V22" s="379">
        <v>4.5418052528959738E-2</v>
      </c>
    </row>
    <row r="23" spans="1:24" ht="15.75" customHeight="1" x14ac:dyDescent="0.2">
      <c r="A23" s="347"/>
      <c r="B23" s="222" t="s">
        <v>648</v>
      </c>
      <c r="C23" s="223" cm="1">
        <f t="array" ref="C23:M23">tinh_du_lieu_cp(B23)</f>
        <v>6.6</v>
      </c>
      <c r="D23" s="224">
        <v>10.3</v>
      </c>
      <c r="E23" s="225">
        <v>-4.5000000000000005E-3</v>
      </c>
      <c r="F23" s="226">
        <v>0.25738300772376194</v>
      </c>
      <c r="G23" s="226">
        <v>0.96872063364209948</v>
      </c>
      <c r="H23" s="226">
        <v>0.40927152317880794</v>
      </c>
      <c r="I23" s="225">
        <v>0.37637795275590563</v>
      </c>
      <c r="J23" s="222">
        <v>6.35</v>
      </c>
      <c r="K23" s="222">
        <v>8.74</v>
      </c>
      <c r="L23" s="225">
        <v>3.937007874015748E-2</v>
      </c>
      <c r="M23" s="225">
        <v>-0.24485125858123577</v>
      </c>
      <c r="N23" s="228"/>
      <c r="O23" s="222">
        <f t="shared" si="0"/>
        <v>-1</v>
      </c>
      <c r="P23" s="222">
        <f t="shared" si="1"/>
        <v>0</v>
      </c>
      <c r="Q23" s="222">
        <f t="shared" si="2"/>
        <v>1</v>
      </c>
      <c r="T23" s="12" t="s">
        <v>2247</v>
      </c>
      <c r="U23" s="85">
        <v>-1.78E-2</v>
      </c>
      <c r="V23" s="379">
        <v>0.16811003565970456</v>
      </c>
    </row>
    <row r="24" spans="1:24" ht="15.75" customHeight="1" x14ac:dyDescent="0.2">
      <c r="A24" s="347"/>
      <c r="B24" s="222" t="s">
        <v>717</v>
      </c>
      <c r="C24" s="223" cm="1">
        <f t="array" ref="C24:M24">tinh_du_lieu_cp(B24)</f>
        <v>6.9</v>
      </c>
      <c r="D24" s="224">
        <v>171</v>
      </c>
      <c r="E24" s="225">
        <v>2.6800000000000001E-2</v>
      </c>
      <c r="F24" s="226">
        <v>1.1435693224306167</v>
      </c>
      <c r="G24" s="226">
        <v>0.96043370743770229</v>
      </c>
      <c r="H24" s="226">
        <v>0.90039491004826688</v>
      </c>
      <c r="I24" s="225">
        <v>0.18750000000000011</v>
      </c>
      <c r="J24" s="222">
        <v>6.72</v>
      </c>
      <c r="K24" s="222">
        <v>7.98</v>
      </c>
      <c r="L24" s="225">
        <v>2.6785714285714378E-2</v>
      </c>
      <c r="M24" s="225">
        <v>-0.13533834586466165</v>
      </c>
      <c r="N24" s="228"/>
      <c r="O24" s="222">
        <f t="shared" si="0"/>
        <v>1</v>
      </c>
      <c r="P24" s="222">
        <f t="shared" si="1"/>
        <v>1</v>
      </c>
      <c r="Q24" s="222">
        <f t="shared" si="2"/>
        <v>0</v>
      </c>
      <c r="T24" s="12" t="s">
        <v>1025</v>
      </c>
      <c r="U24" s="85">
        <v>-1.6200000000000003E-2</v>
      </c>
      <c r="V24" s="379">
        <v>0.30757400999615531</v>
      </c>
    </row>
    <row r="25" spans="1:24" ht="15.75" customHeight="1" x14ac:dyDescent="0.2">
      <c r="A25" s="347"/>
      <c r="B25" s="222" t="s">
        <v>759</v>
      </c>
      <c r="C25" s="223" cm="1">
        <f t="array" ref="C25:M25">tinh_du_lieu_cp(B25)</f>
        <v>29.4</v>
      </c>
      <c r="D25" s="224">
        <v>26.4</v>
      </c>
      <c r="E25" s="225">
        <v>1.55E-2</v>
      </c>
      <c r="F25" s="226">
        <v>0.67898059387421084</v>
      </c>
      <c r="G25" s="226">
        <v>0.9676675497988424</v>
      </c>
      <c r="H25" s="226">
        <v>0.73333333333333328</v>
      </c>
      <c r="I25" s="225">
        <v>0.25734024179620035</v>
      </c>
      <c r="J25" s="222">
        <v>28.95</v>
      </c>
      <c r="K25" s="222">
        <v>36.4</v>
      </c>
      <c r="L25" s="225">
        <v>1.5544041450777177E-2</v>
      </c>
      <c r="M25" s="225">
        <v>-0.19230769230769232</v>
      </c>
      <c r="N25" s="228"/>
      <c r="O25" s="222">
        <f t="shared" si="0"/>
        <v>1</v>
      </c>
      <c r="P25" s="222">
        <f t="shared" si="1"/>
        <v>1</v>
      </c>
      <c r="Q25" s="222">
        <f t="shared" si="2"/>
        <v>0</v>
      </c>
      <c r="T25" s="12" t="s">
        <v>838</v>
      </c>
      <c r="U25" s="85">
        <v>-1.5800000000000002E-2</v>
      </c>
      <c r="V25" s="379">
        <v>0.48547073057029327</v>
      </c>
    </row>
    <row r="26" spans="1:24" ht="15.75" customHeight="1" x14ac:dyDescent="0.2">
      <c r="A26" s="347"/>
      <c r="B26" s="222" t="s">
        <v>838</v>
      </c>
      <c r="C26" s="223" cm="1">
        <f t="array" ref="C26:M26">tinh_du_lieu_cp(B26)</f>
        <v>12.6</v>
      </c>
      <c r="D26" s="224">
        <v>6116.4</v>
      </c>
      <c r="E26" s="225">
        <v>-4.0000000000000001E-3</v>
      </c>
      <c r="F26" s="226">
        <v>1.3059983752762465</v>
      </c>
      <c r="G26" s="226">
        <v>0.9822495924651331</v>
      </c>
      <c r="H26" s="226">
        <v>0.84867489940335783</v>
      </c>
      <c r="I26" s="225">
        <v>0.25630252100840328</v>
      </c>
      <c r="J26" s="222">
        <v>11.9</v>
      </c>
      <c r="K26" s="222">
        <v>14.95</v>
      </c>
      <c r="L26" s="225">
        <v>5.8823529411764643E-2</v>
      </c>
      <c r="M26" s="225">
        <v>-0.157190635451505</v>
      </c>
      <c r="N26" s="228"/>
      <c r="O26" s="222">
        <f t="shared" si="0"/>
        <v>-1</v>
      </c>
      <c r="P26" s="222">
        <f t="shared" si="1"/>
        <v>0</v>
      </c>
      <c r="Q26" s="222">
        <f t="shared" si="2"/>
        <v>1</v>
      </c>
      <c r="T26" s="12" t="s">
        <v>1442</v>
      </c>
      <c r="U26" s="85">
        <v>-1.52E-2</v>
      </c>
      <c r="V26" s="379">
        <v>0.40891074009820011</v>
      </c>
    </row>
    <row r="27" spans="1:24" ht="15.75" customHeight="1" x14ac:dyDescent="0.2">
      <c r="A27" s="347"/>
      <c r="B27" s="222" t="s">
        <v>961</v>
      </c>
      <c r="C27" s="223" cm="1">
        <f t="array" ref="C27:M27">tinh_du_lieu_cp(B27)</f>
        <v>12.3</v>
      </c>
      <c r="D27" s="224">
        <v>10039.200000000001</v>
      </c>
      <c r="E27" s="225">
        <v>1.6500000000000001E-2</v>
      </c>
      <c r="F27" s="226">
        <v>1.1624257307713159</v>
      </c>
      <c r="G27" s="226">
        <v>0.9633726201269267</v>
      </c>
      <c r="H27" s="226">
        <v>1.2927367899199702</v>
      </c>
      <c r="I27" s="225">
        <v>0.19411764705882356</v>
      </c>
      <c r="J27" s="222">
        <v>11.9</v>
      </c>
      <c r="K27" s="222">
        <v>14.21</v>
      </c>
      <c r="L27" s="225">
        <v>3.3613445378151287E-2</v>
      </c>
      <c r="M27" s="225">
        <v>-0.13441238564391275</v>
      </c>
      <c r="N27" s="228"/>
      <c r="O27" s="222">
        <f t="shared" ref="O27:O37" si="3">IF(E27&gt;0,1,IF(E27=0,0,-1))</f>
        <v>1</v>
      </c>
      <c r="P27" s="222">
        <f t="shared" si="1"/>
        <v>1</v>
      </c>
      <c r="Q27" s="222">
        <f t="shared" si="2"/>
        <v>0</v>
      </c>
      <c r="T27" s="12" t="s">
        <v>1850</v>
      </c>
      <c r="U27" s="98">
        <v>-1.4499999999999999E-2</v>
      </c>
      <c r="V27" s="99">
        <v>0.47150865530168412</v>
      </c>
    </row>
    <row r="28" spans="1:24" ht="15.75" customHeight="1" x14ac:dyDescent="0.2">
      <c r="A28" s="347"/>
      <c r="B28" s="222" t="s">
        <v>1025</v>
      </c>
      <c r="C28" s="223" cm="1">
        <f t="array" ref="C28:M28">tinh_du_lieu_cp(B28)</f>
        <v>4.8099999999999996</v>
      </c>
      <c r="D28" s="224">
        <v>65.900000000000006</v>
      </c>
      <c r="E28" s="225">
        <v>-2.8300000000000002E-2</v>
      </c>
      <c r="F28" s="226">
        <v>0.50218219605126424</v>
      </c>
      <c r="G28" s="226">
        <v>0.98988180515759283</v>
      </c>
      <c r="H28" s="226">
        <v>0.45162764134780131</v>
      </c>
      <c r="I28" s="227">
        <v>0.22661122661122679</v>
      </c>
      <c r="J28" s="222">
        <v>4.8099999999999996</v>
      </c>
      <c r="K28" s="222">
        <v>5.9</v>
      </c>
      <c r="L28" s="225">
        <v>0</v>
      </c>
      <c r="M28" s="225">
        <v>-0.18474576271186452</v>
      </c>
      <c r="N28" s="228"/>
      <c r="O28" s="222">
        <f t="shared" si="3"/>
        <v>-1</v>
      </c>
      <c r="P28" s="222">
        <f t="shared" si="1"/>
        <v>0</v>
      </c>
      <c r="Q28" s="222">
        <f t="shared" si="2"/>
        <v>1</v>
      </c>
      <c r="T28" s="12" t="s">
        <v>1205</v>
      </c>
      <c r="U28" s="98">
        <v>-1.3899999999999999E-2</v>
      </c>
      <c r="V28" s="99">
        <v>0.36612619276407027</v>
      </c>
    </row>
    <row r="29" spans="1:24" ht="15.75" customHeight="1" x14ac:dyDescent="0.2">
      <c r="A29" s="347"/>
      <c r="B29" s="222" t="s">
        <v>1171</v>
      </c>
      <c r="C29" s="223" cm="1">
        <f t="array" ref="C29:M29">tinh_du_lieu_cp(B29)</f>
        <v>3.2</v>
      </c>
      <c r="D29" s="224">
        <v>32.700000000000003</v>
      </c>
      <c r="E29" s="225">
        <v>3.0999999999999999E-3</v>
      </c>
      <c r="F29" s="226">
        <v>0.70737463126843658</v>
      </c>
      <c r="G29" s="226">
        <v>0.97901182629832206</v>
      </c>
      <c r="H29" s="226">
        <v>0.86393659180977544</v>
      </c>
      <c r="I29" s="225">
        <v>0.16242038216560503</v>
      </c>
      <c r="J29" s="222">
        <v>3.14</v>
      </c>
      <c r="K29" s="222">
        <v>3.65</v>
      </c>
      <c r="L29" s="225">
        <v>1.9108280254777087E-2</v>
      </c>
      <c r="M29" s="225">
        <v>-0.12328767123287664</v>
      </c>
      <c r="N29" s="228"/>
      <c r="O29" s="222">
        <f t="shared" si="3"/>
        <v>1</v>
      </c>
      <c r="P29" s="222">
        <f t="shared" si="1"/>
        <v>1</v>
      </c>
      <c r="Q29" s="222">
        <f t="shared" ref="Q29:Q41" si="4">IF(O29&lt;0,1,0)</f>
        <v>0</v>
      </c>
      <c r="T29" s="12" t="s">
        <v>1782</v>
      </c>
      <c r="U29" s="98">
        <v>-1.34E-2</v>
      </c>
      <c r="V29" s="99">
        <v>0.83483805439566638</v>
      </c>
    </row>
    <row r="30" spans="1:24" ht="15.75" customHeight="1" x14ac:dyDescent="0.2">
      <c r="A30" s="347"/>
      <c r="B30" s="222" t="s">
        <v>1205</v>
      </c>
      <c r="C30" s="223" cm="1">
        <f t="array" ref="C30:M30">tinh_du_lieu_cp(B30)</f>
        <v>14.35</v>
      </c>
      <c r="D30" s="224">
        <v>976.8</v>
      </c>
      <c r="E30" s="225">
        <v>0</v>
      </c>
      <c r="F30" s="226">
        <v>0.76656974557222823</v>
      </c>
      <c r="G30" s="226">
        <v>0.96262067118065364</v>
      </c>
      <c r="H30" s="226">
        <v>1.1105679040418395</v>
      </c>
      <c r="I30" s="225">
        <v>0.15742160278745659</v>
      </c>
      <c r="J30" s="222">
        <v>14.35</v>
      </c>
      <c r="K30" s="222">
        <v>16.609000000000002</v>
      </c>
      <c r="L30" s="225">
        <v>0</v>
      </c>
      <c r="M30" s="225">
        <v>-0.13601059666445914</v>
      </c>
      <c r="N30" s="228"/>
      <c r="O30" s="222">
        <f t="shared" si="3"/>
        <v>0</v>
      </c>
      <c r="P30" s="222">
        <f t="shared" si="1"/>
        <v>0</v>
      </c>
      <c r="Q30" s="222">
        <f t="shared" si="4"/>
        <v>0</v>
      </c>
      <c r="T30" s="12" t="s">
        <v>1470</v>
      </c>
      <c r="U30" s="85">
        <v>-1.3100000000000001E-2</v>
      </c>
      <c r="V30" s="379">
        <v>0.2926602265798004</v>
      </c>
    </row>
    <row r="31" spans="1:24" ht="15.75" customHeight="1" x14ac:dyDescent="0.2">
      <c r="A31" s="347"/>
      <c r="B31" s="222" t="s">
        <v>1207</v>
      </c>
      <c r="C31" s="223" cm="1">
        <f t="array" ref="C31:M31">tinh_du_lieu_cp(B31)</f>
        <v>19.149999999999999</v>
      </c>
      <c r="D31" s="224">
        <v>1249.9000000000001</v>
      </c>
      <c r="E31" s="225">
        <v>1.32E-2</v>
      </c>
      <c r="F31" s="226">
        <v>0.64258306342685412</v>
      </c>
      <c r="G31" s="226">
        <v>0.93289994769483675</v>
      </c>
      <c r="H31" s="226">
        <v>0.56819662691497586</v>
      </c>
      <c r="I31" s="225">
        <v>0.38317204301075258</v>
      </c>
      <c r="J31" s="222">
        <v>18.600000000000001</v>
      </c>
      <c r="K31" s="222">
        <v>25.727</v>
      </c>
      <c r="L31" s="225">
        <v>2.9569892473118125E-2</v>
      </c>
      <c r="M31" s="225">
        <v>-0.25564581956699195</v>
      </c>
      <c r="N31" s="228"/>
      <c r="O31" s="222">
        <f t="shared" si="3"/>
        <v>1</v>
      </c>
      <c r="P31" s="222">
        <f t="shared" si="1"/>
        <v>1</v>
      </c>
      <c r="Q31" s="222">
        <f t="shared" si="4"/>
        <v>0</v>
      </c>
      <c r="T31" s="12" t="s">
        <v>1741</v>
      </c>
      <c r="U31" s="85">
        <v>-1.18E-2</v>
      </c>
      <c r="V31" s="379">
        <v>0.21981790232943124</v>
      </c>
    </row>
    <row r="32" spans="1:24" ht="15.75" customHeight="1" x14ac:dyDescent="0.2">
      <c r="A32" s="347"/>
      <c r="B32" s="222" t="s">
        <v>1310</v>
      </c>
      <c r="C32" s="223" cm="1">
        <f t="array" ref="C32:M32">tinh_du_lieu_cp(B32)</f>
        <v>4.3</v>
      </c>
      <c r="D32" s="224">
        <v>893</v>
      </c>
      <c r="E32" s="225">
        <v>0</v>
      </c>
      <c r="F32" s="226">
        <v>1.5821984553310409</v>
      </c>
      <c r="G32" s="226">
        <v>1.0236239820275206</v>
      </c>
      <c r="H32" s="226">
        <v>1.0621890054120493</v>
      </c>
      <c r="I32" s="225">
        <v>0.17422434367541753</v>
      </c>
      <c r="J32" s="222">
        <v>4.1900000000000004</v>
      </c>
      <c r="K32" s="222">
        <v>4.92</v>
      </c>
      <c r="L32" s="225">
        <v>2.6252983293555947E-2</v>
      </c>
      <c r="M32" s="225">
        <v>-0.12601626016260165</v>
      </c>
      <c r="N32" s="228"/>
      <c r="O32" s="222">
        <f t="shared" si="3"/>
        <v>0</v>
      </c>
      <c r="P32" s="222">
        <f t="shared" si="1"/>
        <v>0</v>
      </c>
      <c r="Q32" s="222">
        <f t="shared" si="4"/>
        <v>0</v>
      </c>
      <c r="T32" s="12" t="s">
        <v>2805</v>
      </c>
      <c r="U32" s="85">
        <v>-1.15E-2</v>
      </c>
      <c r="V32" s="379">
        <v>0.79042258895354378</v>
      </c>
    </row>
    <row r="33" spans="1:22" ht="15.75" customHeight="1" x14ac:dyDescent="0.2">
      <c r="A33" s="347"/>
      <c r="B33" s="222" t="s">
        <v>1312</v>
      </c>
      <c r="C33" s="223" cm="1">
        <f t="array" ref="C33:M33">tinh_du_lieu_cp(B33)</f>
        <v>2.4700000000000002</v>
      </c>
      <c r="D33" s="224">
        <v>1273.5</v>
      </c>
      <c r="E33" s="225">
        <v>8.199999999999999E-3</v>
      </c>
      <c r="F33" s="226">
        <v>0.55903074998353852</v>
      </c>
      <c r="G33" s="226">
        <v>0.97240104911778757</v>
      </c>
      <c r="H33" s="226">
        <v>0.80828061861340894</v>
      </c>
      <c r="I33" s="225">
        <v>0.1659751037344398</v>
      </c>
      <c r="J33" s="222">
        <v>2.41</v>
      </c>
      <c r="K33" s="222">
        <v>2.81</v>
      </c>
      <c r="L33" s="225">
        <v>2.4896265560165994E-2</v>
      </c>
      <c r="M33" s="225">
        <v>-0.12099644128113873</v>
      </c>
      <c r="N33" s="228"/>
      <c r="O33" s="222">
        <f t="shared" si="3"/>
        <v>1</v>
      </c>
      <c r="P33" s="222">
        <f t="shared" si="1"/>
        <v>1</v>
      </c>
      <c r="Q33" s="222">
        <f t="shared" si="4"/>
        <v>0</v>
      </c>
      <c r="T33" s="12" t="s">
        <v>581</v>
      </c>
      <c r="U33" s="85">
        <v>-9.7000000000000003E-3</v>
      </c>
      <c r="V33" s="99">
        <v>9.3377712848472072E-2</v>
      </c>
    </row>
    <row r="34" spans="1:22" ht="15.75" customHeight="1" x14ac:dyDescent="0.2">
      <c r="A34" s="347"/>
      <c r="B34" s="222" t="s">
        <v>1341</v>
      </c>
      <c r="C34" s="223" cm="1">
        <f t="array" ref="C34:M34">tinh_du_lieu_cp(B34)</f>
        <v>6.84</v>
      </c>
      <c r="D34" s="224">
        <v>86</v>
      </c>
      <c r="E34" s="225">
        <v>-1.5E-3</v>
      </c>
      <c r="F34" s="226">
        <v>0.93469024799920952</v>
      </c>
      <c r="G34" s="226">
        <v>0.98291814946619216</v>
      </c>
      <c r="H34" s="226">
        <v>1.360400738201951</v>
      </c>
      <c r="I34" s="225">
        <v>0.28088235294117664</v>
      </c>
      <c r="J34" s="222">
        <v>6.8</v>
      </c>
      <c r="K34" s="222">
        <v>8.7100000000000009</v>
      </c>
      <c r="L34" s="225">
        <v>5.8823529411764757E-3</v>
      </c>
      <c r="M34" s="225">
        <v>-0.21469575200918495</v>
      </c>
      <c r="N34" s="228"/>
      <c r="O34" s="222">
        <f t="shared" si="3"/>
        <v>-1</v>
      </c>
      <c r="P34" s="222">
        <f t="shared" si="1"/>
        <v>0</v>
      </c>
      <c r="Q34" s="222">
        <f t="shared" si="4"/>
        <v>1</v>
      </c>
      <c r="T34" s="12" t="s">
        <v>1171</v>
      </c>
      <c r="U34" s="85">
        <v>-9.3999999999999986E-3</v>
      </c>
      <c r="V34" s="379">
        <v>0.16196046793061719</v>
      </c>
    </row>
    <row r="35" spans="1:22" ht="15.75" customHeight="1" x14ac:dyDescent="0.2">
      <c r="A35" s="347"/>
      <c r="B35" s="222" t="s">
        <v>1396</v>
      </c>
      <c r="C35" s="223" cm="1">
        <f t="array" ref="C35:M35">tinh_du_lieu_cp(B35)</f>
        <v>8.15</v>
      </c>
      <c r="D35" s="224">
        <v>1587.4</v>
      </c>
      <c r="E35" s="225">
        <v>0</v>
      </c>
      <c r="F35" s="226">
        <v>1.6904939268840611</v>
      </c>
      <c r="G35" s="226">
        <v>0.95172862665719304</v>
      </c>
      <c r="H35" s="226">
        <v>1.0641549909499228</v>
      </c>
      <c r="I35" s="225">
        <v>0.21496932515337408</v>
      </c>
      <c r="J35" s="222">
        <v>8.15</v>
      </c>
      <c r="K35" s="222">
        <v>9.9019999999999992</v>
      </c>
      <c r="L35" s="225">
        <v>0</v>
      </c>
      <c r="M35" s="225">
        <v>-0.17693395273682075</v>
      </c>
      <c r="N35" s="228"/>
      <c r="O35" s="222">
        <f t="shared" si="3"/>
        <v>0</v>
      </c>
      <c r="P35" s="222">
        <f t="shared" si="1"/>
        <v>0</v>
      </c>
      <c r="Q35" s="222">
        <f t="shared" si="4"/>
        <v>0</v>
      </c>
      <c r="T35" s="12" t="s">
        <v>121</v>
      </c>
      <c r="U35" s="85">
        <v>-8.6999999999999994E-3</v>
      </c>
      <c r="V35" s="379">
        <v>0.17700493122242408</v>
      </c>
    </row>
    <row r="36" spans="1:22" ht="15.75" customHeight="1" x14ac:dyDescent="0.2">
      <c r="A36" s="347"/>
      <c r="B36" s="222" t="s">
        <v>1420</v>
      </c>
      <c r="C36" s="223" cm="1">
        <f t="array" ref="C36:M36">tinh_du_lieu_cp(B36)</f>
        <v>11.4</v>
      </c>
      <c r="D36" s="224">
        <v>23.1</v>
      </c>
      <c r="E36" s="225">
        <v>0</v>
      </c>
      <c r="F36" s="226">
        <v>0.3133555308916019</v>
      </c>
      <c r="G36" s="226">
        <v>0.97934472934472949</v>
      </c>
      <c r="H36" s="226">
        <v>0.53042479908151552</v>
      </c>
      <c r="I36" s="225">
        <v>0.1491228070175438</v>
      </c>
      <c r="J36" s="222">
        <v>11.4</v>
      </c>
      <c r="K36" s="222">
        <v>13.1</v>
      </c>
      <c r="L36" s="225">
        <v>0</v>
      </c>
      <c r="M36" s="225">
        <v>-0.12977099236641215</v>
      </c>
      <c r="N36" s="228"/>
      <c r="O36" s="222">
        <f t="shared" si="3"/>
        <v>0</v>
      </c>
      <c r="P36" s="222">
        <f t="shared" si="1"/>
        <v>0</v>
      </c>
      <c r="Q36" s="222">
        <f t="shared" si="4"/>
        <v>0</v>
      </c>
      <c r="T36" s="12" t="s">
        <v>122</v>
      </c>
      <c r="U36" s="85">
        <v>-8.199999999999999E-3</v>
      </c>
      <c r="V36" s="379">
        <v>0.29181350905526976</v>
      </c>
    </row>
    <row r="37" spans="1:22" ht="15.75" customHeight="1" x14ac:dyDescent="0.2">
      <c r="A37" s="347"/>
      <c r="B37" s="222" t="s">
        <v>1442</v>
      </c>
      <c r="C37" s="223" cm="1">
        <f t="array" ref="C37:M37">tinh_du_lieu_cp(B37)</f>
        <v>19.899999999999999</v>
      </c>
      <c r="D37" s="224">
        <v>3268.6</v>
      </c>
      <c r="E37" s="225">
        <v>5.1000000000000004E-3</v>
      </c>
      <c r="F37" s="226">
        <v>0.91530036212745114</v>
      </c>
      <c r="G37" s="226">
        <v>0.94212162492577467</v>
      </c>
      <c r="H37" s="226">
        <v>0.99330925814310389</v>
      </c>
      <c r="I37" s="225">
        <v>0.31565656565656564</v>
      </c>
      <c r="J37" s="222">
        <v>19.8</v>
      </c>
      <c r="K37" s="222">
        <v>26.05</v>
      </c>
      <c r="L37" s="225">
        <v>5.0505050505049425E-3</v>
      </c>
      <c r="M37" s="225">
        <v>-0.23608445297504807</v>
      </c>
      <c r="N37" s="228"/>
      <c r="O37" s="222">
        <f t="shared" si="3"/>
        <v>1</v>
      </c>
      <c r="P37" s="222">
        <f t="shared" si="1"/>
        <v>1</v>
      </c>
      <c r="Q37" s="222">
        <f t="shared" si="4"/>
        <v>0</v>
      </c>
      <c r="T37" s="12" t="s">
        <v>609</v>
      </c>
      <c r="U37" s="85">
        <v>-7.0999999999999995E-3</v>
      </c>
      <c r="V37" s="379">
        <v>0.34294871794871795</v>
      </c>
    </row>
    <row r="38" spans="1:22" ht="15.75" customHeight="1" x14ac:dyDescent="0.2">
      <c r="A38" s="347"/>
      <c r="B38" s="222" t="s">
        <v>1449</v>
      </c>
      <c r="C38" s="223" cm="1">
        <f t="array" ref="C38:M38">tinh_du_lieu_cp(B38)</f>
        <v>4.9800000000000004</v>
      </c>
      <c r="D38" s="224">
        <v>5545.3</v>
      </c>
      <c r="E38" s="225">
        <v>0</v>
      </c>
      <c r="F38" s="226">
        <v>1.5239612103587279</v>
      </c>
      <c r="G38" s="226">
        <v>0.9996944138858328</v>
      </c>
      <c r="H38" s="226">
        <v>1.1963969795037757</v>
      </c>
      <c r="I38" s="225">
        <v>0.1352459016393443</v>
      </c>
      <c r="J38" s="222">
        <v>4.88</v>
      </c>
      <c r="K38" s="222">
        <v>5.54</v>
      </c>
      <c r="L38" s="225">
        <v>2.0491803278688634E-2</v>
      </c>
      <c r="M38" s="225">
        <v>-0.10108303249097465</v>
      </c>
      <c r="N38" s="228"/>
      <c r="O38" s="222">
        <f>IF(E38&gt;0,1,IF(E38=0,0,-1))</f>
        <v>0</v>
      </c>
      <c r="P38" s="222">
        <f t="shared" si="1"/>
        <v>0</v>
      </c>
      <c r="Q38" s="222">
        <f t="shared" si="4"/>
        <v>0</v>
      </c>
      <c r="T38" s="12" t="s">
        <v>1310</v>
      </c>
      <c r="U38" s="85">
        <v>-6.9999999999999993E-3</v>
      </c>
      <c r="V38" s="379">
        <v>0.78090056913290928</v>
      </c>
    </row>
    <row r="39" spans="1:22" ht="15.75" customHeight="1" x14ac:dyDescent="0.2">
      <c r="A39" s="356"/>
      <c r="B39" s="222" t="s">
        <v>1470</v>
      </c>
      <c r="C39" s="223" cm="1">
        <f t="array" ref="C39:M39">tinh_du_lieu_cp(B39)</f>
        <v>38.049999999999997</v>
      </c>
      <c r="D39" s="224">
        <v>168.6</v>
      </c>
      <c r="E39" s="225">
        <v>0</v>
      </c>
      <c r="F39" s="226">
        <v>0.58713098535813224</v>
      </c>
      <c r="G39" s="226">
        <v>1.0075909801294929</v>
      </c>
      <c r="H39" s="226">
        <v>0.88049438593437201</v>
      </c>
      <c r="I39" s="225">
        <v>6.5753424657534212E-2</v>
      </c>
      <c r="J39" s="222">
        <v>36.5</v>
      </c>
      <c r="K39" s="222">
        <v>38.9</v>
      </c>
      <c r="L39" s="225">
        <v>4.2465753424657457E-2</v>
      </c>
      <c r="M39" s="225">
        <v>-2.185089974293063E-2</v>
      </c>
      <c r="N39" s="228"/>
      <c r="O39" s="222">
        <f>IF(E39&gt;0,1,IF(E39=0,0,-1))</f>
        <v>0</v>
      </c>
      <c r="P39" s="222">
        <f t="shared" si="1"/>
        <v>0</v>
      </c>
      <c r="Q39" s="222">
        <f t="shared" si="4"/>
        <v>0</v>
      </c>
      <c r="T39" s="12" t="s">
        <v>1543</v>
      </c>
      <c r="U39" s="85">
        <v>-6.8999999999999999E-3</v>
      </c>
      <c r="V39" s="379">
        <v>0.62801244997776795</v>
      </c>
    </row>
    <row r="40" spans="1:22" ht="15.75" customHeight="1" x14ac:dyDescent="0.2">
      <c r="A40" s="356"/>
      <c r="B40" s="222" t="s">
        <v>1538</v>
      </c>
      <c r="C40" s="223" cm="1">
        <f t="array" ref="C40:M40">tinh_du_lieu_cp(B40)</f>
        <v>5.16</v>
      </c>
      <c r="D40" s="224">
        <v>16.8</v>
      </c>
      <c r="E40" s="225">
        <v>-5.7999999999999996E-3</v>
      </c>
      <c r="F40" s="226">
        <v>0.22097333492765756</v>
      </c>
      <c r="G40" s="226">
        <v>1.0129110052349861</v>
      </c>
      <c r="H40" s="226">
        <v>0.98341463414634156</v>
      </c>
      <c r="I40" s="225">
        <v>0.27419354838709686</v>
      </c>
      <c r="J40" s="222">
        <v>4.96</v>
      </c>
      <c r="K40" s="222">
        <v>6.32</v>
      </c>
      <c r="L40" s="225">
        <v>4.0322580645161324E-2</v>
      </c>
      <c r="M40" s="225">
        <v>-0.18354430379746836</v>
      </c>
      <c r="N40" s="228"/>
      <c r="O40" s="222">
        <f>IF(E40&gt;0,1,IF(E40=0,0,-1))</f>
        <v>-1</v>
      </c>
      <c r="P40" s="222">
        <f t="shared" si="1"/>
        <v>0</v>
      </c>
      <c r="Q40" s="222">
        <f t="shared" si="4"/>
        <v>1</v>
      </c>
      <c r="T40" s="12" t="s">
        <v>1396</v>
      </c>
      <c r="U40" s="85">
        <v>-6.0999999999999995E-3</v>
      </c>
      <c r="V40" s="379">
        <v>0.82582961846435443</v>
      </c>
    </row>
    <row r="41" spans="1:22" ht="15.75" customHeight="1" x14ac:dyDescent="0.2">
      <c r="A41" s="356"/>
      <c r="B41" s="222" t="s">
        <v>1543</v>
      </c>
      <c r="C41" s="223" cm="1">
        <f t="array" ref="C41:M41">tinh_du_lieu_cp(B41)</f>
        <v>28.8</v>
      </c>
      <c r="D41" s="224">
        <v>85.1</v>
      </c>
      <c r="E41" s="225">
        <v>0</v>
      </c>
      <c r="F41" s="226">
        <v>1.5899787685774946</v>
      </c>
      <c r="G41" s="226">
        <v>1.0142655254246327</v>
      </c>
      <c r="H41" s="226">
        <v>1.0582383419689119</v>
      </c>
      <c r="I41" s="225">
        <v>7.2088724584103481E-2</v>
      </c>
      <c r="J41" s="222">
        <v>27.05</v>
      </c>
      <c r="K41" s="222">
        <v>29</v>
      </c>
      <c r="L41" s="225">
        <v>6.4695009242144177E-2</v>
      </c>
      <c r="M41" s="225">
        <v>-6.8965517241379067E-3</v>
      </c>
      <c r="N41" s="228"/>
      <c r="O41" s="222">
        <f>IF(E41&gt;0,1,IF(E41=0,0,-1))</f>
        <v>0</v>
      </c>
      <c r="P41" s="222">
        <f t="shared" si="1"/>
        <v>0</v>
      </c>
      <c r="Q41" s="222">
        <f t="shared" si="4"/>
        <v>0</v>
      </c>
      <c r="T41" s="12" t="s">
        <v>1538</v>
      </c>
      <c r="U41" s="85">
        <v>-5.7999999999999996E-3</v>
      </c>
      <c r="V41" s="379">
        <v>3.1841756121095161E-2</v>
      </c>
    </row>
    <row r="42" spans="1:22" ht="15.75" customHeight="1" x14ac:dyDescent="0.2">
      <c r="A42" s="356"/>
      <c r="B42" s="222" t="s">
        <v>1686</v>
      </c>
      <c r="C42" s="223" cm="1">
        <f t="array" ref="C42:M42">tinh_du_lieu_cp(B42)</f>
        <v>17.2</v>
      </c>
      <c r="D42" s="224">
        <v>24.1</v>
      </c>
      <c r="E42" s="225">
        <v>-2.8999999999999998E-3</v>
      </c>
      <c r="F42" s="226">
        <v>0.83129507682659143</v>
      </c>
      <c r="G42" s="226">
        <v>0.99426111908177872</v>
      </c>
      <c r="H42" s="226">
        <v>0.90037359900373592</v>
      </c>
      <c r="I42" s="227">
        <v>5.830903790087464E-2</v>
      </c>
      <c r="J42" s="222">
        <v>17.149999999999999</v>
      </c>
      <c r="K42" s="222">
        <v>18.149999999999999</v>
      </c>
      <c r="L42" s="225">
        <v>2.9154518950437734E-3</v>
      </c>
      <c r="M42" s="225">
        <v>-5.2341597796143217E-2</v>
      </c>
      <c r="N42" s="228"/>
      <c r="O42" s="222">
        <f t="shared" ref="O42:O53" si="5">IF(E42&gt;0,1,IF(E42=0,0,-1))</f>
        <v>-1</v>
      </c>
      <c r="P42" s="222">
        <f t="shared" ref="P42:P53" si="6">IF(O42=1,1,0)</f>
        <v>0</v>
      </c>
      <c r="Q42" s="222">
        <f t="shared" ref="Q42:Q53" si="7">IF(O42&lt;0,1,0)</f>
        <v>1</v>
      </c>
      <c r="T42" s="12" t="s">
        <v>2001</v>
      </c>
      <c r="U42" s="85">
        <v>-5.0000000000000001E-3</v>
      </c>
      <c r="V42" s="379">
        <v>6.0721505209143219E-2</v>
      </c>
    </row>
    <row r="43" spans="1:22" x14ac:dyDescent="0.2">
      <c r="A43" s="356"/>
      <c r="B43" s="222" t="s">
        <v>1741</v>
      </c>
      <c r="C43" s="223" cm="1">
        <f t="array" ref="C43:M43">tinh_du_lieu_cp(B43)</f>
        <v>25.3</v>
      </c>
      <c r="D43" s="224">
        <v>1394</v>
      </c>
      <c r="E43" s="225">
        <v>-2E-3</v>
      </c>
      <c r="F43" s="226">
        <v>0.63521126760563384</v>
      </c>
      <c r="G43" s="226">
        <v>0.97246376811594204</v>
      </c>
      <c r="H43" s="226">
        <v>0.9518282066163668</v>
      </c>
      <c r="I43" s="225">
        <v>0.13071209430001629</v>
      </c>
      <c r="J43" s="222">
        <v>24.771999999999998</v>
      </c>
      <c r="K43" s="222">
        <v>28.01</v>
      </c>
      <c r="L43" s="225">
        <v>2.1314387211367764E-2</v>
      </c>
      <c r="M43" s="225">
        <v>-9.6751160299892919E-2</v>
      </c>
      <c r="N43" s="228"/>
      <c r="O43" s="222">
        <f t="shared" si="5"/>
        <v>-1</v>
      </c>
      <c r="P43" s="222">
        <f t="shared" si="6"/>
        <v>0</v>
      </c>
      <c r="Q43" s="222">
        <f t="shared" si="7"/>
        <v>1</v>
      </c>
      <c r="T43" s="12" t="s">
        <v>2346</v>
      </c>
      <c r="U43" s="85">
        <v>-4.8999999999999998E-3</v>
      </c>
      <c r="V43" s="379">
        <v>0.25769290242770992</v>
      </c>
    </row>
    <row r="44" spans="1:22" x14ac:dyDescent="0.2">
      <c r="A44" s="356"/>
      <c r="B44" s="222" t="s">
        <v>1782</v>
      </c>
      <c r="C44" s="223" cm="1">
        <f t="array" ref="C44:M44">tinh_du_lieu_cp(B44)</f>
        <v>15.1</v>
      </c>
      <c r="D44" s="224">
        <v>413.9</v>
      </c>
      <c r="E44" s="225">
        <v>0.01</v>
      </c>
      <c r="F44" s="226">
        <v>2.3813483968826823</v>
      </c>
      <c r="G44" s="226">
        <v>0.98173448173448163</v>
      </c>
      <c r="H44" s="226">
        <v>1.9326070038910508</v>
      </c>
      <c r="I44" s="225">
        <v>0.11371237458193975</v>
      </c>
      <c r="J44" s="222">
        <v>14.95</v>
      </c>
      <c r="K44" s="222">
        <v>16.649999999999999</v>
      </c>
      <c r="L44" s="225">
        <v>1.0033444816053536E-2</v>
      </c>
      <c r="M44" s="225">
        <v>-9.3093093093093035E-2</v>
      </c>
      <c r="N44" s="228"/>
      <c r="O44" s="222">
        <f t="shared" si="5"/>
        <v>1</v>
      </c>
      <c r="P44" s="222">
        <f t="shared" si="6"/>
        <v>1</v>
      </c>
      <c r="Q44" s="222">
        <f t="shared" si="7"/>
        <v>0</v>
      </c>
      <c r="T44" s="12" t="s">
        <v>2458</v>
      </c>
      <c r="U44" s="85">
        <v>-4.6999999999999993E-3</v>
      </c>
      <c r="V44" s="379">
        <v>0.15096719932716568</v>
      </c>
    </row>
    <row r="45" spans="1:22" x14ac:dyDescent="0.2">
      <c r="A45" s="356"/>
      <c r="B45" s="222" t="s">
        <v>122</v>
      </c>
      <c r="C45" s="223" cm="1">
        <f t="array" ref="C45:M45">tinh_du_lieu_cp(B45)</f>
        <v>12.2</v>
      </c>
      <c r="D45" s="224">
        <v>7243.2</v>
      </c>
      <c r="E45" s="225">
        <v>4.0999999999999995E-3</v>
      </c>
      <c r="F45" s="226">
        <v>0.6156335368956154</v>
      </c>
      <c r="G45" s="226">
        <v>0.97834798731981598</v>
      </c>
      <c r="H45" s="226">
        <v>0.83047870927550582</v>
      </c>
      <c r="I45" s="225">
        <v>0.56946502057613158</v>
      </c>
      <c r="J45" s="222">
        <v>12.15</v>
      </c>
      <c r="K45" s="222">
        <v>19.068999999999999</v>
      </c>
      <c r="L45" s="225">
        <v>4.1152263374484715E-3</v>
      </c>
      <c r="M45" s="225">
        <v>-0.36021815512087685</v>
      </c>
      <c r="N45" s="228"/>
      <c r="O45" s="222">
        <f t="shared" si="5"/>
        <v>1</v>
      </c>
      <c r="P45" s="222">
        <f t="shared" si="6"/>
        <v>1</v>
      </c>
      <c r="Q45" s="222">
        <f t="shared" si="7"/>
        <v>0</v>
      </c>
      <c r="T45" s="12" t="s">
        <v>1420</v>
      </c>
      <c r="U45" s="98">
        <v>-4.4000000000000003E-3</v>
      </c>
      <c r="V45" s="99">
        <v>4.9428945890282724E-2</v>
      </c>
    </row>
    <row r="46" spans="1:22" x14ac:dyDescent="0.2">
      <c r="A46" s="356"/>
      <c r="B46" s="222" t="s">
        <v>1795</v>
      </c>
      <c r="C46" s="223" cm="1">
        <f t="array" ref="C46:M46">tinh_du_lieu_cp(B46)</f>
        <v>7.5</v>
      </c>
      <c r="D46" s="224">
        <v>0.2</v>
      </c>
      <c r="E46" s="225">
        <v>-5.9000000000000004E-2</v>
      </c>
      <c r="F46" s="226">
        <v>0.27848101265822789</v>
      </c>
      <c r="G46" s="226">
        <v>0.99264793074825064</v>
      </c>
      <c r="H46" s="226">
        <v>0.30769230769230771</v>
      </c>
      <c r="I46" s="225">
        <v>0.1518624641833809</v>
      </c>
      <c r="J46" s="222">
        <v>6.98</v>
      </c>
      <c r="K46" s="222">
        <v>8.0399999999999991</v>
      </c>
      <c r="L46" s="225">
        <v>7.4498567335243487E-2</v>
      </c>
      <c r="M46" s="225">
        <v>-6.7164179104477514E-2</v>
      </c>
      <c r="N46" s="228"/>
      <c r="O46" s="222">
        <f t="shared" si="5"/>
        <v>-1</v>
      </c>
      <c r="P46" s="222">
        <f t="shared" si="6"/>
        <v>0</v>
      </c>
      <c r="Q46" s="222">
        <f t="shared" si="7"/>
        <v>1</v>
      </c>
      <c r="T46" s="12" t="s">
        <v>961</v>
      </c>
      <c r="U46" s="98">
        <v>-4.0999999999999995E-3</v>
      </c>
      <c r="V46" s="99">
        <v>0.17453137024451879</v>
      </c>
    </row>
    <row r="47" spans="1:22" x14ac:dyDescent="0.2">
      <c r="A47" s="356"/>
      <c r="B47" s="222" t="s">
        <v>1850</v>
      </c>
      <c r="C47" s="223" cm="1">
        <f t="array" ref="C47:M47">tinh_du_lieu_cp(B47)</f>
        <v>13.9</v>
      </c>
      <c r="D47" s="224">
        <v>6860.1</v>
      </c>
      <c r="E47" s="225">
        <v>7.1999999999999998E-3</v>
      </c>
      <c r="F47" s="226">
        <v>1.1074436563599301</v>
      </c>
      <c r="G47" s="226">
        <v>0.9636241332919383</v>
      </c>
      <c r="H47" s="226">
        <v>0.95590055620710879</v>
      </c>
      <c r="I47" s="225">
        <v>0.23188405797101444</v>
      </c>
      <c r="J47" s="222">
        <v>13.8</v>
      </c>
      <c r="K47" s="222">
        <v>17</v>
      </c>
      <c r="L47" s="225">
        <v>7.246376811594177E-3</v>
      </c>
      <c r="M47" s="225">
        <v>-0.18235294117647058</v>
      </c>
      <c r="N47" s="228"/>
      <c r="O47" s="222">
        <f t="shared" si="5"/>
        <v>1</v>
      </c>
      <c r="P47" s="222">
        <f t="shared" si="6"/>
        <v>1</v>
      </c>
      <c r="Q47" s="222">
        <f t="shared" si="7"/>
        <v>0</v>
      </c>
      <c r="T47" s="12" t="s">
        <v>2444</v>
      </c>
      <c r="U47" s="85">
        <v>-2.8000000000000004E-3</v>
      </c>
      <c r="V47" s="379">
        <v>1.097728013914556</v>
      </c>
    </row>
    <row r="48" spans="1:22" x14ac:dyDescent="0.2">
      <c r="A48" s="356"/>
      <c r="B48" s="222" t="s">
        <v>2001</v>
      </c>
      <c r="C48" s="223" cm="1">
        <f t="array" ref="C48:M48">tinh_du_lieu_cp(B48)</f>
        <v>1.98</v>
      </c>
      <c r="D48" s="224">
        <v>36.299999999999997</v>
      </c>
      <c r="E48" s="225">
        <v>-0.01</v>
      </c>
      <c r="F48" s="226">
        <v>0.30696494464944651</v>
      </c>
      <c r="G48" s="226">
        <v>0.86418781559446523</v>
      </c>
      <c r="H48" s="226">
        <v>0.40125276344878408</v>
      </c>
      <c r="I48" s="225">
        <v>0.46113989637305697</v>
      </c>
      <c r="J48" s="222">
        <v>1.93</v>
      </c>
      <c r="K48" s="222">
        <v>2.82</v>
      </c>
      <c r="L48" s="225">
        <v>2.5906735751295359E-2</v>
      </c>
      <c r="M48" s="225">
        <v>-0.2978723404255319</v>
      </c>
      <c r="N48" s="228"/>
      <c r="O48" s="222">
        <f t="shared" si="5"/>
        <v>-1</v>
      </c>
      <c r="P48" s="222">
        <f t="shared" si="6"/>
        <v>0</v>
      </c>
      <c r="Q48" s="222">
        <f t="shared" si="7"/>
        <v>1</v>
      </c>
      <c r="T48" s="12" t="s">
        <v>1449</v>
      </c>
      <c r="U48" s="98">
        <v>-2E-3</v>
      </c>
      <c r="V48" s="99">
        <v>0.47514894611676428</v>
      </c>
    </row>
    <row r="49" spans="1:22" x14ac:dyDescent="0.2">
      <c r="A49" s="356"/>
      <c r="B49" s="222" t="s">
        <v>2061</v>
      </c>
      <c r="C49" s="223" cm="1">
        <f t="array" ref="C49:M49">tinh_du_lieu_cp(B49)</f>
        <v>11.45</v>
      </c>
      <c r="D49" s="224">
        <v>111.1</v>
      </c>
      <c r="E49" s="225">
        <v>8.8000000000000005E-3</v>
      </c>
      <c r="F49" s="226">
        <v>0.62493927539566874</v>
      </c>
      <c r="G49" s="226">
        <v>0.9530735284977313</v>
      </c>
      <c r="H49" s="226">
        <v>0.79187455452601563</v>
      </c>
      <c r="I49" s="225">
        <v>0.23788546255506618</v>
      </c>
      <c r="J49" s="222">
        <v>11.35</v>
      </c>
      <c r="K49" s="222">
        <v>14.05</v>
      </c>
      <c r="L49" s="225">
        <v>8.8105726872246392E-3</v>
      </c>
      <c r="M49" s="225">
        <v>-0.18505338078291825</v>
      </c>
      <c r="N49" s="228"/>
      <c r="O49" s="222">
        <f t="shared" si="5"/>
        <v>1</v>
      </c>
      <c r="P49" s="222">
        <f t="shared" si="6"/>
        <v>1</v>
      </c>
      <c r="Q49" s="222">
        <f t="shared" si="7"/>
        <v>0</v>
      </c>
      <c r="T49" s="12" t="s">
        <v>2061</v>
      </c>
      <c r="U49" s="85">
        <v>0</v>
      </c>
      <c r="V49" s="379">
        <v>0.12205589867057469</v>
      </c>
    </row>
    <row r="50" spans="1:22" x14ac:dyDescent="0.2">
      <c r="A50" s="356"/>
      <c r="B50" s="222" t="s">
        <v>2155</v>
      </c>
      <c r="C50" s="223" cm="1">
        <f t="array" ref="C50:M50">tinh_du_lieu_cp(B50)</f>
        <v>5.19</v>
      </c>
      <c r="D50" s="224">
        <v>3222.1</v>
      </c>
      <c r="E50" s="225">
        <v>7.8000000000000005E-3</v>
      </c>
      <c r="F50" s="226">
        <v>2.240065476999308</v>
      </c>
      <c r="G50" s="226">
        <v>0.9937358983493646</v>
      </c>
      <c r="H50" s="226">
        <v>1.4525414177842895</v>
      </c>
      <c r="I50" s="227">
        <v>0.26883910386965382</v>
      </c>
      <c r="J50" s="222">
        <v>4.91</v>
      </c>
      <c r="K50" s="222">
        <v>6.23</v>
      </c>
      <c r="L50" s="225">
        <v>5.7026476578411457E-2</v>
      </c>
      <c r="M50" s="225">
        <v>-0.16693418940609953</v>
      </c>
      <c r="N50" s="228"/>
      <c r="O50" s="222">
        <f t="shared" si="5"/>
        <v>1</v>
      </c>
      <c r="P50" s="222">
        <f t="shared" si="6"/>
        <v>1</v>
      </c>
      <c r="Q50" s="222">
        <f t="shared" si="7"/>
        <v>0</v>
      </c>
      <c r="T50" s="12" t="s">
        <v>2155</v>
      </c>
      <c r="U50" s="85">
        <v>0</v>
      </c>
      <c r="V50" s="379">
        <v>0.23728530409814669</v>
      </c>
    </row>
    <row r="51" spans="1:22" x14ac:dyDescent="0.2">
      <c r="A51" s="356"/>
      <c r="B51" s="222" t="s">
        <v>2207</v>
      </c>
      <c r="C51" s="223" cm="1">
        <f t="array" ref="C51:M51">tinh_du_lieu_cp(B51)</f>
        <v>12.7</v>
      </c>
      <c r="D51" s="224">
        <v>52.1</v>
      </c>
      <c r="E51" s="225">
        <v>-1.9299999999999998E-2</v>
      </c>
      <c r="F51" s="226">
        <v>0.48135393919032421</v>
      </c>
      <c r="G51" s="226">
        <v>0.99001892961624516</v>
      </c>
      <c r="H51" s="226">
        <v>1.0006402048655569</v>
      </c>
      <c r="I51" s="225">
        <v>0.24505928853754938</v>
      </c>
      <c r="J51" s="222">
        <v>12.65</v>
      </c>
      <c r="K51" s="222">
        <v>15.75</v>
      </c>
      <c r="L51" s="225">
        <v>3.9525691699603899E-3</v>
      </c>
      <c r="M51" s="225">
        <v>-0.19365079365079368</v>
      </c>
      <c r="N51" s="228"/>
      <c r="O51" s="222">
        <f t="shared" si="5"/>
        <v>-1</v>
      </c>
      <c r="P51" s="222">
        <f t="shared" si="6"/>
        <v>0</v>
      </c>
      <c r="Q51" s="222">
        <f t="shared" si="7"/>
        <v>1</v>
      </c>
      <c r="T51" s="12" t="s">
        <v>1312</v>
      </c>
      <c r="U51" s="85">
        <v>0</v>
      </c>
      <c r="V51" s="379">
        <v>0.18446258978492222</v>
      </c>
    </row>
    <row r="52" spans="1:22" x14ac:dyDescent="0.2">
      <c r="A52" s="356"/>
      <c r="B52" s="222" t="s">
        <v>2233</v>
      </c>
      <c r="C52" s="223" cm="1">
        <f t="array" ref="C52:M52">tinh_du_lieu_cp(B52)</f>
        <v>49.5</v>
      </c>
      <c r="D52" s="224">
        <v>58.9</v>
      </c>
      <c r="E52" s="225">
        <v>5.1000000000000004E-3</v>
      </c>
      <c r="F52" s="226">
        <v>0.45617123142997956</v>
      </c>
      <c r="G52" s="226">
        <v>0.98670104491789923</v>
      </c>
      <c r="H52" s="226">
        <v>0.92368008363826459</v>
      </c>
      <c r="I52" s="225">
        <v>0.17163451776649752</v>
      </c>
      <c r="J52" s="222">
        <v>49.25</v>
      </c>
      <c r="K52" s="222">
        <v>57.703000000000003</v>
      </c>
      <c r="L52" s="225">
        <v>5.076142131979695E-3</v>
      </c>
      <c r="M52" s="225">
        <v>-0.14215898653449566</v>
      </c>
      <c r="N52" s="228"/>
      <c r="O52" s="222">
        <f t="shared" si="5"/>
        <v>1</v>
      </c>
      <c r="P52" s="222">
        <f t="shared" si="6"/>
        <v>1</v>
      </c>
      <c r="Q52" s="222">
        <f t="shared" si="7"/>
        <v>0</v>
      </c>
      <c r="T52" s="12" t="s">
        <v>1686</v>
      </c>
      <c r="U52" s="85">
        <v>0</v>
      </c>
      <c r="V52" s="379">
        <v>2.3828264758497317</v>
      </c>
    </row>
    <row r="53" spans="1:22" x14ac:dyDescent="0.2">
      <c r="A53" s="356"/>
      <c r="B53" s="222" t="s">
        <v>2247</v>
      </c>
      <c r="C53" s="223" cm="1">
        <f t="array" ref="C53:M53">tinh_du_lieu_cp(B53)</f>
        <v>48.5</v>
      </c>
      <c r="D53" s="224">
        <v>26.7</v>
      </c>
      <c r="E53" s="225">
        <v>1.46E-2</v>
      </c>
      <c r="F53" s="226">
        <v>1.4110016814797022</v>
      </c>
      <c r="G53" s="226">
        <v>0.9950478705843514</v>
      </c>
      <c r="H53" s="226">
        <v>1.2486360093530788</v>
      </c>
      <c r="I53" s="225">
        <v>0.29894736842105268</v>
      </c>
      <c r="J53" s="222">
        <v>47.5</v>
      </c>
      <c r="K53" s="222">
        <v>61.7</v>
      </c>
      <c r="L53" s="225">
        <v>2.1052631578947368E-2</v>
      </c>
      <c r="M53" s="225">
        <v>-0.21393841166936794</v>
      </c>
      <c r="N53" s="228"/>
      <c r="O53" s="222">
        <f t="shared" si="5"/>
        <v>1</v>
      </c>
      <c r="P53" s="222">
        <f t="shared" si="6"/>
        <v>1</v>
      </c>
      <c r="Q53" s="222">
        <f t="shared" si="7"/>
        <v>0</v>
      </c>
      <c r="T53" s="12" t="s">
        <v>2233</v>
      </c>
      <c r="U53" s="85">
        <v>1E-3</v>
      </c>
      <c r="V53" s="379">
        <v>0.25175023988059275</v>
      </c>
    </row>
    <row r="54" spans="1:22" x14ac:dyDescent="0.2">
      <c r="A54" s="356"/>
      <c r="B54" s="222" t="s">
        <v>2346</v>
      </c>
      <c r="C54" s="223" cm="1">
        <f t="array" ref="C54:M54">tinh_du_lieu_cp(B54)</f>
        <v>20.65</v>
      </c>
      <c r="D54" s="224">
        <v>172.3</v>
      </c>
      <c r="E54" s="225">
        <v>4.8999999999999998E-3</v>
      </c>
      <c r="F54" s="226">
        <v>0.48338391695784133</v>
      </c>
      <c r="G54" s="226">
        <v>0.94530665033013406</v>
      </c>
      <c r="H54" s="226">
        <v>0.58098235360233785</v>
      </c>
      <c r="I54" s="225">
        <v>0.41605839416058399</v>
      </c>
      <c r="J54" s="222">
        <v>20.55</v>
      </c>
      <c r="K54" s="222">
        <v>29.1</v>
      </c>
      <c r="L54" s="225">
        <v>4.8661800486616965E-3</v>
      </c>
      <c r="M54" s="225">
        <v>-0.29037800687285231</v>
      </c>
      <c r="N54" s="228"/>
      <c r="O54" s="222">
        <f t="shared" ref="O54:O60" si="8">IF(E54&gt;0,1,IF(E54=0,0,-1))</f>
        <v>1</v>
      </c>
      <c r="P54" s="222">
        <f t="shared" ref="P54:P60" si="9">IF(O54=1,1,0)</f>
        <v>1</v>
      </c>
      <c r="Q54" s="222">
        <f t="shared" ref="Q54:Q60" si="10">IF(O54&lt;0,1,0)</f>
        <v>0</v>
      </c>
      <c r="T54" s="12" t="s">
        <v>2371</v>
      </c>
      <c r="U54" s="98">
        <v>3.5999999999999999E-3</v>
      </c>
      <c r="V54" s="99">
        <v>0.3019095665540108</v>
      </c>
    </row>
    <row r="55" spans="1:22" x14ac:dyDescent="0.2">
      <c r="A55" s="356"/>
      <c r="B55" s="222" t="s">
        <v>2371</v>
      </c>
      <c r="C55" s="223" cm="1">
        <f t="array" ref="C55:M55">tinh_du_lieu_cp(B55)</f>
        <v>14.3</v>
      </c>
      <c r="D55" s="224">
        <v>8887.2999999999993</v>
      </c>
      <c r="E55" s="225">
        <v>3.6200000000000003E-2</v>
      </c>
      <c r="F55" s="226">
        <v>2.1977422404267779</v>
      </c>
      <c r="G55" s="226">
        <v>0.96327194501285451</v>
      </c>
      <c r="H55" s="226">
        <v>2.1685244754960369</v>
      </c>
      <c r="I55" s="225">
        <v>0.32967032967032955</v>
      </c>
      <c r="J55" s="222">
        <v>13.65</v>
      </c>
      <c r="K55" s="222">
        <v>18.149999999999999</v>
      </c>
      <c r="L55" s="225">
        <v>4.7619047619047644E-2</v>
      </c>
      <c r="M55" s="225">
        <v>-0.21212121212121202</v>
      </c>
      <c r="N55" s="228"/>
      <c r="O55" s="222">
        <f t="shared" si="8"/>
        <v>1</v>
      </c>
      <c r="P55" s="222">
        <f t="shared" si="9"/>
        <v>1</v>
      </c>
      <c r="Q55" s="222">
        <f t="shared" si="10"/>
        <v>0</v>
      </c>
      <c r="T55" s="12" t="s">
        <v>1207</v>
      </c>
      <c r="U55" s="85">
        <v>5.3E-3</v>
      </c>
      <c r="V55" s="379">
        <v>0.27853329974284258</v>
      </c>
    </row>
    <row r="56" spans="1:22" x14ac:dyDescent="0.2">
      <c r="A56" s="356"/>
      <c r="B56" s="222" t="s">
        <v>2394</v>
      </c>
      <c r="C56" s="223" cm="1">
        <f t="array" ref="C56:M56">tinh_du_lieu_cp(B56)</f>
        <v>3.57</v>
      </c>
      <c r="D56" s="224">
        <v>10.3</v>
      </c>
      <c r="E56" s="225">
        <v>0.02</v>
      </c>
      <c r="F56" s="226">
        <v>0.23790026246719162</v>
      </c>
      <c r="G56" s="226">
        <v>0.97645417999835893</v>
      </c>
      <c r="H56" s="226">
        <v>0.256857855361596</v>
      </c>
      <c r="I56" s="225">
        <v>0.29999999999999993</v>
      </c>
      <c r="J56" s="222">
        <v>3.5</v>
      </c>
      <c r="K56" s="222">
        <v>4.55</v>
      </c>
      <c r="L56" s="225">
        <v>1.9999999999999955E-2</v>
      </c>
      <c r="M56" s="225">
        <v>-0.2153846153846154</v>
      </c>
      <c r="N56" s="228"/>
      <c r="O56" s="222">
        <f t="shared" si="8"/>
        <v>1</v>
      </c>
      <c r="P56" s="222">
        <f t="shared" si="9"/>
        <v>1</v>
      </c>
      <c r="Q56" s="222">
        <f t="shared" si="10"/>
        <v>0</v>
      </c>
      <c r="T56" s="12" t="s">
        <v>1341</v>
      </c>
      <c r="U56" s="85">
        <v>5.7999999999999996E-3</v>
      </c>
      <c r="V56" s="379">
        <v>0.55218550374729636</v>
      </c>
    </row>
    <row r="57" spans="1:22" x14ac:dyDescent="0.2">
      <c r="A57" s="356"/>
      <c r="B57" s="222" t="s">
        <v>2444</v>
      </c>
      <c r="C57" s="223" cm="1">
        <f t="array" ref="C57:M57">tinh_du_lieu_cp(B57)</f>
        <v>17.649999999999999</v>
      </c>
      <c r="D57" s="224">
        <v>117.2</v>
      </c>
      <c r="E57" s="225">
        <v>0</v>
      </c>
      <c r="F57" s="226">
        <v>2.6012913640032282</v>
      </c>
      <c r="G57" s="226">
        <v>0.99238023069798731</v>
      </c>
      <c r="H57" s="226">
        <v>1.6774809160305342</v>
      </c>
      <c r="I57" s="225">
        <v>4.2492917847025496E-2</v>
      </c>
      <c r="J57" s="222">
        <v>17.649999999999999</v>
      </c>
      <c r="K57" s="222">
        <v>18.399999999999999</v>
      </c>
      <c r="L57" s="225">
        <v>0</v>
      </c>
      <c r="M57" s="225">
        <v>-4.0760869565217392E-2</v>
      </c>
      <c r="N57" s="228"/>
      <c r="O57" s="222">
        <f t="shared" si="8"/>
        <v>0</v>
      </c>
      <c r="P57" s="222">
        <f t="shared" si="9"/>
        <v>0</v>
      </c>
      <c r="Q57" s="222">
        <f t="shared" si="10"/>
        <v>0</v>
      </c>
      <c r="T57" s="12" t="s">
        <v>368</v>
      </c>
      <c r="U57" s="85">
        <v>8.6999999999999994E-3</v>
      </c>
      <c r="V57" s="379">
        <v>0.36270530194217199</v>
      </c>
    </row>
    <row r="58" spans="1:22" x14ac:dyDescent="0.2">
      <c r="A58" s="356"/>
      <c r="B58" s="222" t="s">
        <v>2458</v>
      </c>
      <c r="C58" s="223" cm="1">
        <f t="array" ref="C58:M58">tinh_du_lieu_cp(B58)</f>
        <v>8.44</v>
      </c>
      <c r="D58" s="224">
        <v>73</v>
      </c>
      <c r="E58" s="225">
        <v>0</v>
      </c>
      <c r="F58" s="226">
        <v>0.30481902556607893</v>
      </c>
      <c r="G58" s="226">
        <v>0.99544500195722552</v>
      </c>
      <c r="H58" s="226">
        <v>0.23386192535639916</v>
      </c>
      <c r="I58" s="227">
        <v>3.601440576230501E-2</v>
      </c>
      <c r="J58" s="222">
        <v>8.33</v>
      </c>
      <c r="K58" s="222">
        <v>8.6300000000000008</v>
      </c>
      <c r="L58" s="225">
        <v>1.3205282112845069E-2</v>
      </c>
      <c r="M58" s="225">
        <v>-2.2016222479722045E-2</v>
      </c>
      <c r="N58" s="228"/>
      <c r="O58" s="222">
        <f t="shared" si="8"/>
        <v>0</v>
      </c>
      <c r="P58" s="222">
        <f t="shared" si="9"/>
        <v>0</v>
      </c>
      <c r="Q58" s="222">
        <f t="shared" si="10"/>
        <v>0</v>
      </c>
      <c r="T58" s="12" t="s">
        <v>759</v>
      </c>
      <c r="U58" s="85">
        <v>1.55E-2</v>
      </c>
      <c r="V58" s="379">
        <v>0.41912199739675782</v>
      </c>
    </row>
    <row r="59" spans="1:22" x14ac:dyDescent="0.2">
      <c r="A59" s="356"/>
      <c r="B59" s="222" t="s">
        <v>2803</v>
      </c>
      <c r="C59" s="223" cm="1">
        <f t="array" ref="C59:M59">tinh_du_lieu_cp(B59)</f>
        <v>3.48</v>
      </c>
      <c r="D59" s="224">
        <v>37.9</v>
      </c>
      <c r="E59" s="225">
        <v>-1.1399999999999999E-2</v>
      </c>
      <c r="F59" s="226">
        <v>2.7664233576642334</v>
      </c>
      <c r="G59" s="226">
        <v>0.98721554589619009</v>
      </c>
      <c r="H59" s="226">
        <v>2.595890410958904</v>
      </c>
      <c r="I59" s="225">
        <v>0.23916532905296939</v>
      </c>
      <c r="J59" s="222">
        <v>3.1150000000000002</v>
      </c>
      <c r="K59" s="222">
        <v>3.86</v>
      </c>
      <c r="L59" s="225">
        <v>0.117174959871589</v>
      </c>
      <c r="M59" s="225">
        <v>-9.8445595854922255E-2</v>
      </c>
      <c r="N59" s="228"/>
      <c r="O59" s="222">
        <f t="shared" si="8"/>
        <v>-1</v>
      </c>
      <c r="P59" s="222">
        <f t="shared" si="9"/>
        <v>0</v>
      </c>
      <c r="Q59" s="222">
        <f t="shared" si="10"/>
        <v>1</v>
      </c>
      <c r="T59" s="12" t="s">
        <v>717</v>
      </c>
      <c r="U59" s="85">
        <v>2.0799999999999999E-2</v>
      </c>
      <c r="V59" s="379">
        <v>0.39691435768261968</v>
      </c>
    </row>
    <row r="60" spans="1:22" x14ac:dyDescent="0.2">
      <c r="A60" s="356"/>
      <c r="B60" s="222" t="s">
        <v>2805</v>
      </c>
      <c r="C60" s="223" cm="1">
        <f t="array" ref="C60:M60">tinh_du_lieu_cp(B60)</f>
        <v>61.8</v>
      </c>
      <c r="D60" s="224">
        <v>1121</v>
      </c>
      <c r="E60" s="225">
        <v>1.15E-2</v>
      </c>
      <c r="F60" s="226">
        <v>1.0559623207022051</v>
      </c>
      <c r="G60" s="226">
        <v>1.007248520710059</v>
      </c>
      <c r="H60" s="226">
        <v>1.7058510233584419</v>
      </c>
      <c r="I60" s="225">
        <v>7.142857142857148E-2</v>
      </c>
      <c r="J60" s="222">
        <v>58.8</v>
      </c>
      <c r="K60" s="222">
        <v>63</v>
      </c>
      <c r="L60" s="225">
        <v>5.1020408163265307E-2</v>
      </c>
      <c r="M60" s="225">
        <v>-1.9047619047619094E-2</v>
      </c>
      <c r="N60" s="228"/>
      <c r="O60" s="222">
        <f t="shared" si="8"/>
        <v>1</v>
      </c>
      <c r="P60" s="222">
        <f t="shared" si="9"/>
        <v>1</v>
      </c>
      <c r="Q60" s="222">
        <f t="shared" si="10"/>
        <v>0</v>
      </c>
      <c r="T60" s="12" t="s">
        <v>2394</v>
      </c>
      <c r="U60" s="85">
        <v>2.5699999999999997E-2</v>
      </c>
      <c r="V60" s="379">
        <v>8.142116950407105E-2</v>
      </c>
    </row>
    <row r="61" spans="1:22" x14ac:dyDescent="0.2">
      <c r="B61" s="222" t="s">
        <v>609</v>
      </c>
      <c r="C61" s="223" cm="1">
        <f t="array" ref="C61:M61">tinh_du_lieu_cp(B61)</f>
        <v>14.3</v>
      </c>
      <c r="D61" s="224">
        <v>4607.3999999999996</v>
      </c>
      <c r="E61" s="225">
        <v>2.1400000000000002E-2</v>
      </c>
      <c r="F61" s="226">
        <v>0.95659214966818418</v>
      </c>
      <c r="G61" s="226">
        <v>0.95873113643363095</v>
      </c>
      <c r="H61" s="226">
        <v>1.0578106345853613</v>
      </c>
      <c r="I61" s="225">
        <v>0.22640287769784173</v>
      </c>
      <c r="J61" s="222">
        <v>13.9</v>
      </c>
      <c r="K61" s="222">
        <v>17.047000000000001</v>
      </c>
      <c r="L61" s="225">
        <v>2.8776978417266213E-2</v>
      </c>
      <c r="M61" s="225">
        <v>-0.16114272305977589</v>
      </c>
      <c r="N61" s="228"/>
      <c r="O61" s="222">
        <f t="shared" ref="O61" si="11">IF(E61&gt;0,1,IF(E61=0,0,-1))</f>
        <v>1</v>
      </c>
      <c r="P61" s="222">
        <f t="shared" ref="P61" si="12">IF(O61=1,1,0)</f>
        <v>1</v>
      </c>
      <c r="Q61" s="222">
        <f t="shared" ref="Q61" si="13">IF(O61&lt;0,1,0)</f>
        <v>0</v>
      </c>
      <c r="T61" s="12" t="s">
        <v>2969</v>
      </c>
      <c r="U61" s="98">
        <v>-0.31790000000000002</v>
      </c>
      <c r="V61" s="99">
        <v>18.793976816991417</v>
      </c>
    </row>
  </sheetData>
  <mergeCells count="19">
    <mergeCell ref="A20:A60"/>
    <mergeCell ref="N18:N19"/>
    <mergeCell ref="H18:H19"/>
    <mergeCell ref="I18:I19"/>
    <mergeCell ref="J18:J19"/>
    <mergeCell ref="K18:K19"/>
    <mergeCell ref="L18:L19"/>
    <mergeCell ref="M18:M19"/>
    <mergeCell ref="A3:B3"/>
    <mergeCell ref="A1:F1"/>
    <mergeCell ref="A2:B2"/>
    <mergeCell ref="E18:E19"/>
    <mergeCell ref="F14:G14"/>
    <mergeCell ref="F18:F19"/>
    <mergeCell ref="G18:G19"/>
    <mergeCell ref="A18:A19"/>
    <mergeCell ref="B18:B19"/>
    <mergeCell ref="C18:C19"/>
    <mergeCell ref="D18:D19"/>
  </mergeCells>
  <conditionalFormatting sqref="A14">
    <cfRule type="expression" dxfId="75" priority="406" stopIfTrue="1">
      <formula>A14="giảm"</formula>
    </cfRule>
    <cfRule type="expression" dxfId="74" priority="407" stopIfTrue="1">
      <formula>A14="tăng"</formula>
    </cfRule>
  </conditionalFormatting>
  <conditionalFormatting sqref="C20:C61">
    <cfRule type="expression" dxfId="73" priority="7" stopIfTrue="1">
      <formula>E20&gt;=6.8%</formula>
    </cfRule>
    <cfRule type="expression" dxfId="72" priority="8" stopIfTrue="1">
      <formula>AND(E20&gt;0%,E20&lt;6.8%)</formula>
    </cfRule>
    <cfRule type="expression" dxfId="71" priority="9" stopIfTrue="1">
      <formula>E20=0%</formula>
    </cfRule>
    <cfRule type="expression" dxfId="70" priority="10" stopIfTrue="1">
      <formula>AND(E20&gt;-6.8%, E20&lt;0%)</formula>
    </cfRule>
    <cfRule type="expression" dxfId="69" priority="11" stopIfTrue="1">
      <formula>E20&lt;=-6.8%</formula>
    </cfRule>
  </conditionalFormatting>
  <conditionalFormatting sqref="B20:B61">
    <cfRule type="expression" dxfId="68" priority="17" stopIfTrue="1">
      <formula>E20&gt;=6.8%</formula>
    </cfRule>
    <cfRule type="expression" dxfId="67" priority="18" stopIfTrue="1">
      <formula>AND(E20&gt;0%,E20&lt;6.8%)</formula>
    </cfRule>
    <cfRule type="expression" dxfId="66" priority="19" stopIfTrue="1">
      <formula>E20=0%</formula>
    </cfRule>
    <cfRule type="expression" dxfId="65" priority="20" stopIfTrue="1">
      <formula>AND(E20&gt;-6.8%, E20&lt;0%)</formula>
    </cfRule>
    <cfRule type="expression" dxfId="64" priority="21" stopIfTrue="1">
      <formula>E20&lt;=-6.8%</formula>
    </cfRule>
  </conditionalFormatting>
  <conditionalFormatting sqref="F43:F49 F21:F27 F29:F41 F51:F57 F59:F61">
    <cfRule type="colorScale" priority="18931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43:I49 I21:I27 I29:I41 I51:I57 I59:I61">
    <cfRule type="colorScale" priority="18937">
      <colorScale>
        <cfvo type="min"/>
        <cfvo type="percentile" val="50"/>
        <cfvo type="max"/>
        <color rgb="FFFF3829"/>
        <color rgb="FFFFC000"/>
        <color rgb="FF00A400"/>
      </colorScale>
    </cfRule>
  </conditionalFormatting>
  <conditionalFormatting sqref="L43:M49 L21:M27 L29:M41 L51:M57 L59:M60">
    <cfRule type="colorScale" priority="18943">
      <colorScale>
        <cfvo type="min"/>
        <cfvo type="percentile" val="50"/>
        <cfvo type="max"/>
        <color rgb="FFFF3829"/>
        <color rgb="FFFFC000"/>
        <color rgb="FF00BC55"/>
      </colorScale>
    </cfRule>
  </conditionalFormatting>
  <conditionalFormatting sqref="I20:I61">
    <cfRule type="colorScale" priority="19036">
      <colorScale>
        <cfvo type="min"/>
        <cfvo type="max"/>
        <color theme="0" tint="-4.9989318521683403E-2"/>
        <color rgb="FF00B050"/>
      </colorScale>
    </cfRule>
  </conditionalFormatting>
  <conditionalFormatting sqref="L20:L61">
    <cfRule type="colorScale" priority="19038">
      <colorScale>
        <cfvo type="min"/>
        <cfvo type="max"/>
        <color theme="0" tint="-4.9989318521683403E-2"/>
        <color rgb="FF00B050"/>
      </colorScale>
    </cfRule>
  </conditionalFormatting>
  <conditionalFormatting sqref="M20:M61">
    <cfRule type="colorScale" priority="19040">
      <colorScale>
        <cfvo type="min"/>
        <cfvo type="max"/>
        <color rgb="FFFF7C80"/>
        <color theme="0" tint="-4.9989318521683403E-2"/>
      </colorScale>
    </cfRule>
  </conditionalFormatting>
  <conditionalFormatting sqref="N20:N61">
    <cfRule type="colorScale" priority="19042">
      <colorScale>
        <cfvo type="min"/>
        <cfvo type="max"/>
        <color theme="0" tint="-4.9989318521683403E-2"/>
        <color rgb="FFFF0000"/>
      </colorScale>
    </cfRule>
  </conditionalFormatting>
  <conditionalFormatting sqref="L61:M61">
    <cfRule type="colorScale" priority="1">
      <colorScale>
        <cfvo type="min"/>
        <cfvo type="percentile" val="50"/>
        <cfvo type="max"/>
        <color rgb="FFFF3829"/>
        <color rgb="FFFFC000"/>
        <color rgb="FF00BC55"/>
      </colorScale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E5F6439-E4C1-40DF-B70A-B9E8F180918E}">
          <x14:formula1>
            <xm:f>'Nơi chứ dữ liệu'!$I$2:$K$2</xm:f>
          </x14:formula1>
          <xm:sqref>N20:N60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51320-AC29-48F3-B5EF-093CF3102D2A}">
  <sheetPr codeName="Sheet21">
    <tabColor theme="9" tint="-0.249977111117893"/>
  </sheetPr>
  <dimension ref="A1:X40"/>
  <sheetViews>
    <sheetView zoomScaleNormal="100" workbookViewId="0">
      <selection activeCell="B20" sqref="B20:B40"/>
    </sheetView>
  </sheetViews>
  <sheetFormatPr defaultRowHeight="15" x14ac:dyDescent="0.2"/>
  <cols>
    <col min="1" max="1" width="8" customWidth="1"/>
    <col min="2" max="2" width="9.6640625" customWidth="1"/>
    <col min="3" max="3" width="11.10937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  <col min="24" max="24" width="15.6640625" bestFit="1" customWidth="1"/>
  </cols>
  <sheetData>
    <row r="1" spans="1:11" ht="15.75" x14ac:dyDescent="0.25">
      <c r="A1" s="332" t="s">
        <v>3140</v>
      </c>
      <c r="B1" s="332"/>
      <c r="C1" s="332"/>
      <c r="D1" s="332"/>
      <c r="E1" s="332"/>
      <c r="F1" s="332"/>
      <c r="K1" s="150"/>
    </row>
    <row r="2" spans="1:11" ht="15.75" x14ac:dyDescent="0.25">
      <c r="A2" s="332" t="s">
        <v>3141</v>
      </c>
      <c r="B2" s="332"/>
      <c r="C2" s="242" t="s">
        <v>3015</v>
      </c>
      <c r="D2" s="242" t="s">
        <v>3142</v>
      </c>
      <c r="E2" s="242" t="s">
        <v>3143</v>
      </c>
      <c r="F2" s="242" t="s">
        <v>3144</v>
      </c>
    </row>
    <row r="3" spans="1:11" x14ac:dyDescent="0.2">
      <c r="A3" s="357">
        <v>45839</v>
      </c>
      <c r="B3" s="357"/>
      <c r="C3" t="s">
        <v>2514</v>
      </c>
    </row>
    <row r="12" spans="1:11" ht="18" customHeight="1" x14ac:dyDescent="0.2"/>
    <row r="13" spans="1:11" ht="14.25" customHeight="1" x14ac:dyDescent="0.2"/>
    <row r="14" spans="1:11" ht="15.75" x14ac:dyDescent="0.2">
      <c r="A14" s="155" t="str">
        <f>"Tổng điểm nhóm hôm nay"&amp;" "&amp;SUM($O$20:O23)&amp;" "&amp;"trên tổng"&amp;" "&amp;$O$19</f>
        <v>Tổng điểm nhóm hôm nay 1 trên tổng 20</v>
      </c>
      <c r="B14" s="158"/>
      <c r="C14" s="158"/>
      <c r="D14" s="158"/>
      <c r="E14" s="158"/>
      <c r="F14" s="346" t="s">
        <v>3013</v>
      </c>
      <c r="G14" s="346"/>
    </row>
    <row r="15" spans="1:11" ht="15.75" x14ac:dyDescent="0.2">
      <c r="A15" s="159" t="str">
        <f>"Tổng điểm tăng nhóm hôm nay"&amp;" "&amp;$P$19</f>
        <v>Tổng điểm tăng nhóm hôm nay 12</v>
      </c>
      <c r="B15" s="160"/>
      <c r="C15" s="160"/>
      <c r="D15" s="160"/>
      <c r="E15" s="160"/>
      <c r="F15" s="156" t="s">
        <v>3014</v>
      </c>
      <c r="G15" s="156" t="s">
        <v>3008</v>
      </c>
    </row>
    <row r="16" spans="1:11" ht="15.75" x14ac:dyDescent="0.2">
      <c r="A16" s="159" t="str">
        <f>"Tổng điểm giảm nhóm hôm nay"&amp;" "&amp;$Q$19</f>
        <v>Tổng điểm giảm nhóm hôm nay 6</v>
      </c>
      <c r="B16" s="160"/>
      <c r="C16" s="160"/>
      <c r="D16" s="160"/>
      <c r="E16" s="160"/>
      <c r="F16" s="164">
        <f>AVERAGE(E20:E40)</f>
        <v>3.3952380952380948E-3</v>
      </c>
      <c r="G16" s="162">
        <f>AVERAGE(F20:F40)</f>
        <v>1.1177338327867608</v>
      </c>
    </row>
    <row r="17" spans="1:24" ht="15.75" x14ac:dyDescent="0.2">
      <c r="A17" s="159" t="str">
        <f>"Tổng điểm tham chiếu nhóm hôm nay"&amp;" "&amp;(O19-(P19+Q19))</f>
        <v>Tổng điểm tham chiếu nhóm hôm nay 2</v>
      </c>
      <c r="B17" s="160"/>
      <c r="C17" s="160"/>
      <c r="D17" s="160"/>
      <c r="E17" s="160"/>
      <c r="F17" s="160"/>
      <c r="G17" s="163"/>
    </row>
    <row r="18" spans="1:24" s="86" customFormat="1" ht="15.75" customHeight="1" x14ac:dyDescent="0.25">
      <c r="A18" s="339" t="s">
        <v>127</v>
      </c>
      <c r="B18" s="348" t="s">
        <v>16</v>
      </c>
      <c r="C18" s="348" t="s">
        <v>2949</v>
      </c>
      <c r="D18" s="348" t="s">
        <v>2950</v>
      </c>
      <c r="E18" s="348" t="s">
        <v>2951</v>
      </c>
      <c r="F18" s="345" t="s">
        <v>2952</v>
      </c>
      <c r="G18" s="345" t="s">
        <v>2964</v>
      </c>
      <c r="H18" s="345" t="s">
        <v>2953</v>
      </c>
      <c r="I18" s="345" t="s">
        <v>2954</v>
      </c>
      <c r="J18" s="345" t="s">
        <v>2956</v>
      </c>
      <c r="K18" s="345" t="s">
        <v>2955</v>
      </c>
      <c r="L18" s="345" t="s">
        <v>2957</v>
      </c>
      <c r="M18" s="345" t="s">
        <v>2963</v>
      </c>
      <c r="N18" s="345" t="s">
        <v>2958</v>
      </c>
      <c r="O18" s="169" t="s">
        <v>2959</v>
      </c>
      <c r="P18" s="137" t="s">
        <v>2972</v>
      </c>
      <c r="Q18" s="137" t="s">
        <v>2973</v>
      </c>
      <c r="T18" s="82" t="s">
        <v>2968</v>
      </c>
      <c r="U18" t="s">
        <v>2974</v>
      </c>
      <c r="V18" t="s">
        <v>2975</v>
      </c>
      <c r="X18"/>
    </row>
    <row r="19" spans="1:24" s="86" customFormat="1" ht="15.75" x14ac:dyDescent="0.25">
      <c r="A19" s="339"/>
      <c r="B19" s="344"/>
      <c r="C19" s="344"/>
      <c r="D19" s="344"/>
      <c r="E19" s="344"/>
      <c r="F19" s="343"/>
      <c r="G19" s="343"/>
      <c r="H19" s="343"/>
      <c r="I19" s="343"/>
      <c r="J19" s="343"/>
      <c r="K19" s="343"/>
      <c r="L19" s="343"/>
      <c r="M19" s="343"/>
      <c r="N19" s="343"/>
      <c r="O19" s="137">
        <f>COUNT(O20:O39)</f>
        <v>20</v>
      </c>
      <c r="P19" s="137">
        <f>SUM(P20:P39)</f>
        <v>12</v>
      </c>
      <c r="Q19" s="137">
        <f>SUM(Q20:Q39)</f>
        <v>6</v>
      </c>
      <c r="T19" s="12" t="s">
        <v>1322</v>
      </c>
      <c r="U19" s="85">
        <v>-4.9000000000000002E-2</v>
      </c>
      <c r="V19" s="379">
        <v>0.14056885759813365</v>
      </c>
      <c r="X19"/>
    </row>
    <row r="20" spans="1:24" ht="15.75" customHeight="1" x14ac:dyDescent="0.2">
      <c r="A20" s="347" t="s">
        <v>2994</v>
      </c>
      <c r="B20" s="222" t="s">
        <v>185</v>
      </c>
      <c r="C20" s="223" cm="1">
        <f t="array" ref="C20:M20">tinh_du_lieu_cp(B20)</f>
        <v>3.45</v>
      </c>
      <c r="D20" s="224">
        <v>1611.1</v>
      </c>
      <c r="E20" s="225">
        <v>6.8099999999999994E-2</v>
      </c>
      <c r="F20" s="226">
        <v>5.3733456634780108</v>
      </c>
      <c r="G20" s="226">
        <v>1.0305655117483075</v>
      </c>
      <c r="H20" s="226">
        <v>2.4155629966515071</v>
      </c>
      <c r="I20" s="227">
        <v>0.23655913978494628</v>
      </c>
      <c r="J20" s="222">
        <v>2.79</v>
      </c>
      <c r="K20" s="222">
        <v>3.45</v>
      </c>
      <c r="L20" s="225">
        <v>0.23655913978494628</v>
      </c>
      <c r="M20" s="225">
        <v>0</v>
      </c>
      <c r="N20" s="228"/>
      <c r="O20" s="222">
        <f>IF(E20&gt;0,1,IF(E20=0,0,-1))</f>
        <v>1</v>
      </c>
      <c r="P20" s="222">
        <f t="shared" ref="P20:P29" si="0">IF(O20=1,1,0)</f>
        <v>1</v>
      </c>
      <c r="Q20" s="222">
        <f t="shared" ref="Q20:Q29" si="1">IF(O20&lt;0,1,0)</f>
        <v>0</v>
      </c>
      <c r="T20" s="12" t="s">
        <v>1161</v>
      </c>
      <c r="U20" s="85">
        <v>-1.7100000000000001E-2</v>
      </c>
      <c r="V20" s="379">
        <v>0.28037854386117639</v>
      </c>
    </row>
    <row r="21" spans="1:24" ht="15.75" customHeight="1" x14ac:dyDescent="0.2">
      <c r="A21" s="347"/>
      <c r="B21" s="222" t="s">
        <v>272</v>
      </c>
      <c r="C21" s="223">
        <f t="array" ref="C21:M21">tinh_du_lieu_cp(B21)</f>
        <v>18.8</v>
      </c>
      <c r="D21" s="224">
        <v>336.7</v>
      </c>
      <c r="E21" s="225">
        <v>-2.7000000000000001E-3</v>
      </c>
      <c r="F21" s="226">
        <v>0.52079700770572024</v>
      </c>
      <c r="G21" s="226">
        <v>0.93541485349579356</v>
      </c>
      <c r="H21" s="226">
        <v>0.48561332660272588</v>
      </c>
      <c r="I21" s="225">
        <v>0.35106382978723394</v>
      </c>
      <c r="J21" s="222">
        <v>18.8</v>
      </c>
      <c r="K21" s="222">
        <v>25.4</v>
      </c>
      <c r="L21" s="225">
        <v>0</v>
      </c>
      <c r="M21" s="225">
        <v>-0.2598425196850393</v>
      </c>
      <c r="N21" s="228"/>
      <c r="O21" s="222">
        <f t="shared" ref="O21:O29" si="2">IF(E21&gt;0,1,IF(E21=0,0,-1))</f>
        <v>-1</v>
      </c>
      <c r="P21" s="222">
        <f t="shared" si="0"/>
        <v>0</v>
      </c>
      <c r="Q21" s="222">
        <f t="shared" si="1"/>
        <v>1</v>
      </c>
      <c r="T21" s="12" t="s">
        <v>1031</v>
      </c>
      <c r="U21" s="85">
        <v>-1.5900000000000001E-2</v>
      </c>
      <c r="V21" s="379">
        <v>0.42874543239951279</v>
      </c>
    </row>
    <row r="22" spans="1:24" ht="15.75" customHeight="1" x14ac:dyDescent="0.2">
      <c r="A22" s="347"/>
      <c r="B22" s="222" t="s">
        <v>306</v>
      </c>
      <c r="C22" s="223">
        <f t="array" ref="C22:M22">tinh_du_lieu_cp(B22)</f>
        <v>6.19</v>
      </c>
      <c r="D22" s="224">
        <v>702.7</v>
      </c>
      <c r="E22" s="225">
        <v>8.1000000000000013E-3</v>
      </c>
      <c r="F22" s="226">
        <v>1.8912894543675067</v>
      </c>
      <c r="G22" s="226">
        <v>1.0162328575426811</v>
      </c>
      <c r="H22" s="226">
        <v>1.2020870160232653</v>
      </c>
      <c r="I22" s="225">
        <v>0.12365591397849453</v>
      </c>
      <c r="J22" s="222">
        <v>5.58</v>
      </c>
      <c r="K22" s="222">
        <v>6.27</v>
      </c>
      <c r="L22" s="225">
        <v>0.10931899641577067</v>
      </c>
      <c r="M22" s="225">
        <v>-1.2759170653907366E-2</v>
      </c>
      <c r="N22" s="228"/>
      <c r="O22" s="222">
        <f t="shared" si="2"/>
        <v>1</v>
      </c>
      <c r="P22" s="222">
        <f t="shared" si="0"/>
        <v>1</v>
      </c>
      <c r="Q22" s="222">
        <f t="shared" si="1"/>
        <v>0</v>
      </c>
      <c r="T22" s="12" t="s">
        <v>1822</v>
      </c>
      <c r="U22" s="85">
        <v>-9.1999999999999998E-3</v>
      </c>
      <c r="V22" s="379">
        <v>0.43096871550531657</v>
      </c>
    </row>
    <row r="23" spans="1:24" ht="15.75" customHeight="1" x14ac:dyDescent="0.2">
      <c r="A23" s="347"/>
      <c r="B23" s="222" t="s">
        <v>335</v>
      </c>
      <c r="C23" s="223">
        <f t="array" ref="C23:M23">tinh_du_lieu_cp(B23)</f>
        <v>29.8</v>
      </c>
      <c r="D23" s="224">
        <v>1096.3</v>
      </c>
      <c r="E23" s="225">
        <v>0</v>
      </c>
      <c r="F23" s="226">
        <v>0.76371886687306645</v>
      </c>
      <c r="G23" s="226">
        <v>1.0058658536647456</v>
      </c>
      <c r="H23" s="226">
        <v>1.170447872737949</v>
      </c>
      <c r="I23" s="225">
        <v>8.0426696610288367E-2</v>
      </c>
      <c r="J23" s="222">
        <v>28.498000000000001</v>
      </c>
      <c r="K23" s="222">
        <v>30.79</v>
      </c>
      <c r="L23" s="225">
        <v>4.5687416660818291E-2</v>
      </c>
      <c r="M23" s="225">
        <v>-3.2153296524845679E-2</v>
      </c>
      <c r="N23" s="228"/>
      <c r="O23" s="222">
        <f t="shared" si="2"/>
        <v>0</v>
      </c>
      <c r="P23" s="222">
        <f t="shared" si="0"/>
        <v>0</v>
      </c>
      <c r="Q23" s="222">
        <f t="shared" si="1"/>
        <v>0</v>
      </c>
      <c r="T23" s="12" t="s">
        <v>272</v>
      </c>
      <c r="U23" s="85">
        <v>-8.0000000000000002E-3</v>
      </c>
      <c r="V23" s="379">
        <v>0.20995271142557576</v>
      </c>
    </row>
    <row r="24" spans="1:24" ht="15.75" customHeight="1" x14ac:dyDescent="0.2">
      <c r="A24" s="347"/>
      <c r="B24" s="222" t="s">
        <v>695</v>
      </c>
      <c r="C24" s="223">
        <f t="array" ref="C24:M24">tinh_du_lieu_cp(B24)</f>
        <v>5.32</v>
      </c>
      <c r="D24" s="224">
        <v>10</v>
      </c>
      <c r="E24" s="225">
        <v>7.6E-3</v>
      </c>
      <c r="F24" s="226">
        <v>0.2488406288881348</v>
      </c>
      <c r="G24" s="226">
        <v>0.97413113774082272</v>
      </c>
      <c r="H24" s="226">
        <v>0.26132404181184671</v>
      </c>
      <c r="I24" s="225">
        <v>0.14204545454545453</v>
      </c>
      <c r="J24" s="222">
        <v>5.28</v>
      </c>
      <c r="K24" s="222">
        <v>6.03</v>
      </c>
      <c r="L24" s="225">
        <v>7.575757575757582E-3</v>
      </c>
      <c r="M24" s="225">
        <v>-0.11774461028192371</v>
      </c>
      <c r="N24" s="228"/>
      <c r="O24" s="222">
        <f t="shared" si="2"/>
        <v>1</v>
      </c>
      <c r="P24" s="222">
        <f t="shared" si="0"/>
        <v>1</v>
      </c>
      <c r="Q24" s="222">
        <f t="shared" si="1"/>
        <v>0</v>
      </c>
      <c r="T24" s="12" t="s">
        <v>1384</v>
      </c>
      <c r="U24" s="85">
        <v>-7.4999999999999997E-3</v>
      </c>
      <c r="V24" s="379">
        <v>1.1843056272586474</v>
      </c>
    </row>
    <row r="25" spans="1:24" ht="15.75" customHeight="1" x14ac:dyDescent="0.2">
      <c r="A25" s="347"/>
      <c r="B25" s="222" t="s">
        <v>776</v>
      </c>
      <c r="C25" s="223">
        <f t="array" ref="C25:M25">tinh_du_lieu_cp(B25)</f>
        <v>17.25</v>
      </c>
      <c r="D25" s="224">
        <v>1585.4</v>
      </c>
      <c r="E25" s="225">
        <v>2.07E-2</v>
      </c>
      <c r="F25" s="226">
        <v>1.2258606449345399</v>
      </c>
      <c r="G25" s="226">
        <v>0.95346921968293186</v>
      </c>
      <c r="H25" s="226">
        <v>0.78735256383727192</v>
      </c>
      <c r="I25" s="225">
        <v>0.21420118343195274</v>
      </c>
      <c r="J25" s="222">
        <v>16.899999999999999</v>
      </c>
      <c r="K25" s="222">
        <v>20.52</v>
      </c>
      <c r="L25" s="225">
        <v>2.0710059171597718E-2</v>
      </c>
      <c r="M25" s="225">
        <v>-0.15935672514619881</v>
      </c>
      <c r="N25" s="228"/>
      <c r="O25" s="222">
        <f t="shared" si="2"/>
        <v>1</v>
      </c>
      <c r="P25" s="222">
        <f t="shared" si="0"/>
        <v>1</v>
      </c>
      <c r="Q25" s="222">
        <f t="shared" si="1"/>
        <v>0</v>
      </c>
      <c r="T25" s="12" t="s">
        <v>335</v>
      </c>
      <c r="U25" s="85">
        <v>-5.0000000000000001E-3</v>
      </c>
      <c r="V25" s="379">
        <v>0.38376336474837736</v>
      </c>
    </row>
    <row r="26" spans="1:24" ht="15.75" customHeight="1" x14ac:dyDescent="0.2">
      <c r="A26" s="347"/>
      <c r="B26" s="222" t="s">
        <v>1031</v>
      </c>
      <c r="C26" s="223">
        <f t="array" ref="C26:M26">tinh_du_lieu_cp(B26)</f>
        <v>34.299999999999997</v>
      </c>
      <c r="D26" s="224">
        <v>14.7</v>
      </c>
      <c r="E26" s="225">
        <v>-7.1999999999999998E-3</v>
      </c>
      <c r="F26" s="226">
        <v>0.96049896049896055</v>
      </c>
      <c r="G26" s="226">
        <v>0.98486997635933815</v>
      </c>
      <c r="H26" s="226">
        <v>0.85797665369649811</v>
      </c>
      <c r="I26" s="225">
        <v>9.1924198250729033E-2</v>
      </c>
      <c r="J26" s="222">
        <v>34.299999999999997</v>
      </c>
      <c r="K26" s="222">
        <v>37.453000000000003</v>
      </c>
      <c r="L26" s="225">
        <v>0</v>
      </c>
      <c r="M26" s="225">
        <v>-8.4185512509011448E-2</v>
      </c>
      <c r="N26" s="228"/>
      <c r="O26" s="222">
        <f t="shared" si="2"/>
        <v>-1</v>
      </c>
      <c r="P26" s="222">
        <f t="shared" si="0"/>
        <v>0</v>
      </c>
      <c r="Q26" s="222">
        <f t="shared" si="1"/>
        <v>1</v>
      </c>
      <c r="T26" s="12" t="s">
        <v>2142</v>
      </c>
      <c r="U26" s="85">
        <v>-4.6999999999999993E-3</v>
      </c>
      <c r="V26" s="379">
        <v>0.6012324558340898</v>
      </c>
    </row>
    <row r="27" spans="1:24" ht="15.75" customHeight="1" x14ac:dyDescent="0.2">
      <c r="A27" s="347"/>
      <c r="B27" s="222" t="s">
        <v>1161</v>
      </c>
      <c r="C27" s="223">
        <f t="array" ref="C27:M27">tinh_du_lieu_cp(B27)</f>
        <v>14.65</v>
      </c>
      <c r="D27" s="224">
        <v>1713.8</v>
      </c>
      <c r="E27" s="225">
        <v>0</v>
      </c>
      <c r="F27" s="226">
        <v>0.67149551102696947</v>
      </c>
      <c r="G27" s="226">
        <v>0.98041299726692976</v>
      </c>
      <c r="H27" s="226">
        <v>1.0606073108342271</v>
      </c>
      <c r="I27" s="227">
        <v>0.14827586206896542</v>
      </c>
      <c r="J27" s="222">
        <v>14.5</v>
      </c>
      <c r="K27" s="222">
        <v>16.649999999999999</v>
      </c>
      <c r="L27" s="225">
        <v>1.0344827586206921E-2</v>
      </c>
      <c r="M27" s="225">
        <v>-0.12012012012012002</v>
      </c>
      <c r="N27" s="228"/>
      <c r="O27" s="222">
        <f t="shared" si="2"/>
        <v>0</v>
      </c>
      <c r="P27" s="222">
        <f t="shared" si="0"/>
        <v>0</v>
      </c>
      <c r="Q27" s="222">
        <f t="shared" si="1"/>
        <v>0</v>
      </c>
      <c r="T27" s="12" t="s">
        <v>1653</v>
      </c>
      <c r="U27" s="85">
        <v>-4.4000000000000003E-3</v>
      </c>
      <c r="V27" s="379">
        <v>0.31107577149280946</v>
      </c>
    </row>
    <row r="28" spans="1:24" ht="15.75" customHeight="1" x14ac:dyDescent="0.2">
      <c r="A28" s="347"/>
      <c r="B28" s="222" t="s">
        <v>1322</v>
      </c>
      <c r="C28" s="223" cm="1">
        <f t="array" ref="C28:M28">tinh_du_lieu_cp(B28)</f>
        <v>9.49</v>
      </c>
      <c r="D28" s="224">
        <v>1114</v>
      </c>
      <c r="E28" s="225">
        <v>-6.9599999999999995E-2</v>
      </c>
      <c r="F28" s="226">
        <v>1.2135857427939014</v>
      </c>
      <c r="G28" s="226">
        <v>1.1701020195711016</v>
      </c>
      <c r="H28" s="226">
        <v>0.83247188352368262</v>
      </c>
      <c r="I28" s="225">
        <v>1.1702127659574466</v>
      </c>
      <c r="J28" s="222">
        <v>4.7</v>
      </c>
      <c r="K28" s="222">
        <v>10.199999999999999</v>
      </c>
      <c r="L28" s="225">
        <v>1.0191489361702126</v>
      </c>
      <c r="M28" s="225">
        <v>-6.9607843137254821E-2</v>
      </c>
      <c r="N28" s="228"/>
      <c r="O28" s="222">
        <f t="shared" si="2"/>
        <v>-1</v>
      </c>
      <c r="P28" s="222">
        <f t="shared" si="0"/>
        <v>0</v>
      </c>
      <c r="Q28" s="222">
        <f t="shared" si="1"/>
        <v>1</v>
      </c>
      <c r="T28" s="12" t="s">
        <v>1568</v>
      </c>
      <c r="U28" s="85">
        <v>-3.5999999999999999E-3</v>
      </c>
      <c r="V28" s="379">
        <v>0.28737604881769641</v>
      </c>
    </row>
    <row r="29" spans="1:24" ht="15.75" customHeight="1" x14ac:dyDescent="0.2">
      <c r="A29" s="347"/>
      <c r="B29" s="222" t="s">
        <v>1384</v>
      </c>
      <c r="C29" s="223" cm="1">
        <f t="array" ref="C29:M29">tinh_du_lieu_cp(B29)</f>
        <v>5.28</v>
      </c>
      <c r="D29" s="224">
        <v>381.4</v>
      </c>
      <c r="E29" s="225">
        <v>-9.3999999999999986E-3</v>
      </c>
      <c r="F29" s="226">
        <v>1.9012099515113063</v>
      </c>
      <c r="G29" s="226">
        <v>0.96643133436122175</v>
      </c>
      <c r="H29" s="226">
        <v>1.6759923831844148</v>
      </c>
      <c r="I29" s="225">
        <v>0.26136363636363635</v>
      </c>
      <c r="J29" s="222">
        <v>5.28</v>
      </c>
      <c r="K29" s="222">
        <v>6.66</v>
      </c>
      <c r="L29" s="225">
        <v>0</v>
      </c>
      <c r="M29" s="225">
        <v>-0.2072072072072072</v>
      </c>
      <c r="N29" s="228"/>
      <c r="O29" s="222">
        <f t="shared" si="2"/>
        <v>-1</v>
      </c>
      <c r="P29" s="222">
        <f t="shared" si="0"/>
        <v>0</v>
      </c>
      <c r="Q29" s="222">
        <f t="shared" si="1"/>
        <v>1</v>
      </c>
      <c r="T29" s="12" t="s">
        <v>1678</v>
      </c>
      <c r="U29" s="85">
        <v>-2.0999999999999999E-3</v>
      </c>
      <c r="V29" s="379">
        <v>0.54112477587817875</v>
      </c>
    </row>
    <row r="30" spans="1:24" ht="15.75" customHeight="1" x14ac:dyDescent="0.2">
      <c r="A30" s="347"/>
      <c r="B30" s="222" t="s">
        <v>1440</v>
      </c>
      <c r="C30" s="223" cm="1">
        <f t="array" ref="C30:M30">tinh_du_lieu_cp(B30)</f>
        <v>50</v>
      </c>
      <c r="D30" s="224">
        <v>68.900000000000006</v>
      </c>
      <c r="E30" s="225">
        <v>4.0000000000000001E-3</v>
      </c>
      <c r="F30" s="226">
        <v>0.17703187227730868</v>
      </c>
      <c r="G30" s="226">
        <v>0.99681876022541349</v>
      </c>
      <c r="H30" s="226">
        <v>0.7911961722488039</v>
      </c>
      <c r="I30" s="225">
        <v>0.23076923076923078</v>
      </c>
      <c r="J30" s="222">
        <v>41.6</v>
      </c>
      <c r="K30" s="222">
        <v>51.2</v>
      </c>
      <c r="L30" s="225">
        <v>0.20192307692307687</v>
      </c>
      <c r="M30" s="225">
        <v>-2.3437500000000056E-2</v>
      </c>
      <c r="N30" s="228"/>
      <c r="O30" s="222">
        <f>IF(E30&gt;0,1,IF(E30=0,0,-1))</f>
        <v>1</v>
      </c>
      <c r="P30" s="222">
        <f>IF(O30=1,1,0)</f>
        <v>1</v>
      </c>
      <c r="Q30" s="222">
        <f>IF(O30&lt;0,1,0)</f>
        <v>0</v>
      </c>
      <c r="T30" s="12" t="s">
        <v>2987</v>
      </c>
      <c r="U30" s="85">
        <v>0</v>
      </c>
      <c r="V30" s="379">
        <v>0.8248252488879475</v>
      </c>
    </row>
    <row r="31" spans="1:24" ht="15.75" customHeight="1" x14ac:dyDescent="0.2">
      <c r="A31" s="347"/>
      <c r="B31" s="222" t="s">
        <v>1568</v>
      </c>
      <c r="C31" s="223">
        <f t="array" ref="C31:M31">tinh_du_lieu_cp(B31)</f>
        <v>8.27</v>
      </c>
      <c r="D31" s="224">
        <v>48.1</v>
      </c>
      <c r="E31" s="225">
        <v>2.3999999999999998E-3</v>
      </c>
      <c r="F31" s="226">
        <v>0.97692023633677982</v>
      </c>
      <c r="G31" s="226">
        <v>0.99836484227158317</v>
      </c>
      <c r="H31" s="226">
        <v>1.3256775378961874</v>
      </c>
      <c r="I31" s="225">
        <v>5.0617283950617306E-2</v>
      </c>
      <c r="J31" s="222">
        <v>8.1</v>
      </c>
      <c r="K31" s="222">
        <v>8.51</v>
      </c>
      <c r="L31" s="225">
        <v>2.0987654320987648E-2</v>
      </c>
      <c r="M31" s="225">
        <v>-2.8202115158636923E-2</v>
      </c>
      <c r="N31" s="228"/>
      <c r="O31" s="222">
        <f>IF(E31&gt;0,1,IF(E31=0,0,-1))</f>
        <v>1</v>
      </c>
      <c r="P31" s="222">
        <f>IF(O31=1,1,0)</f>
        <v>1</v>
      </c>
      <c r="Q31" s="222">
        <f>IF(O31&lt;0,1,0)</f>
        <v>0</v>
      </c>
      <c r="T31" s="12" t="s">
        <v>1440</v>
      </c>
      <c r="U31" s="85">
        <v>0</v>
      </c>
      <c r="V31" s="379">
        <v>6.4566115702479332E-2</v>
      </c>
    </row>
    <row r="32" spans="1:24" ht="15.75" customHeight="1" x14ac:dyDescent="0.2">
      <c r="A32" s="347"/>
      <c r="B32" s="222" t="s">
        <v>2987</v>
      </c>
      <c r="C32" s="223">
        <f t="array" ref="C32:M32">tinh_du_lieu_cp(B32)</f>
        <v>28.7</v>
      </c>
      <c r="D32" s="224">
        <v>37.799999999999997</v>
      </c>
      <c r="E32" s="225">
        <v>6.9999999999999993E-3</v>
      </c>
      <c r="F32" s="226">
        <v>0.87851257130783855</v>
      </c>
      <c r="G32" s="226">
        <v>1.0146806226516369</v>
      </c>
      <c r="H32" s="226">
        <v>1.8086124401913874</v>
      </c>
      <c r="I32" s="225">
        <v>0.19453924914675771</v>
      </c>
      <c r="J32" s="222">
        <v>24.611999999999998</v>
      </c>
      <c r="K32" s="222">
        <v>29.4</v>
      </c>
      <c r="L32" s="225">
        <v>0.16609783845278731</v>
      </c>
      <c r="M32" s="225">
        <v>-2.3809523809523787E-2</v>
      </c>
      <c r="N32" s="228"/>
      <c r="O32" s="222">
        <f>IF(E32&gt;0,1,IF(E32=0,0,-1))</f>
        <v>1</v>
      </c>
      <c r="P32" s="222">
        <f>IF(O32=1,1,0)</f>
        <v>1</v>
      </c>
      <c r="Q32" s="222">
        <f>IF(O32&lt;0,1,0)</f>
        <v>0</v>
      </c>
      <c r="T32" s="12" t="s">
        <v>695</v>
      </c>
      <c r="U32" s="85">
        <v>1.9E-3</v>
      </c>
      <c r="V32" s="379">
        <v>0.14501647914535742</v>
      </c>
    </row>
    <row r="33" spans="1:22" ht="15.75" customHeight="1" x14ac:dyDescent="0.2">
      <c r="A33" s="347"/>
      <c r="B33" s="222" t="s">
        <v>1653</v>
      </c>
      <c r="C33" s="223">
        <f t="array" ref="C33:M33">tinh_du_lieu_cp(B33)</f>
        <v>68.400000000000006</v>
      </c>
      <c r="D33" s="224">
        <v>2364.8000000000002</v>
      </c>
      <c r="E33" s="225">
        <v>7.4000000000000003E-3</v>
      </c>
      <c r="F33" s="226">
        <v>0.70043243883656181</v>
      </c>
      <c r="G33" s="226">
        <v>0.96607348610933308</v>
      </c>
      <c r="H33" s="226">
        <v>0.42364743819419565</v>
      </c>
      <c r="I33" s="227">
        <v>0.19293078055964644</v>
      </c>
      <c r="J33" s="222">
        <v>67.900000000000006</v>
      </c>
      <c r="K33" s="222">
        <v>81</v>
      </c>
      <c r="L33" s="225">
        <v>7.3637702503681875E-3</v>
      </c>
      <c r="M33" s="225">
        <v>-0.15555555555555547</v>
      </c>
      <c r="N33" s="228"/>
      <c r="O33" s="222">
        <f t="shared" ref="O33:O39" si="3">IF(E33&gt;0,1,IF(E33=0,0,-1))</f>
        <v>1</v>
      </c>
      <c r="P33" s="222">
        <f t="shared" ref="P33:P39" si="4">IF(O33=1,1,0)</f>
        <v>1</v>
      </c>
      <c r="Q33" s="222">
        <f t="shared" ref="Q33:Q39" si="5">IF(O33&lt;0,1,0)</f>
        <v>0</v>
      </c>
      <c r="T33" s="12" t="s">
        <v>2700</v>
      </c>
      <c r="U33" s="85">
        <v>3.4999999999999996E-3</v>
      </c>
      <c r="V33" s="379">
        <v>0.34485957825154145</v>
      </c>
    </row>
    <row r="34" spans="1:22" x14ac:dyDescent="0.2">
      <c r="A34" s="347"/>
      <c r="B34" s="222" t="s">
        <v>1678</v>
      </c>
      <c r="C34" s="223">
        <f t="array" ref="C34:M34">tinh_du_lieu_cp(B34)</f>
        <v>48.7</v>
      </c>
      <c r="D34" s="224">
        <v>308.3</v>
      </c>
      <c r="E34" s="225">
        <v>1E-3</v>
      </c>
      <c r="F34" s="226">
        <v>0.84431055730521698</v>
      </c>
      <c r="G34" s="226">
        <v>0.98489588125249183</v>
      </c>
      <c r="H34" s="226">
        <v>1.2959226565783943</v>
      </c>
      <c r="I34" s="225">
        <v>0.11550468262226857</v>
      </c>
      <c r="J34" s="222">
        <v>48.05</v>
      </c>
      <c r="K34" s="222">
        <v>53.6</v>
      </c>
      <c r="L34" s="225">
        <v>1.3527575442247778E-2</v>
      </c>
      <c r="M34" s="225">
        <v>-9.1417910447761166E-2</v>
      </c>
      <c r="N34" s="228"/>
      <c r="O34" s="222">
        <f t="shared" si="3"/>
        <v>1</v>
      </c>
      <c r="P34" s="222">
        <f t="shared" si="4"/>
        <v>1</v>
      </c>
      <c r="Q34" s="222">
        <f t="shared" si="5"/>
        <v>0</v>
      </c>
      <c r="T34" s="12" t="s">
        <v>2776</v>
      </c>
      <c r="U34" s="85">
        <v>3.5999999999999999E-3</v>
      </c>
      <c r="V34" s="379">
        <v>0.31573446450228648</v>
      </c>
    </row>
    <row r="35" spans="1:22" x14ac:dyDescent="0.2">
      <c r="A35" s="347"/>
      <c r="B35" s="222" t="s">
        <v>1822</v>
      </c>
      <c r="C35" s="223">
        <f t="array" ref="C35:M35">tinh_du_lieu_cp(B35)</f>
        <v>21.65</v>
      </c>
      <c r="D35" s="224">
        <v>248.5</v>
      </c>
      <c r="E35" s="225">
        <v>-4.5999999999999999E-3</v>
      </c>
      <c r="F35" s="226">
        <v>0.75249132852502343</v>
      </c>
      <c r="G35" s="226">
        <v>0.97251169004676008</v>
      </c>
      <c r="H35" s="226">
        <v>1.022914379802415</v>
      </c>
      <c r="I35" s="225">
        <v>0.17353348729792156</v>
      </c>
      <c r="J35" s="222">
        <v>21.65</v>
      </c>
      <c r="K35" s="222">
        <v>25.407</v>
      </c>
      <c r="L35" s="225">
        <v>0</v>
      </c>
      <c r="M35" s="225">
        <v>-0.14787263352619362</v>
      </c>
      <c r="N35" s="228"/>
      <c r="O35" s="222">
        <f t="shared" si="3"/>
        <v>-1</v>
      </c>
      <c r="P35" s="222">
        <f t="shared" si="4"/>
        <v>0</v>
      </c>
      <c r="Q35" s="222">
        <f t="shared" si="5"/>
        <v>1</v>
      </c>
      <c r="T35" s="12" t="s">
        <v>2109</v>
      </c>
      <c r="U35" s="85">
        <v>4.3E-3</v>
      </c>
      <c r="V35" s="379">
        <v>0.38187130195674057</v>
      </c>
    </row>
    <row r="36" spans="1:22" x14ac:dyDescent="0.2">
      <c r="A36" s="347"/>
      <c r="B36" s="222" t="s">
        <v>2109</v>
      </c>
      <c r="C36" s="223">
        <f t="array" ref="C36:M36">tinh_du_lieu_cp(B36)</f>
        <v>46.8</v>
      </c>
      <c r="D36" s="224">
        <v>400.6</v>
      </c>
      <c r="E36" s="225">
        <v>1.41E-2</v>
      </c>
      <c r="F36" s="226">
        <v>0.71029513692999569</v>
      </c>
      <c r="G36" s="226">
        <v>0.97993453820976206</v>
      </c>
      <c r="H36" s="226">
        <v>0.83883576464018983</v>
      </c>
      <c r="I36" s="225">
        <v>8.9900110987791437E-2</v>
      </c>
      <c r="J36" s="222">
        <v>45.05</v>
      </c>
      <c r="K36" s="222">
        <v>49.1</v>
      </c>
      <c r="L36" s="225">
        <v>3.8845726970033301E-2</v>
      </c>
      <c r="M36" s="225">
        <v>-4.6843177189409453E-2</v>
      </c>
      <c r="N36" s="228"/>
      <c r="O36" s="222">
        <f t="shared" si="3"/>
        <v>1</v>
      </c>
      <c r="P36" s="222">
        <f t="shared" si="4"/>
        <v>1</v>
      </c>
      <c r="Q36" s="222">
        <f t="shared" si="5"/>
        <v>0</v>
      </c>
      <c r="T36" s="12" t="s">
        <v>776</v>
      </c>
      <c r="U36" s="85">
        <v>5.8999999999999999E-3</v>
      </c>
      <c r="V36" s="379">
        <v>0.65064166236242993</v>
      </c>
    </row>
    <row r="37" spans="1:22" x14ac:dyDescent="0.2">
      <c r="A37" s="347"/>
      <c r="B37" s="222" t="s">
        <v>2142</v>
      </c>
      <c r="C37" s="223">
        <f t="array" ref="C37:M37">tinh_du_lieu_cp(B37)</f>
        <v>20.9</v>
      </c>
      <c r="D37" s="224">
        <v>627.9</v>
      </c>
      <c r="E37" s="225">
        <v>-1.6500000000000001E-2</v>
      </c>
      <c r="F37" s="226">
        <v>1.173485337592171</v>
      </c>
      <c r="G37" s="226">
        <v>0.99279528676888118</v>
      </c>
      <c r="H37" s="226">
        <v>1.1464305276611284</v>
      </c>
      <c r="I37" s="225">
        <v>8.9552238805970005E-2</v>
      </c>
      <c r="J37" s="222">
        <v>20.100000000000001</v>
      </c>
      <c r="K37" s="222">
        <v>21.9</v>
      </c>
      <c r="L37" s="225">
        <v>3.9800995024875475E-2</v>
      </c>
      <c r="M37" s="225">
        <v>-4.5662100456621009E-2</v>
      </c>
      <c r="N37" s="228"/>
      <c r="O37" s="222">
        <f t="shared" si="3"/>
        <v>-1</v>
      </c>
      <c r="P37" s="222">
        <f t="shared" si="4"/>
        <v>0</v>
      </c>
      <c r="Q37" s="222">
        <f t="shared" si="5"/>
        <v>1</v>
      </c>
      <c r="T37" s="12" t="s">
        <v>306</v>
      </c>
      <c r="U37" s="85">
        <v>6.5000000000000006E-3</v>
      </c>
      <c r="V37" s="379">
        <v>0.85444861832964547</v>
      </c>
    </row>
    <row r="38" spans="1:22" x14ac:dyDescent="0.2">
      <c r="A38" s="347"/>
      <c r="B38" s="222" t="s">
        <v>2700</v>
      </c>
      <c r="C38" s="223">
        <f t="array" ref="C38:M38">tinh_du_lieu_cp(B38)</f>
        <v>57.4</v>
      </c>
      <c r="D38" s="224">
        <v>171.8</v>
      </c>
      <c r="E38" s="225">
        <v>6.9999999999999993E-3</v>
      </c>
      <c r="F38" s="226">
        <v>0.71795456272319735</v>
      </c>
      <c r="G38" s="226">
        <v>0.98423894788517663</v>
      </c>
      <c r="H38" s="226">
        <v>0.76605231866825207</v>
      </c>
      <c r="I38" s="225">
        <v>0.13176895306859213</v>
      </c>
      <c r="J38" s="222">
        <v>55.4</v>
      </c>
      <c r="K38" s="222">
        <v>62.7</v>
      </c>
      <c r="L38" s="225">
        <v>3.6101083032490974E-2</v>
      </c>
      <c r="M38" s="225">
        <v>-8.4529505582137232E-2</v>
      </c>
      <c r="N38" s="228"/>
      <c r="O38" s="222">
        <f t="shared" si="3"/>
        <v>1</v>
      </c>
      <c r="P38" s="222">
        <f t="shared" si="4"/>
        <v>1</v>
      </c>
      <c r="Q38" s="222">
        <f t="shared" si="5"/>
        <v>0</v>
      </c>
      <c r="T38" s="12" t="s">
        <v>599</v>
      </c>
      <c r="U38" s="85">
        <v>2.3099999999999999E-2</v>
      </c>
      <c r="V38" s="379">
        <v>1.0098375705477951</v>
      </c>
    </row>
    <row r="39" spans="1:22" x14ac:dyDescent="0.2">
      <c r="A39" s="347"/>
      <c r="B39" s="222" t="s">
        <v>2776</v>
      </c>
      <c r="C39" s="223">
        <f t="array" ref="C39:M39">tinh_du_lieu_cp(B39)</f>
        <v>56</v>
      </c>
      <c r="D39" s="224">
        <v>1755.1</v>
      </c>
      <c r="E39" s="225">
        <v>1.0800000000000001E-2</v>
      </c>
      <c r="F39" s="226">
        <v>0.5867673820844459</v>
      </c>
      <c r="G39" s="226">
        <v>0.99279103387874124</v>
      </c>
      <c r="H39" s="226">
        <v>0.617051447322161</v>
      </c>
      <c r="I39" s="225">
        <v>9.5510948905109527E-2</v>
      </c>
      <c r="J39" s="222">
        <v>54.8</v>
      </c>
      <c r="K39" s="222">
        <v>60.033999999999999</v>
      </c>
      <c r="L39" s="225">
        <v>2.1897810218978155E-2</v>
      </c>
      <c r="M39" s="225">
        <v>-6.7195256021587754E-2</v>
      </c>
      <c r="N39" s="228"/>
      <c r="O39" s="222">
        <f t="shared" si="3"/>
        <v>1</v>
      </c>
      <c r="P39" s="222">
        <f t="shared" si="4"/>
        <v>1</v>
      </c>
      <c r="Q39" s="222">
        <f t="shared" si="5"/>
        <v>0</v>
      </c>
      <c r="T39" s="12" t="s">
        <v>185</v>
      </c>
      <c r="U39" s="85">
        <v>6.8099999999999994E-2</v>
      </c>
      <c r="V39" s="379">
        <v>5.0078086266732775</v>
      </c>
    </row>
    <row r="40" spans="1:22" x14ac:dyDescent="0.2">
      <c r="B40" s="222" t="s">
        <v>599</v>
      </c>
      <c r="C40" s="223" cm="1">
        <f t="array" ref="C40:M40">tinh_du_lieu_cp(B40)</f>
        <v>26.6</v>
      </c>
      <c r="D40" s="224">
        <v>5.2</v>
      </c>
      <c r="E40" s="225">
        <v>2.3099999999999999E-2</v>
      </c>
      <c r="F40" s="226">
        <v>1.1835666325253216</v>
      </c>
      <c r="G40" s="226">
        <v>0.96298886114346849</v>
      </c>
      <c r="H40" s="226">
        <v>1.1512915129151291</v>
      </c>
      <c r="I40" s="225">
        <v>0.15938461538461532</v>
      </c>
      <c r="J40" s="222">
        <v>26</v>
      </c>
      <c r="K40" s="222">
        <v>30.143999999999998</v>
      </c>
      <c r="L40" s="225">
        <v>2.307692307692313E-2</v>
      </c>
      <c r="M40" s="225">
        <v>-0.11756900212314216</v>
      </c>
      <c r="N40" s="228"/>
      <c r="O40" s="222">
        <f>IF(E40&gt;0,1,IF(E40=0,0,-1))</f>
        <v>1</v>
      </c>
      <c r="P40" s="222">
        <f>IF(O40=1,1,0)</f>
        <v>1</v>
      </c>
      <c r="Q40" s="222">
        <f>IF(O40&lt;0,1,0)</f>
        <v>0</v>
      </c>
      <c r="T40" s="12" t="s">
        <v>2969</v>
      </c>
      <c r="U40" s="85">
        <v>-9.6000000000000148E-3</v>
      </c>
      <c r="V40" s="379">
        <v>14.399101971179014</v>
      </c>
    </row>
  </sheetData>
  <mergeCells count="19">
    <mergeCell ref="L18:L19"/>
    <mergeCell ref="M18:M19"/>
    <mergeCell ref="N18:N19"/>
    <mergeCell ref="G18:G19"/>
    <mergeCell ref="H18:H19"/>
    <mergeCell ref="I18:I19"/>
    <mergeCell ref="J18:J19"/>
    <mergeCell ref="K18:K19"/>
    <mergeCell ref="A2:B2"/>
    <mergeCell ref="A3:B3"/>
    <mergeCell ref="A1:F1"/>
    <mergeCell ref="A20:A39"/>
    <mergeCell ref="F14:G14"/>
    <mergeCell ref="A18:A19"/>
    <mergeCell ref="B18:B19"/>
    <mergeCell ref="C18:C19"/>
    <mergeCell ref="D18:D19"/>
    <mergeCell ref="E18:E19"/>
    <mergeCell ref="F18:F19"/>
  </mergeCells>
  <conditionalFormatting sqref="A14">
    <cfRule type="expression" dxfId="58" priority="269" stopIfTrue="1">
      <formula>A14="giảm"</formula>
    </cfRule>
    <cfRule type="expression" dxfId="57" priority="270" stopIfTrue="1">
      <formula>A14="tăng"</formula>
    </cfRule>
  </conditionalFormatting>
  <conditionalFormatting sqref="F21:F26 F28:F32 F34:F40">
    <cfRule type="colorScale" priority="50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1:I26 I28:I32 I34:I40">
    <cfRule type="colorScale" priority="41">
      <colorScale>
        <cfvo type="min"/>
        <cfvo type="percentile" val="50"/>
        <cfvo type="max"/>
        <color rgb="FFFF3829"/>
        <color rgb="FFFFC000"/>
        <color rgb="FF00A400"/>
      </colorScale>
    </cfRule>
  </conditionalFormatting>
  <conditionalFormatting sqref="L21:M26 L28:M32 L34:M40">
    <cfRule type="colorScale" priority="40">
      <colorScale>
        <cfvo type="min"/>
        <cfvo type="percentile" val="50"/>
        <cfvo type="max"/>
        <color rgb="FFFF3829"/>
        <color rgb="FFFFC000"/>
        <color rgb="FF00BC55"/>
      </colorScale>
    </cfRule>
  </conditionalFormatting>
  <conditionalFormatting sqref="C20:C40">
    <cfRule type="expression" dxfId="56" priority="6" stopIfTrue="1">
      <formula>E20&gt;=6.8%</formula>
    </cfRule>
    <cfRule type="expression" dxfId="55" priority="7" stopIfTrue="1">
      <formula>AND(E20&gt;0%,E20&lt;6.8%)</formula>
    </cfRule>
    <cfRule type="expression" dxfId="54" priority="8" stopIfTrue="1">
      <formula>E20=0%</formula>
    </cfRule>
    <cfRule type="expression" dxfId="53" priority="9" stopIfTrue="1">
      <formula>AND(E20&gt;-6.8%, E20&lt;0%)</formula>
    </cfRule>
    <cfRule type="expression" dxfId="52" priority="10" stopIfTrue="1">
      <formula>E20&lt;=-6.8%</formula>
    </cfRule>
  </conditionalFormatting>
  <conditionalFormatting sqref="B20:B40">
    <cfRule type="expression" dxfId="51" priority="16" stopIfTrue="1">
      <formula>E20&gt;=6.8%</formula>
    </cfRule>
    <cfRule type="expression" dxfId="50" priority="17" stopIfTrue="1">
      <formula>AND(E20&gt;0%,E20&lt;6.8%)</formula>
    </cfRule>
    <cfRule type="expression" dxfId="49" priority="18" stopIfTrue="1">
      <formula>E20=0%</formula>
    </cfRule>
    <cfRule type="expression" dxfId="48" priority="19" stopIfTrue="1">
      <formula>AND(E20&gt;-6.8%, E20&lt;0%)</formula>
    </cfRule>
    <cfRule type="expression" dxfId="47" priority="20" stopIfTrue="1">
      <formula>E20&lt;=-6.8%</formula>
    </cfRule>
  </conditionalFormatting>
  <conditionalFormatting sqref="I20:I40">
    <cfRule type="colorScale" priority="14614">
      <colorScale>
        <cfvo type="min"/>
        <cfvo type="max"/>
        <color theme="0" tint="-4.9989318521683403E-2"/>
        <color rgb="FF00B050"/>
      </colorScale>
    </cfRule>
  </conditionalFormatting>
  <conditionalFormatting sqref="L20:L40">
    <cfRule type="colorScale" priority="14616">
      <colorScale>
        <cfvo type="min"/>
        <cfvo type="max"/>
        <color theme="0" tint="-4.9989318521683403E-2"/>
        <color rgb="FF00B050"/>
      </colorScale>
    </cfRule>
  </conditionalFormatting>
  <conditionalFormatting sqref="M20:M40">
    <cfRule type="colorScale" priority="14618">
      <colorScale>
        <cfvo type="min"/>
        <cfvo type="max"/>
        <color rgb="FFFF7C80"/>
        <color theme="0" tint="-4.9989318521683403E-2"/>
      </colorScale>
    </cfRule>
  </conditionalFormatting>
  <conditionalFormatting sqref="N20:N40">
    <cfRule type="colorScale" priority="14620">
      <colorScale>
        <cfvo type="min"/>
        <cfvo type="max"/>
        <color theme="0" tint="-4.9989318521683403E-2"/>
        <color rgb="FFFF0000"/>
      </colorScale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37A232-5073-4217-985E-1C9443D1FA32}">
          <x14:formula1>
            <xm:f>'Nơi chứ dữ liệu'!$I$2:$K$2</xm:f>
          </x14:formula1>
          <xm:sqref>N20:N40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69557-89D1-4F0F-9CB8-54A22E4C29E9}">
  <sheetPr codeName="Sheet15">
    <tabColor rgb="FF7030A0"/>
  </sheetPr>
  <dimension ref="A1:W37"/>
  <sheetViews>
    <sheetView zoomScaleNormal="100" workbookViewId="0">
      <selection activeCell="C37" sqref="C37"/>
    </sheetView>
  </sheetViews>
  <sheetFormatPr defaultRowHeight="15" x14ac:dyDescent="0.2"/>
  <cols>
    <col min="1" max="1" width="8" customWidth="1"/>
    <col min="2" max="2" width="9.6640625" customWidth="1"/>
    <col min="3" max="3" width="11.6640625" customWidth="1"/>
    <col min="4" max="4" width="11.21875" customWidth="1"/>
    <col min="5" max="5" width="13.109375" customWidth="1"/>
    <col min="6" max="6" width="10.66406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</cols>
  <sheetData>
    <row r="1" spans="1:11" ht="15.75" x14ac:dyDescent="0.25">
      <c r="A1" s="332" t="s">
        <v>3140</v>
      </c>
      <c r="B1" s="332"/>
      <c r="C1" s="332"/>
      <c r="D1" s="332"/>
      <c r="E1" s="332"/>
      <c r="F1" s="332"/>
      <c r="K1" s="150"/>
    </row>
    <row r="2" spans="1:11" ht="15.75" x14ac:dyDescent="0.25">
      <c r="A2" s="332" t="s">
        <v>3141</v>
      </c>
      <c r="B2" s="332"/>
      <c r="C2" s="242" t="s">
        <v>3015</v>
      </c>
      <c r="D2" s="242" t="s">
        <v>3142</v>
      </c>
      <c r="E2" s="242" t="s">
        <v>3143</v>
      </c>
      <c r="F2" s="242" t="s">
        <v>3144</v>
      </c>
    </row>
    <row r="3" spans="1:11" x14ac:dyDescent="0.2">
      <c r="A3" s="357">
        <v>45839</v>
      </c>
      <c r="B3" s="357"/>
      <c r="C3" t="s">
        <v>2821</v>
      </c>
    </row>
    <row r="12" spans="1:11" ht="18" customHeight="1" x14ac:dyDescent="0.2"/>
    <row r="13" spans="1:11" ht="14.25" customHeight="1" x14ac:dyDescent="0.2"/>
    <row r="14" spans="1:11" ht="15.75" x14ac:dyDescent="0.2">
      <c r="A14" s="155" t="str">
        <f>"Tổng điểm nhóm hôm nay"&amp;" "&amp;SUM($O$20:O25)&amp;" "&amp;"trên tổng"&amp;" "&amp;$O$19</f>
        <v>Tổng điểm nhóm hôm nay 2 trên tổng 13</v>
      </c>
      <c r="B14" s="158"/>
      <c r="C14" s="158"/>
      <c r="D14" s="158"/>
      <c r="E14" s="158"/>
      <c r="F14" s="346" t="s">
        <v>3013</v>
      </c>
      <c r="G14" s="346"/>
    </row>
    <row r="15" spans="1:11" ht="15.75" x14ac:dyDescent="0.2">
      <c r="A15" s="159" t="str">
        <f>"Tổng điểm tăng nhóm hôm nay"&amp;" "&amp;$P$19</f>
        <v>Tổng điểm tăng nhóm hôm nay 7</v>
      </c>
      <c r="B15" s="160"/>
      <c r="C15" s="160"/>
      <c r="D15" s="160"/>
      <c r="E15" s="160"/>
      <c r="F15" s="156" t="s">
        <v>3014</v>
      </c>
      <c r="G15" s="156" t="s">
        <v>3008</v>
      </c>
    </row>
    <row r="16" spans="1:11" ht="15.75" x14ac:dyDescent="0.2">
      <c r="A16" s="159" t="str">
        <f>"Tổng điểm giảm nhóm hôm nay"&amp;" "&amp;$Q$19</f>
        <v>Tổng điểm giảm nhóm hôm nay 2</v>
      </c>
      <c r="B16" s="160"/>
      <c r="C16" s="160"/>
      <c r="D16" s="160"/>
      <c r="E16" s="160"/>
      <c r="F16" s="161">
        <f>AVERAGE(E20:E37)</f>
        <v>6.3722222222222218E-3</v>
      </c>
      <c r="G16" s="162">
        <f>AVERAGE(F20:F37)</f>
        <v>1.2226236264102159</v>
      </c>
    </row>
    <row r="17" spans="1:23" ht="15.75" x14ac:dyDescent="0.2">
      <c r="A17" s="159" t="str">
        <f>"Tổng điểm tham chiếu nhóm hôm nay"&amp;" "&amp;(O19-(P19+Q19))</f>
        <v>Tổng điểm tham chiếu nhóm hôm nay 4</v>
      </c>
      <c r="B17" s="160"/>
      <c r="C17" s="160"/>
      <c r="D17" s="160"/>
      <c r="E17" s="160"/>
      <c r="F17" s="160"/>
      <c r="G17" s="163"/>
    </row>
    <row r="18" spans="1:23" s="86" customFormat="1" ht="15.75" customHeight="1" x14ac:dyDescent="0.25">
      <c r="A18" s="339" t="s">
        <v>127</v>
      </c>
      <c r="B18" s="348" t="s">
        <v>16</v>
      </c>
      <c r="C18" s="348" t="s">
        <v>2949</v>
      </c>
      <c r="D18" s="348" t="s">
        <v>2950</v>
      </c>
      <c r="E18" s="348" t="s">
        <v>2951</v>
      </c>
      <c r="F18" s="345" t="s">
        <v>2952</v>
      </c>
      <c r="G18" s="345" t="s">
        <v>2964</v>
      </c>
      <c r="H18" s="345" t="s">
        <v>2953</v>
      </c>
      <c r="I18" s="345" t="s">
        <v>2954</v>
      </c>
      <c r="J18" s="345" t="s">
        <v>2956</v>
      </c>
      <c r="K18" s="345" t="s">
        <v>2955</v>
      </c>
      <c r="L18" s="345" t="s">
        <v>2957</v>
      </c>
      <c r="M18" s="345" t="s">
        <v>2963</v>
      </c>
      <c r="N18" s="345" t="s">
        <v>2958</v>
      </c>
      <c r="O18" s="169" t="s">
        <v>2959</v>
      </c>
      <c r="P18" s="137" t="s">
        <v>2972</v>
      </c>
      <c r="Q18" s="137" t="s">
        <v>2973</v>
      </c>
      <c r="T18" s="82" t="s">
        <v>2968</v>
      </c>
      <c r="U18" t="s">
        <v>2974</v>
      </c>
      <c r="V18" t="s">
        <v>2975</v>
      </c>
    </row>
    <row r="19" spans="1:23" s="86" customFormat="1" ht="15.75" x14ac:dyDescent="0.25">
      <c r="A19" s="339"/>
      <c r="B19" s="344"/>
      <c r="C19" s="344"/>
      <c r="D19" s="344"/>
      <c r="E19" s="344"/>
      <c r="F19" s="343"/>
      <c r="G19" s="343"/>
      <c r="H19" s="343"/>
      <c r="I19" s="343"/>
      <c r="J19" s="343"/>
      <c r="K19" s="343"/>
      <c r="L19" s="343"/>
      <c r="M19" s="343"/>
      <c r="N19" s="343"/>
      <c r="O19" s="137">
        <f>COUNT(O20:O32)</f>
        <v>13</v>
      </c>
      <c r="P19" s="137">
        <f>SUM(P20:P32)</f>
        <v>7</v>
      </c>
      <c r="Q19" s="137">
        <f>SUM(Q20:Q32)</f>
        <v>2</v>
      </c>
      <c r="T19" s="229" t="s">
        <v>3161</v>
      </c>
      <c r="U19" s="230">
        <v>-3.0600000000000002E-2</v>
      </c>
      <c r="V19" s="386">
        <v>1.0160226201696512</v>
      </c>
    </row>
    <row r="20" spans="1:23" ht="15.75" customHeight="1" x14ac:dyDescent="0.2">
      <c r="A20" s="347" t="s">
        <v>212</v>
      </c>
      <c r="B20" s="222" t="s">
        <v>1133</v>
      </c>
      <c r="C20" s="223" cm="1">
        <f t="array" ref="C20:M20">tinh_du_lieu_cp(B20)</f>
        <v>77.5</v>
      </c>
      <c r="D20" s="224">
        <v>2417.6</v>
      </c>
      <c r="E20" s="225">
        <v>2.92E-2</v>
      </c>
      <c r="F20" s="226">
        <v>1.7789313140502501</v>
      </c>
      <c r="G20" s="226">
        <v>1.002549394518802</v>
      </c>
      <c r="H20" s="226">
        <v>1.4664267372975597</v>
      </c>
      <c r="I20" s="227">
        <v>0.11442451733938128</v>
      </c>
      <c r="J20" s="222">
        <v>71.427000000000007</v>
      </c>
      <c r="K20" s="222">
        <v>79.599999999999994</v>
      </c>
      <c r="L20" s="225">
        <v>8.5023870525151451E-2</v>
      </c>
      <c r="M20" s="225">
        <v>-2.6381909547738624E-2</v>
      </c>
      <c r="N20" s="228"/>
      <c r="O20" s="222">
        <f t="shared" ref="O20:O25" si="0">IF(E20&gt;0,1,IF(E20=0,0,-1))</f>
        <v>1</v>
      </c>
      <c r="P20" s="222">
        <f t="shared" ref="P20:P25" si="1">IF(O20=1,1,0)</f>
        <v>1</v>
      </c>
      <c r="Q20" s="222">
        <f t="shared" ref="Q20:Q25" si="2">IF(O20&lt;0,1,0)</f>
        <v>0</v>
      </c>
      <c r="T20" s="229" t="s">
        <v>1362</v>
      </c>
      <c r="U20" s="230">
        <v>-2.3700000000000002E-2</v>
      </c>
      <c r="V20" s="386">
        <v>0.82743292677653602</v>
      </c>
    </row>
    <row r="21" spans="1:23" ht="15.75" customHeight="1" x14ac:dyDescent="0.2">
      <c r="A21" s="347"/>
      <c r="B21" s="222" t="s">
        <v>1163</v>
      </c>
      <c r="C21" s="223">
        <f t="array" ref="C21:M21">tinh_du_lieu_cp(B21)</f>
        <v>48.8</v>
      </c>
      <c r="D21" s="224">
        <v>295</v>
      </c>
      <c r="E21" s="225">
        <v>0</v>
      </c>
      <c r="F21" s="226">
        <v>0.44483125953319991</v>
      </c>
      <c r="G21" s="226">
        <v>0.97420885980881666</v>
      </c>
      <c r="H21" s="226">
        <v>0.50287233861207237</v>
      </c>
      <c r="I21" s="225">
        <v>0.15567468727922545</v>
      </c>
      <c r="J21" s="222">
        <v>48.125999999999998</v>
      </c>
      <c r="K21" s="222">
        <v>55.618000000000002</v>
      </c>
      <c r="L21" s="225">
        <v>1.4004903794206864E-2</v>
      </c>
      <c r="M21" s="225">
        <v>-0.12258621309647964</v>
      </c>
      <c r="N21" s="228"/>
      <c r="O21" s="222">
        <f t="shared" si="0"/>
        <v>0</v>
      </c>
      <c r="P21" s="222">
        <f t="shared" si="1"/>
        <v>0</v>
      </c>
      <c r="Q21" s="222">
        <f t="shared" si="2"/>
        <v>0</v>
      </c>
      <c r="T21" s="229" t="s">
        <v>3159</v>
      </c>
      <c r="U21" s="230">
        <v>-1.7000000000000001E-2</v>
      </c>
      <c r="V21" s="386">
        <v>3.4581939799331107</v>
      </c>
    </row>
    <row r="22" spans="1:23" ht="15.75" customHeight="1" x14ac:dyDescent="0.2">
      <c r="A22" s="347"/>
      <c r="B22" s="222" t="s">
        <v>2821</v>
      </c>
      <c r="C22" s="223">
        <f t="array" ref="C22:M22">tinh_du_lieu_cp(B22)</f>
        <v>15.9</v>
      </c>
      <c r="D22" s="224">
        <v>5095.8999999999996</v>
      </c>
      <c r="E22" s="225">
        <v>2.2499999999999999E-2</v>
      </c>
      <c r="F22" s="226">
        <v>1.164288444123194</v>
      </c>
      <c r="G22" s="226">
        <v>0.90697674418604668</v>
      </c>
      <c r="H22" s="226">
        <v>0.92257974967713907</v>
      </c>
      <c r="I22" s="225">
        <v>0.50803858520900314</v>
      </c>
      <c r="J22" s="222">
        <v>15.55</v>
      </c>
      <c r="K22" s="222">
        <v>23.45</v>
      </c>
      <c r="L22" s="225">
        <v>2.250803858520898E-2</v>
      </c>
      <c r="M22" s="225">
        <v>-0.32196162046908311</v>
      </c>
      <c r="N22" s="228"/>
      <c r="O22" s="222">
        <f t="shared" si="0"/>
        <v>1</v>
      </c>
      <c r="P22" s="222">
        <f t="shared" si="1"/>
        <v>1</v>
      </c>
      <c r="Q22" s="222">
        <f t="shared" si="2"/>
        <v>0</v>
      </c>
      <c r="T22" s="229" t="s">
        <v>2859</v>
      </c>
      <c r="U22" s="230">
        <v>-9.8999999999999991E-3</v>
      </c>
      <c r="V22" s="386">
        <v>0.72426958927764729</v>
      </c>
    </row>
    <row r="23" spans="1:23" ht="15.75" customHeight="1" x14ac:dyDescent="0.2">
      <c r="A23" s="347"/>
      <c r="B23" s="222" t="s">
        <v>3158</v>
      </c>
      <c r="C23" s="223">
        <f t="array" ref="C23:M23">tinh_du_lieu_cp(B23)</f>
        <v>37.700000000000003</v>
      </c>
      <c r="D23" s="224">
        <v>64.3</v>
      </c>
      <c r="E23" s="225">
        <v>0</v>
      </c>
      <c r="F23" s="226">
        <v>0.54745620176234</v>
      </c>
      <c r="G23" s="226">
        <v>0.99814329545304903</v>
      </c>
      <c r="H23" s="226">
        <v>0.72902494331065759</v>
      </c>
      <c r="I23" s="225">
        <v>0.13714369244262542</v>
      </c>
      <c r="J23" s="222">
        <v>34.204999999999998</v>
      </c>
      <c r="K23" s="222">
        <v>38.896000000000001</v>
      </c>
      <c r="L23" s="225">
        <v>0.10217804414559289</v>
      </c>
      <c r="M23" s="225">
        <v>-3.0748663101604224E-2</v>
      </c>
      <c r="N23" s="228"/>
      <c r="O23" s="222">
        <f t="shared" si="0"/>
        <v>0</v>
      </c>
      <c r="P23" s="222">
        <f t="shared" si="1"/>
        <v>0</v>
      </c>
      <c r="Q23" s="222">
        <f t="shared" si="2"/>
        <v>0</v>
      </c>
      <c r="T23" s="229" t="s">
        <v>2793</v>
      </c>
      <c r="U23" s="230">
        <v>-8.3999999999999995E-3</v>
      </c>
      <c r="V23" s="386">
        <v>0.22067099102195112</v>
      </c>
    </row>
    <row r="24" spans="1:23" ht="15.75" customHeight="1" x14ac:dyDescent="0.2">
      <c r="A24" s="347"/>
      <c r="B24" s="222" t="s">
        <v>3159</v>
      </c>
      <c r="C24" s="223">
        <f t="array" ref="C24:M24">tinh_du_lieu_cp(B24)</f>
        <v>99.5</v>
      </c>
      <c r="D24" s="224">
        <v>8.3000000000000007</v>
      </c>
      <c r="E24" s="225">
        <v>-5.0000000000000001E-3</v>
      </c>
      <c r="F24" s="226">
        <v>5.4507462686567161</v>
      </c>
      <c r="G24" s="226">
        <v>0.99660924996609257</v>
      </c>
      <c r="H24" s="226">
        <v>3.7443609022556394</v>
      </c>
      <c r="I24" s="225">
        <v>0.11224489795918367</v>
      </c>
      <c r="J24" s="222">
        <v>98</v>
      </c>
      <c r="K24" s="222">
        <v>109</v>
      </c>
      <c r="L24" s="225">
        <v>1.5306122448979591E-2</v>
      </c>
      <c r="M24" s="225">
        <v>-8.7155963302752298E-2</v>
      </c>
      <c r="N24" s="228"/>
      <c r="O24" s="222">
        <f t="shared" si="0"/>
        <v>-1</v>
      </c>
      <c r="P24" s="222">
        <f t="shared" si="1"/>
        <v>0</v>
      </c>
      <c r="Q24" s="222">
        <f t="shared" si="2"/>
        <v>1</v>
      </c>
      <c r="T24" s="229" t="s">
        <v>2157</v>
      </c>
      <c r="U24" s="230">
        <v>-6.1999999999999998E-3</v>
      </c>
      <c r="V24" s="386">
        <v>0.60236959976881954</v>
      </c>
    </row>
    <row r="25" spans="1:23" ht="15.75" customHeight="1" x14ac:dyDescent="0.2">
      <c r="A25" s="347"/>
      <c r="B25" s="222" t="s">
        <v>3160</v>
      </c>
      <c r="C25" s="223">
        <f t="array" ref="C25:M25">tinh_du_lieu_cp(B25)</f>
        <v>72.8</v>
      </c>
      <c r="D25" s="224">
        <v>11.9</v>
      </c>
      <c r="E25" s="225">
        <v>1.9599999999999999E-2</v>
      </c>
      <c r="F25" s="226">
        <v>1.4353070175438598</v>
      </c>
      <c r="G25" s="226">
        <v>1.0076944391158857</v>
      </c>
      <c r="H25" s="226">
        <v>0.97010869565217395</v>
      </c>
      <c r="I25" s="225">
        <v>7.9447601195009029E-2</v>
      </c>
      <c r="J25" s="222">
        <v>68.284000000000006</v>
      </c>
      <c r="K25" s="222">
        <v>73.709000000000003</v>
      </c>
      <c r="L25" s="225">
        <v>6.613555152012171E-2</v>
      </c>
      <c r="M25" s="225">
        <v>-1.233227964020684E-2</v>
      </c>
      <c r="N25" s="228"/>
      <c r="O25" s="222">
        <f t="shared" si="0"/>
        <v>1</v>
      </c>
      <c r="P25" s="222">
        <f t="shared" si="1"/>
        <v>1</v>
      </c>
      <c r="Q25" s="222">
        <f t="shared" si="2"/>
        <v>0</v>
      </c>
      <c r="T25" s="229" t="s">
        <v>2857</v>
      </c>
      <c r="U25" s="230">
        <v>-4.7999999999999996E-3</v>
      </c>
      <c r="V25" s="386">
        <v>0.85259515570934263</v>
      </c>
    </row>
    <row r="26" spans="1:23" x14ac:dyDescent="0.2">
      <c r="A26" s="347"/>
      <c r="B26" s="222" t="s">
        <v>2793</v>
      </c>
      <c r="C26" s="223">
        <f t="array" ref="C26:M26">tinh_du_lieu_cp(B26)</f>
        <v>11.85</v>
      </c>
      <c r="D26" s="224">
        <v>232.5</v>
      </c>
      <c r="E26" s="225">
        <v>0</v>
      </c>
      <c r="F26" s="226">
        <v>0.54122975017723562</v>
      </c>
      <c r="G26" s="226">
        <v>0.97773241788829091</v>
      </c>
      <c r="H26" s="226">
        <v>0.58052434456928836</v>
      </c>
      <c r="I26" s="225">
        <v>0.11965811965811969</v>
      </c>
      <c r="J26" s="222">
        <v>11.7</v>
      </c>
      <c r="K26" s="222">
        <v>13.1</v>
      </c>
      <c r="L26" s="225">
        <v>1.2820512820512851E-2</v>
      </c>
      <c r="M26" s="225">
        <v>-9.5419847328244281E-2</v>
      </c>
      <c r="N26" s="228"/>
      <c r="O26" s="222">
        <f t="shared" ref="O26:O32" si="3">IF(E26&gt;0,1,IF(E26=0,0,-1))</f>
        <v>0</v>
      </c>
      <c r="P26" s="222">
        <f t="shared" ref="P26:P32" si="4">IF(O26=1,1,0)</f>
        <v>0</v>
      </c>
      <c r="Q26" s="222">
        <f t="shared" ref="Q26:Q32" si="5">IF(O26&lt;0,1,0)</f>
        <v>0</v>
      </c>
      <c r="T26" s="229" t="s">
        <v>1702</v>
      </c>
      <c r="U26" s="230">
        <v>0</v>
      </c>
      <c r="V26" s="386">
        <v>0.40890425761832722</v>
      </c>
      <c r="W26" s="99"/>
    </row>
    <row r="27" spans="1:23" x14ac:dyDescent="0.2">
      <c r="A27" s="347"/>
      <c r="B27" s="222" t="s">
        <v>2038</v>
      </c>
      <c r="C27" s="223">
        <f t="array" ref="C27:M27">tinh_du_lieu_cp(B27)</f>
        <v>19.2</v>
      </c>
      <c r="D27" s="224">
        <v>3397.6</v>
      </c>
      <c r="E27" s="225">
        <v>1.32E-2</v>
      </c>
      <c r="F27" s="226">
        <v>1.2021738046567283</v>
      </c>
      <c r="G27" s="226">
        <v>0.97430266605023907</v>
      </c>
      <c r="H27" s="226">
        <v>1.1648248671504484</v>
      </c>
      <c r="I27" s="225">
        <v>0.21693121693121703</v>
      </c>
      <c r="J27" s="222">
        <v>18.899999999999999</v>
      </c>
      <c r="K27" s="222">
        <v>23</v>
      </c>
      <c r="L27" s="225">
        <v>1.587301587301591E-2</v>
      </c>
      <c r="M27" s="225">
        <v>-0.16521739130434784</v>
      </c>
      <c r="N27" s="228"/>
      <c r="O27" s="222">
        <f t="shared" si="3"/>
        <v>1</v>
      </c>
      <c r="P27" s="222">
        <f t="shared" si="4"/>
        <v>1</v>
      </c>
      <c r="Q27" s="222">
        <f t="shared" si="5"/>
        <v>0</v>
      </c>
      <c r="T27" s="229" t="s">
        <v>2725</v>
      </c>
      <c r="U27" s="230">
        <v>0</v>
      </c>
      <c r="V27" s="386">
        <v>6.9370908044430912E-2</v>
      </c>
      <c r="W27" s="99"/>
    </row>
    <row r="28" spans="1:23" x14ac:dyDescent="0.2">
      <c r="A28" s="347"/>
      <c r="B28" s="222" t="s">
        <v>2032</v>
      </c>
      <c r="C28" s="223" cm="1">
        <f t="array" ref="C28:M28">tinh_du_lieu_cp(B28)</f>
        <v>17.600000000000001</v>
      </c>
      <c r="D28" s="224">
        <v>564.9</v>
      </c>
      <c r="E28" s="225">
        <v>4.1399999999999999E-2</v>
      </c>
      <c r="F28" s="226">
        <v>0.98260567055140025</v>
      </c>
      <c r="G28" s="226">
        <v>0.97115839243498825</v>
      </c>
      <c r="H28" s="226">
        <v>1.6268599404819046</v>
      </c>
      <c r="I28" s="227">
        <v>0.29870129870129869</v>
      </c>
      <c r="J28" s="222">
        <v>15.4</v>
      </c>
      <c r="K28" s="222">
        <v>20</v>
      </c>
      <c r="L28" s="225">
        <v>0.14285714285714293</v>
      </c>
      <c r="M28" s="225">
        <v>-0.11999999999999993</v>
      </c>
      <c r="N28" s="228"/>
      <c r="O28" s="222">
        <f t="shared" si="3"/>
        <v>1</v>
      </c>
      <c r="P28" s="222">
        <f t="shared" si="4"/>
        <v>1</v>
      </c>
      <c r="Q28" s="222">
        <f t="shared" si="5"/>
        <v>0</v>
      </c>
      <c r="T28" s="229" t="s">
        <v>3158</v>
      </c>
      <c r="U28" s="230">
        <v>0</v>
      </c>
      <c r="V28" s="386">
        <v>0.21185849424817943</v>
      </c>
      <c r="W28" s="99"/>
    </row>
    <row r="29" spans="1:23" x14ac:dyDescent="0.2">
      <c r="A29" s="347"/>
      <c r="B29" s="222" t="s">
        <v>2857</v>
      </c>
      <c r="C29" s="223">
        <f t="array" ref="C29:M29">tinh_du_lieu_cp(B29)</f>
        <v>10.4</v>
      </c>
      <c r="D29" s="224">
        <v>93.2</v>
      </c>
      <c r="E29" s="225">
        <v>0</v>
      </c>
      <c r="F29" s="226">
        <v>1.0797830322818474</v>
      </c>
      <c r="G29" s="226">
        <v>0.99376209937621007</v>
      </c>
      <c r="H29" s="226">
        <v>1.3400431344356578</v>
      </c>
      <c r="I29" s="225">
        <v>7.1634615384615311E-2</v>
      </c>
      <c r="J29" s="222">
        <v>10.4</v>
      </c>
      <c r="K29" s="222">
        <v>11.145</v>
      </c>
      <c r="L29" s="225">
        <v>0</v>
      </c>
      <c r="M29" s="225">
        <v>-6.6846119336025051E-2</v>
      </c>
      <c r="N29" s="228"/>
      <c r="O29" s="222">
        <f t="shared" si="3"/>
        <v>0</v>
      </c>
      <c r="P29" s="222">
        <f t="shared" si="4"/>
        <v>0</v>
      </c>
      <c r="Q29" s="222">
        <f t="shared" si="5"/>
        <v>0</v>
      </c>
      <c r="T29" s="229" t="s">
        <v>1163</v>
      </c>
      <c r="U29" s="230">
        <v>0</v>
      </c>
      <c r="V29" s="386">
        <v>0.26156437338397248</v>
      </c>
    </row>
    <row r="30" spans="1:23" x14ac:dyDescent="0.2">
      <c r="A30" s="347"/>
      <c r="B30" s="222" t="s">
        <v>2725</v>
      </c>
      <c r="C30" s="223">
        <f t="array" ref="C30:M30">tinh_du_lieu_cp(B30)</f>
        <v>10.199999999999999</v>
      </c>
      <c r="D30" s="224">
        <v>203.3</v>
      </c>
      <c r="E30" s="225">
        <v>4.8999999999999998E-3</v>
      </c>
      <c r="F30" s="226">
        <v>1.6560443991405425</v>
      </c>
      <c r="G30" s="226">
        <v>0.98081175547471311</v>
      </c>
      <c r="H30" s="226">
        <v>2.3768511301636792</v>
      </c>
      <c r="I30" s="225">
        <v>7.0049261083743875E-2</v>
      </c>
      <c r="J30" s="222">
        <v>10.15</v>
      </c>
      <c r="K30" s="222">
        <v>10.861000000000001</v>
      </c>
      <c r="L30" s="225">
        <v>4.9261083743841316E-3</v>
      </c>
      <c r="M30" s="225">
        <v>-6.0859957646625662E-2</v>
      </c>
      <c r="N30" s="228"/>
      <c r="O30" s="222">
        <f t="shared" si="3"/>
        <v>1</v>
      </c>
      <c r="P30" s="222">
        <f t="shared" si="4"/>
        <v>1</v>
      </c>
      <c r="Q30" s="222">
        <f t="shared" si="5"/>
        <v>0</v>
      </c>
      <c r="T30" s="229" t="s">
        <v>2378</v>
      </c>
      <c r="U30" s="230">
        <v>1.7000000000000001E-3</v>
      </c>
      <c r="V30" s="386">
        <v>0.36617842876165113</v>
      </c>
    </row>
    <row r="31" spans="1:23" x14ac:dyDescent="0.2">
      <c r="A31" s="347"/>
      <c r="B31" s="222" t="s">
        <v>3161</v>
      </c>
      <c r="C31" s="223" cm="1">
        <f t="array" ref="C31:M31">tinh_du_lieu_cp(B31)</f>
        <v>58</v>
      </c>
      <c r="D31" s="224">
        <v>1.7</v>
      </c>
      <c r="E31" s="225">
        <v>1.7500000000000002E-2</v>
      </c>
      <c r="F31" s="226">
        <v>0.37325349301397204</v>
      </c>
      <c r="G31" s="226">
        <v>0.9969591547480996</v>
      </c>
      <c r="H31" s="226">
        <v>0.42499999999999999</v>
      </c>
      <c r="I31" s="225">
        <v>0.20643939393939406</v>
      </c>
      <c r="J31" s="222">
        <v>52.8</v>
      </c>
      <c r="K31" s="222">
        <v>63.7</v>
      </c>
      <c r="L31" s="225">
        <v>9.848484848484855E-2</v>
      </c>
      <c r="M31" s="225">
        <v>-8.9481946624803813E-2</v>
      </c>
      <c r="N31" s="228"/>
      <c r="O31" s="222">
        <f t="shared" si="3"/>
        <v>1</v>
      </c>
      <c r="P31" s="222">
        <f t="shared" si="4"/>
        <v>1</v>
      </c>
      <c r="Q31" s="222">
        <f t="shared" si="5"/>
        <v>0</v>
      </c>
      <c r="T31" s="229" t="s">
        <v>3162</v>
      </c>
      <c r="U31" s="230">
        <v>4.0000000000000001E-3</v>
      </c>
      <c r="V31" s="386">
        <v>5.9459459459459463E-2</v>
      </c>
    </row>
    <row r="32" spans="1:23" x14ac:dyDescent="0.2">
      <c r="A32" s="347"/>
      <c r="B32" s="222" t="s">
        <v>3162</v>
      </c>
      <c r="C32" s="223" cm="1">
        <f t="array" ref="C32:M32">tinh_du_lieu_cp(B32)</f>
        <v>24.2</v>
      </c>
      <c r="D32" s="224">
        <v>0.8</v>
      </c>
      <c r="E32" s="225">
        <v>-2.4199999999999999E-2</v>
      </c>
      <c r="F32" s="226">
        <v>0.4668435013262599</v>
      </c>
      <c r="G32" s="226">
        <v>1.0017287151941714</v>
      </c>
      <c r="H32" s="226">
        <v>0.47058823529411764</v>
      </c>
      <c r="I32" s="225">
        <v>0.125</v>
      </c>
      <c r="J32" s="222">
        <v>24</v>
      </c>
      <c r="K32" s="222">
        <v>27</v>
      </c>
      <c r="L32" s="225">
        <v>8.3333333333333037E-3</v>
      </c>
      <c r="M32" s="225">
        <v>-0.10370370370370373</v>
      </c>
      <c r="N32" s="228"/>
      <c r="O32" s="222">
        <f t="shared" si="3"/>
        <v>-1</v>
      </c>
      <c r="P32" s="222">
        <f t="shared" si="4"/>
        <v>0</v>
      </c>
      <c r="Q32" s="222">
        <f t="shared" si="5"/>
        <v>1</v>
      </c>
      <c r="T32" s="229" t="s">
        <v>2821</v>
      </c>
      <c r="U32" s="230">
        <v>1.29E-2</v>
      </c>
      <c r="V32" s="386">
        <v>0.69110865173623137</v>
      </c>
    </row>
    <row r="33" spans="2:22" x14ac:dyDescent="0.2">
      <c r="B33" s="222" t="s">
        <v>1362</v>
      </c>
      <c r="C33" s="223" cm="1">
        <f t="array" ref="C33:M33">tinh_du_lieu_cp(B33)</f>
        <v>24.85</v>
      </c>
      <c r="D33" s="224">
        <v>1982.4</v>
      </c>
      <c r="E33" s="225">
        <v>-1.78E-2</v>
      </c>
      <c r="F33" s="226">
        <v>1.2331355994503412</v>
      </c>
      <c r="G33" s="226">
        <v>1.064616840113529</v>
      </c>
      <c r="H33" s="226">
        <v>1.0521083031852316</v>
      </c>
      <c r="I33" s="227">
        <v>0.25536992840095474</v>
      </c>
      <c r="J33" s="222">
        <v>20.95</v>
      </c>
      <c r="K33" s="222">
        <v>26.3</v>
      </c>
      <c r="L33" s="225">
        <v>0.18615751789976145</v>
      </c>
      <c r="M33" s="225">
        <v>-5.5133079847908717E-2</v>
      </c>
      <c r="N33" s="228"/>
      <c r="O33" s="222">
        <f>IF(E33&gt;0,1,IF(E33=0,0,-1))</f>
        <v>-1</v>
      </c>
      <c r="P33" s="222">
        <f>IF(O33=1,1,0)</f>
        <v>0</v>
      </c>
      <c r="Q33" s="222">
        <f>IF(O33&lt;0,1,0)</f>
        <v>1</v>
      </c>
      <c r="T33" s="229" t="s">
        <v>3160</v>
      </c>
      <c r="U33" s="230">
        <v>1.3999999999999999E-2</v>
      </c>
      <c r="V33" s="386">
        <v>0.65110984632896984</v>
      </c>
    </row>
    <row r="34" spans="2:22" x14ac:dyDescent="0.2">
      <c r="B34" s="222" t="s">
        <v>2157</v>
      </c>
      <c r="C34" s="223" cm="1">
        <f t="array" ref="C34:M34">tinh_du_lieu_cp(B34)</f>
        <v>48.5</v>
      </c>
      <c r="D34" s="224">
        <v>160.5</v>
      </c>
      <c r="E34" s="225">
        <v>2.0999999999999999E-3</v>
      </c>
      <c r="F34" s="226">
        <v>1.2376012057060741</v>
      </c>
      <c r="G34" s="226">
        <v>0.98708855318103672</v>
      </c>
      <c r="H34" s="226">
        <v>1.3341645885286784</v>
      </c>
      <c r="I34" s="227">
        <v>0.12008281573498975</v>
      </c>
      <c r="J34" s="222">
        <v>48.3</v>
      </c>
      <c r="K34" s="222">
        <v>54.1</v>
      </c>
      <c r="L34" s="225">
        <v>4.1407867494824609E-3</v>
      </c>
      <c r="M34" s="225">
        <v>-0.1035120147874307</v>
      </c>
      <c r="N34" s="228"/>
      <c r="O34" s="222">
        <f>IF(E34&gt;0,1,IF(E34=0,0,-1))</f>
        <v>1</v>
      </c>
      <c r="P34" s="222">
        <f>IF(O34=1,1,0)</f>
        <v>1</v>
      </c>
      <c r="Q34" s="222">
        <f>IF(O34&lt;0,1,0)</f>
        <v>0</v>
      </c>
      <c r="T34" s="229" t="s">
        <v>1133</v>
      </c>
      <c r="U34" s="230">
        <v>2.12E-2</v>
      </c>
      <c r="V34" s="386">
        <v>0.7735681458309196</v>
      </c>
    </row>
    <row r="35" spans="2:22" x14ac:dyDescent="0.2">
      <c r="B35" s="222" t="s">
        <v>1702</v>
      </c>
      <c r="C35" s="223" cm="1">
        <f t="array" ref="C35:M35">tinh_du_lieu_cp(B35)</f>
        <v>94.9</v>
      </c>
      <c r="D35" s="224">
        <v>16.600000000000001</v>
      </c>
      <c r="E35" s="225">
        <v>1.1000000000000001E-3</v>
      </c>
      <c r="F35" s="226">
        <v>0.77586573188867647</v>
      </c>
      <c r="G35" s="226">
        <v>1.0087274366777774</v>
      </c>
      <c r="H35" s="226">
        <v>0.84693877551020413</v>
      </c>
      <c r="I35" s="227">
        <v>6.7180616740088198E-2</v>
      </c>
      <c r="J35" s="222">
        <v>90.8</v>
      </c>
      <c r="K35" s="222">
        <v>96.9</v>
      </c>
      <c r="L35" s="225">
        <v>4.5154185022026526E-2</v>
      </c>
      <c r="M35" s="225">
        <v>-2.063983488132095E-2</v>
      </c>
      <c r="N35" s="228"/>
      <c r="O35" s="222">
        <f>IF(E35&gt;0,1,IF(E35=0,0,-1))</f>
        <v>1</v>
      </c>
      <c r="P35" s="222">
        <f>IF(O35=1,1,0)</f>
        <v>1</v>
      </c>
      <c r="Q35" s="222">
        <f>IF(O35&lt;0,1,0)</f>
        <v>0</v>
      </c>
      <c r="T35" s="229" t="s">
        <v>2038</v>
      </c>
      <c r="U35" s="230">
        <v>2.3700000000000002E-2</v>
      </c>
      <c r="V35" s="386">
        <v>0.71601886217935529</v>
      </c>
    </row>
    <row r="36" spans="2:22" x14ac:dyDescent="0.2">
      <c r="B36" s="222" t="s">
        <v>2859</v>
      </c>
      <c r="C36" s="223" cm="1">
        <f t="array" ref="C36:M36">tinh_du_lieu_cp(B36)</f>
        <v>52.5</v>
      </c>
      <c r="D36" s="224">
        <v>275.2</v>
      </c>
      <c r="E36" s="225">
        <v>3.4999999999999996E-3</v>
      </c>
      <c r="F36" s="226">
        <v>1.1136652636098139</v>
      </c>
      <c r="G36" s="226">
        <v>0.98242973146310897</v>
      </c>
      <c r="H36" s="226">
        <v>1.1217299858968541</v>
      </c>
      <c r="I36" s="227">
        <v>0.16776252914866779</v>
      </c>
      <c r="J36" s="222">
        <v>52.317999999999998</v>
      </c>
      <c r="K36" s="222">
        <v>61.094999999999999</v>
      </c>
      <c r="L36" s="225">
        <v>3.4787262510035202E-3</v>
      </c>
      <c r="M36" s="225">
        <v>-0.140682543579671</v>
      </c>
      <c r="N36" s="228"/>
      <c r="O36" s="222">
        <f>IF(E36&gt;0,1,IF(E36=0,0,-1))</f>
        <v>1</v>
      </c>
      <c r="P36" s="222">
        <f>IF(O36=1,1,0)</f>
        <v>1</v>
      </c>
      <c r="Q36" s="222">
        <f>IF(O36&lt;0,1,0)</f>
        <v>0</v>
      </c>
      <c r="T36" s="229" t="s">
        <v>2032</v>
      </c>
      <c r="U36" s="230">
        <v>2.9600000000000001E-2</v>
      </c>
      <c r="V36" s="386">
        <v>0.51216968854327494</v>
      </c>
    </row>
    <row r="37" spans="2:22" x14ac:dyDescent="0.2">
      <c r="B37" s="222" t="s">
        <v>2378</v>
      </c>
      <c r="C37" s="223" cm="1">
        <f t="array" ref="C37:M37">tinh_du_lieu_cp(B37)</f>
        <v>30.15</v>
      </c>
      <c r="D37" s="224">
        <v>7.2</v>
      </c>
      <c r="E37" s="225">
        <v>6.7000000000000002E-3</v>
      </c>
      <c r="F37" s="226">
        <v>0.5234633179114343</v>
      </c>
      <c r="G37" s="226">
        <v>0.99723374827109279</v>
      </c>
      <c r="H37" s="226">
        <v>0.47264770240700216</v>
      </c>
      <c r="I37" s="227">
        <v>7.2587646076794757E-2</v>
      </c>
      <c r="J37" s="222">
        <v>29.95</v>
      </c>
      <c r="K37" s="222">
        <v>32.124000000000002</v>
      </c>
      <c r="L37" s="225">
        <v>6.6777963272119968E-3</v>
      </c>
      <c r="M37" s="225">
        <v>-6.1449383638401307E-2</v>
      </c>
      <c r="N37" s="228"/>
      <c r="O37" s="222">
        <f>IF(E37&gt;0,1,IF(E37=0,0,-1))</f>
        <v>1</v>
      </c>
      <c r="P37" s="222">
        <f>IF(O37=1,1,0)</f>
        <v>1</v>
      </c>
      <c r="Q37" s="222">
        <f>IF(O37&lt;0,1,0)</f>
        <v>0</v>
      </c>
      <c r="T37" s="229" t="s">
        <v>2969</v>
      </c>
      <c r="U37" s="230">
        <v>6.4999999999999997E-3</v>
      </c>
      <c r="V37" s="386">
        <v>12.422865978791831</v>
      </c>
    </row>
  </sheetData>
  <mergeCells count="19">
    <mergeCell ref="K18:K19"/>
    <mergeCell ref="L18:L19"/>
    <mergeCell ref="M18:M19"/>
    <mergeCell ref="N18:N19"/>
    <mergeCell ref="F18:F19"/>
    <mergeCell ref="G18:G19"/>
    <mergeCell ref="H18:H19"/>
    <mergeCell ref="I18:I19"/>
    <mergeCell ref="J18:J19"/>
    <mergeCell ref="A1:F1"/>
    <mergeCell ref="A2:B2"/>
    <mergeCell ref="A3:B3"/>
    <mergeCell ref="A20:A32"/>
    <mergeCell ref="F14:G14"/>
    <mergeCell ref="E18:E19"/>
    <mergeCell ref="A18:A19"/>
    <mergeCell ref="B18:B19"/>
    <mergeCell ref="C18:C19"/>
    <mergeCell ref="D18:D19"/>
  </mergeCells>
  <conditionalFormatting sqref="A14">
    <cfRule type="expression" dxfId="45" priority="313" stopIfTrue="1">
      <formula>A14="giảm"</formula>
    </cfRule>
    <cfRule type="expression" dxfId="44" priority="314" stopIfTrue="1">
      <formula>A14="tăng"</formula>
    </cfRule>
  </conditionalFormatting>
  <conditionalFormatting sqref="C20:C37">
    <cfRule type="expression" dxfId="43" priority="11" stopIfTrue="1">
      <formula>E20&gt;=6.8%</formula>
    </cfRule>
    <cfRule type="expression" dxfId="42" priority="12" stopIfTrue="1">
      <formula>AND(E20&gt;0%,E20&lt;6.8%)</formula>
    </cfRule>
    <cfRule type="expression" dxfId="41" priority="13" stopIfTrue="1">
      <formula>E20=0%</formula>
    </cfRule>
    <cfRule type="expression" dxfId="40" priority="14" stopIfTrue="1">
      <formula>AND(E20&gt;-6.8%, E20&lt;0%)</formula>
    </cfRule>
    <cfRule type="expression" dxfId="39" priority="15" stopIfTrue="1">
      <formula>E20&lt;=-6.8%</formula>
    </cfRule>
  </conditionalFormatting>
  <conditionalFormatting sqref="B20:B37">
    <cfRule type="expression" dxfId="38" priority="21" stopIfTrue="1">
      <formula>E20&gt;=6.8%</formula>
    </cfRule>
    <cfRule type="expression" dxfId="37" priority="22" stopIfTrue="1">
      <formula>AND(E20&gt;0%,E20&lt;6.8%)</formula>
    </cfRule>
    <cfRule type="expression" dxfId="36" priority="23" stopIfTrue="1">
      <formula>E20=0%</formula>
    </cfRule>
    <cfRule type="expression" dxfId="35" priority="24" stopIfTrue="1">
      <formula>AND(E20&gt;-6.8%, E20&lt;0%)</formula>
    </cfRule>
    <cfRule type="expression" dxfId="34" priority="25" stopIfTrue="1">
      <formula>E20&lt;=-6.8%</formula>
    </cfRule>
  </conditionalFormatting>
  <conditionalFormatting sqref="F21:F27 F29:F32">
    <cfRule type="colorScale" priority="14626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1:I27 I29:I32">
    <cfRule type="colorScale" priority="14645">
      <colorScale>
        <cfvo type="min"/>
        <cfvo type="percentile" val="50"/>
        <cfvo type="max"/>
        <color rgb="FFFF3829"/>
        <color rgb="FFFFC000"/>
        <color rgb="FF00A400"/>
      </colorScale>
    </cfRule>
  </conditionalFormatting>
  <conditionalFormatting sqref="L21:M27 L29:M32">
    <cfRule type="colorScale" priority="14648">
      <colorScale>
        <cfvo type="min"/>
        <cfvo type="percentile" val="50"/>
        <cfvo type="max"/>
        <color rgb="FFFF3829"/>
        <color rgb="FFFFC000"/>
        <color rgb="FF00BC55"/>
      </colorScale>
    </cfRule>
  </conditionalFormatting>
  <conditionalFormatting sqref="I20:I37">
    <cfRule type="colorScale" priority="18262">
      <colorScale>
        <cfvo type="min"/>
        <cfvo type="max"/>
        <color theme="0" tint="-4.9989318521683403E-2"/>
        <color rgb="FF00B050"/>
      </colorScale>
    </cfRule>
  </conditionalFormatting>
  <conditionalFormatting sqref="L20:L37">
    <cfRule type="colorScale" priority="18264">
      <colorScale>
        <cfvo type="min"/>
        <cfvo type="max"/>
        <color theme="0" tint="-4.9989318521683403E-2"/>
        <color rgb="FF00B050"/>
      </colorScale>
    </cfRule>
  </conditionalFormatting>
  <conditionalFormatting sqref="M20:M37">
    <cfRule type="colorScale" priority="18266">
      <colorScale>
        <cfvo type="min"/>
        <cfvo type="max"/>
        <color rgb="FFFF7C80"/>
        <color theme="0" tint="-4.9989318521683403E-2"/>
      </colorScale>
    </cfRule>
  </conditionalFormatting>
  <conditionalFormatting sqref="N20:N37">
    <cfRule type="colorScale" priority="18268">
      <colorScale>
        <cfvo type="min"/>
        <cfvo type="max"/>
        <color theme="0" tint="-4.9989318521683403E-2"/>
        <color rgb="FFFF0000"/>
      </colorScale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D5129AF-280C-4071-9B60-7B81311D3FFC}">
          <x14:formula1>
            <xm:f>'Nơi chứ dữ liệu'!$I$2:$K$2</xm:f>
          </x14:formula1>
          <xm:sqref>N20:N37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F00DB-683D-488C-9FB3-28052FC47019}">
  <sheetPr codeName="Sheet27">
    <tabColor theme="5" tint="-0.249977111117893"/>
  </sheetPr>
  <dimension ref="A1:X36"/>
  <sheetViews>
    <sheetView topLeftCell="A3" zoomScaleNormal="100" workbookViewId="0">
      <selection activeCell="B20" sqref="B20:B36"/>
    </sheetView>
  </sheetViews>
  <sheetFormatPr defaultRowHeight="15" x14ac:dyDescent="0.2"/>
  <cols>
    <col min="1" max="1" width="8" customWidth="1"/>
    <col min="2" max="2" width="9.6640625" customWidth="1"/>
    <col min="3" max="3" width="11.10937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  <col min="24" max="24" width="15.6640625" bestFit="1" customWidth="1"/>
  </cols>
  <sheetData>
    <row r="1" spans="1:11" ht="15.75" x14ac:dyDescent="0.25">
      <c r="A1" s="332" t="s">
        <v>3140</v>
      </c>
      <c r="B1" s="332"/>
      <c r="C1" s="332"/>
      <c r="D1" s="332"/>
      <c r="E1" s="332"/>
      <c r="F1" s="332"/>
      <c r="K1" s="150"/>
    </row>
    <row r="2" spans="1:11" ht="15.75" x14ac:dyDescent="0.25">
      <c r="A2" s="332" t="s">
        <v>3141</v>
      </c>
      <c r="B2" s="332"/>
      <c r="C2" s="242" t="s">
        <v>3015</v>
      </c>
      <c r="D2" s="242" t="s">
        <v>3142</v>
      </c>
      <c r="E2" s="242" t="s">
        <v>3143</v>
      </c>
      <c r="F2" s="242" t="s">
        <v>3144</v>
      </c>
    </row>
    <row r="12" spans="1:11" ht="18" customHeight="1" x14ac:dyDescent="0.2"/>
    <row r="13" spans="1:11" ht="14.25" customHeight="1" x14ac:dyDescent="0.2"/>
    <row r="14" spans="1:11" ht="15.75" x14ac:dyDescent="0.2">
      <c r="A14" s="155" t="str">
        <f>"Tổng điểm nhóm hôm nay"&amp;" "&amp;SUM($O$20:O23)&amp;" "&amp;"trên tổng"&amp;" "&amp;$O$19</f>
        <v>Tổng điểm nhóm hôm nay 2 trên tổng 6</v>
      </c>
      <c r="B14" s="158"/>
      <c r="C14" s="158"/>
      <c r="D14" s="158"/>
      <c r="E14" s="158"/>
      <c r="F14" s="346" t="s">
        <v>3013</v>
      </c>
      <c r="G14" s="346"/>
    </row>
    <row r="15" spans="1:11" ht="15.75" x14ac:dyDescent="0.2">
      <c r="A15" s="159" t="str">
        <f>"Tổng điểm tăng nhóm hôm nay"&amp;" "&amp;$P$19</f>
        <v>Tổng điểm tăng nhóm hôm nay 3</v>
      </c>
      <c r="B15" s="160"/>
      <c r="C15" s="160"/>
      <c r="D15" s="160"/>
      <c r="E15" s="160"/>
      <c r="F15" s="156" t="s">
        <v>3014</v>
      </c>
      <c r="G15" s="156" t="s">
        <v>3008</v>
      </c>
    </row>
    <row r="16" spans="1:11" ht="15.75" x14ac:dyDescent="0.2">
      <c r="A16" s="159" t="str">
        <f>"Tổng điểm giảm nhóm hôm nay"&amp;" "&amp;$Q$19</f>
        <v>Tổng điểm giảm nhóm hôm nay 1</v>
      </c>
      <c r="B16" s="160"/>
      <c r="C16" s="160"/>
      <c r="D16" s="160"/>
      <c r="E16" s="160"/>
      <c r="F16" s="164">
        <f>AVERAGE(E20:E36)</f>
        <v>-1.6764705882352951E-3</v>
      </c>
      <c r="G16" s="162">
        <f>AVERAGE(F20:F36)</f>
        <v>1.4173831754858845</v>
      </c>
    </row>
    <row r="17" spans="1:24" ht="15.75" x14ac:dyDescent="0.2">
      <c r="A17" s="159" t="str">
        <f>"Tổng điểm tham chiếu nhóm hôm nay"&amp;" "&amp;(O19-(P19+Q19))</f>
        <v>Tổng điểm tham chiếu nhóm hôm nay 2</v>
      </c>
      <c r="B17" s="160"/>
      <c r="C17" s="160"/>
      <c r="D17" s="160"/>
      <c r="E17" s="160"/>
      <c r="F17" s="160"/>
      <c r="G17" s="163"/>
    </row>
    <row r="18" spans="1:24" s="86" customFormat="1" ht="15.75" customHeight="1" x14ac:dyDescent="0.25">
      <c r="A18" s="339" t="s">
        <v>127</v>
      </c>
      <c r="B18" s="348" t="s">
        <v>16</v>
      </c>
      <c r="C18" s="348" t="s">
        <v>2949</v>
      </c>
      <c r="D18" s="348" t="s">
        <v>2950</v>
      </c>
      <c r="E18" s="348" t="s">
        <v>2951</v>
      </c>
      <c r="F18" s="345" t="s">
        <v>2952</v>
      </c>
      <c r="G18" s="345" t="s">
        <v>2964</v>
      </c>
      <c r="H18" s="345" t="s">
        <v>2953</v>
      </c>
      <c r="I18" s="345" t="s">
        <v>2954</v>
      </c>
      <c r="J18" s="345" t="s">
        <v>2956</v>
      </c>
      <c r="K18" s="345" t="s">
        <v>2955</v>
      </c>
      <c r="L18" s="345" t="s">
        <v>2957</v>
      </c>
      <c r="M18" s="345" t="s">
        <v>2963</v>
      </c>
      <c r="N18" s="345" t="s">
        <v>2958</v>
      </c>
      <c r="O18" s="169" t="s">
        <v>2959</v>
      </c>
      <c r="P18" s="137" t="s">
        <v>2972</v>
      </c>
      <c r="Q18" s="137" t="s">
        <v>2973</v>
      </c>
      <c r="T18" s="82" t="s">
        <v>2968</v>
      </c>
      <c r="U18" t="s">
        <v>2974</v>
      </c>
      <c r="V18" t="s">
        <v>2975</v>
      </c>
      <c r="X18"/>
    </row>
    <row r="19" spans="1:24" s="86" customFormat="1" ht="15.75" x14ac:dyDescent="0.25">
      <c r="A19" s="339"/>
      <c r="B19" s="344"/>
      <c r="C19" s="344"/>
      <c r="D19" s="344"/>
      <c r="E19" s="344"/>
      <c r="F19" s="343"/>
      <c r="G19" s="343"/>
      <c r="H19" s="343"/>
      <c r="I19" s="343"/>
      <c r="J19" s="343"/>
      <c r="K19" s="343"/>
      <c r="L19" s="343"/>
      <c r="M19" s="343"/>
      <c r="N19" s="343"/>
      <c r="O19" s="137">
        <f>COUNT(O20:O25)</f>
        <v>6</v>
      </c>
      <c r="P19" s="137">
        <f>SUM(P20:P25)</f>
        <v>3</v>
      </c>
      <c r="Q19" s="137">
        <f>SUM(Q20:Q25)</f>
        <v>1</v>
      </c>
      <c r="T19" s="12" t="s">
        <v>2717</v>
      </c>
      <c r="U19" s="85">
        <v>-6.8000000000000005E-2</v>
      </c>
      <c r="V19" s="379">
        <v>5.8635394456289971</v>
      </c>
      <c r="X19"/>
    </row>
    <row r="20" spans="1:24" ht="15.75" customHeight="1" x14ac:dyDescent="0.2">
      <c r="A20" s="347" t="s">
        <v>3155</v>
      </c>
      <c r="B20" s="222" t="s">
        <v>198</v>
      </c>
      <c r="C20" s="223">
        <f t="array" ref="C20:M20">tinh_du_lieu_cp(B20)</f>
        <v>32.4</v>
      </c>
      <c r="D20" s="224">
        <v>5</v>
      </c>
      <c r="E20" s="225">
        <v>0</v>
      </c>
      <c r="F20" s="226">
        <v>0.73825503355704691</v>
      </c>
      <c r="G20" s="226">
        <v>0.99013346152965642</v>
      </c>
      <c r="H20" s="226">
        <v>1.25</v>
      </c>
      <c r="I20" s="227">
        <v>6.4814814814814867E-2</v>
      </c>
      <c r="J20" s="222">
        <v>32.4</v>
      </c>
      <c r="K20" s="222">
        <v>34.5</v>
      </c>
      <c r="L20" s="225">
        <v>0</v>
      </c>
      <c r="M20" s="225">
        <v>-6.0869565217391348E-2</v>
      </c>
      <c r="N20" s="228"/>
      <c r="O20" s="222">
        <f t="shared" ref="O20:O25" si="0">IF(E20&gt;0,1,IF(E20=0,0,-1))</f>
        <v>0</v>
      </c>
      <c r="P20" s="222">
        <f t="shared" ref="P20:P25" si="1">IF(O20=1,1,0)</f>
        <v>0</v>
      </c>
      <c r="Q20" s="222">
        <f t="shared" ref="Q20:Q25" si="2">IF(O20&lt;0,1,0)</f>
        <v>0</v>
      </c>
      <c r="T20" s="12" t="s">
        <v>2421</v>
      </c>
      <c r="U20" s="85">
        <v>-2.7699999999999999E-2</v>
      </c>
      <c r="V20" s="379">
        <v>0.69709989258861438</v>
      </c>
    </row>
    <row r="21" spans="1:24" ht="15.75" customHeight="1" x14ac:dyDescent="0.2">
      <c r="A21" s="347"/>
      <c r="B21" s="222" t="s">
        <v>341</v>
      </c>
      <c r="C21" s="223">
        <f t="array" ref="C21:M21">tinh_du_lieu_cp(B21)</f>
        <v>97</v>
      </c>
      <c r="D21" s="224">
        <v>7.3570000000000002</v>
      </c>
      <c r="E21" s="225">
        <v>6.7099999999999993E-2</v>
      </c>
      <c r="F21" s="226">
        <v>2.1469179853824829</v>
      </c>
      <c r="G21" s="226">
        <v>1.2198523892919688</v>
      </c>
      <c r="H21" s="226">
        <v>1.5195703810802437</v>
      </c>
      <c r="I21" s="225">
        <v>0.6166666666666667</v>
      </c>
      <c r="J21" s="222">
        <v>60</v>
      </c>
      <c r="K21" s="222">
        <v>97</v>
      </c>
      <c r="L21" s="225">
        <v>0.6166666666666667</v>
      </c>
      <c r="M21" s="225">
        <v>0</v>
      </c>
      <c r="N21" s="228"/>
      <c r="O21" s="222">
        <f t="shared" si="0"/>
        <v>1</v>
      </c>
      <c r="P21" s="222">
        <f t="shared" si="1"/>
        <v>1</v>
      </c>
      <c r="Q21" s="222">
        <f t="shared" si="2"/>
        <v>0</v>
      </c>
      <c r="T21" s="12" t="s">
        <v>198</v>
      </c>
      <c r="U21" s="85">
        <v>-2.7000000000000003E-2</v>
      </c>
      <c r="V21" s="379">
        <v>0.25669183253260125</v>
      </c>
    </row>
    <row r="22" spans="1:24" ht="15.75" customHeight="1" x14ac:dyDescent="0.2">
      <c r="A22" s="347"/>
      <c r="B22" s="222" t="s">
        <v>433</v>
      </c>
      <c r="C22" s="223">
        <f t="array" ref="C22:M22">tinh_du_lieu_cp(B22)</f>
        <v>12.3</v>
      </c>
      <c r="D22" s="224">
        <v>5</v>
      </c>
      <c r="E22" s="225">
        <v>4.0999999999999995E-3</v>
      </c>
      <c r="F22" s="226">
        <v>0.51353874883286654</v>
      </c>
      <c r="G22" s="226">
        <v>0.99283284742468403</v>
      </c>
      <c r="H22" s="226">
        <v>0.5714285714285714</v>
      </c>
      <c r="I22" s="225">
        <v>0.10655737704918039</v>
      </c>
      <c r="J22" s="222">
        <v>12.2</v>
      </c>
      <c r="K22" s="222">
        <v>13.5</v>
      </c>
      <c r="L22" s="225">
        <v>8.1967213114755265E-3</v>
      </c>
      <c r="M22" s="225">
        <v>-8.8888888888888837E-2</v>
      </c>
      <c r="N22" s="228"/>
      <c r="O22" s="222">
        <f t="shared" si="0"/>
        <v>1</v>
      </c>
      <c r="P22" s="222">
        <f t="shared" si="1"/>
        <v>1</v>
      </c>
      <c r="Q22" s="222">
        <f t="shared" si="2"/>
        <v>0</v>
      </c>
      <c r="T22" s="12" t="s">
        <v>2801</v>
      </c>
      <c r="U22" s="85">
        <v>-2.4799999999999999E-2</v>
      </c>
      <c r="V22" s="379">
        <v>0.15123867452322121</v>
      </c>
    </row>
    <row r="23" spans="1:24" ht="15.75" customHeight="1" x14ac:dyDescent="0.2">
      <c r="A23" s="347"/>
      <c r="B23" s="222" t="s">
        <v>828</v>
      </c>
      <c r="C23" s="223">
        <f t="array" ref="C23:M23">tinh_du_lieu_cp(B23)</f>
        <v>6.4</v>
      </c>
      <c r="D23" s="224">
        <v>42.6</v>
      </c>
      <c r="E23" s="225">
        <v>0</v>
      </c>
      <c r="F23" s="226">
        <v>1.7593392153181904</v>
      </c>
      <c r="G23" s="226">
        <v>1.0162377005477194</v>
      </c>
      <c r="H23" s="226">
        <v>0.78236914600550966</v>
      </c>
      <c r="I23" s="225">
        <v>0.17663865546218491</v>
      </c>
      <c r="J23" s="222">
        <v>5.95</v>
      </c>
      <c r="K23" s="222">
        <v>7.0010000000000003</v>
      </c>
      <c r="L23" s="225">
        <v>7.5630252100840359E-2</v>
      </c>
      <c r="M23" s="225">
        <v>-8.5844879302956714E-2</v>
      </c>
      <c r="N23" s="228"/>
      <c r="O23" s="222">
        <f t="shared" si="0"/>
        <v>0</v>
      </c>
      <c r="P23" s="222">
        <f t="shared" si="1"/>
        <v>0</v>
      </c>
      <c r="Q23" s="222">
        <f t="shared" si="2"/>
        <v>0</v>
      </c>
      <c r="T23" s="12" t="s">
        <v>846</v>
      </c>
      <c r="U23" s="85">
        <v>-2.4500000000000001E-2</v>
      </c>
      <c r="V23" s="379">
        <v>0.56904642334505118</v>
      </c>
    </row>
    <row r="24" spans="1:24" ht="15.75" customHeight="1" x14ac:dyDescent="0.2">
      <c r="A24" s="347"/>
      <c r="B24" s="222" t="s">
        <v>846</v>
      </c>
      <c r="C24" s="223" cm="1">
        <f t="array" ref="C24:M24">tinh_du_lieu_cp(B24)</f>
        <v>2.4300000000000002</v>
      </c>
      <c r="D24" s="224">
        <v>1513.9</v>
      </c>
      <c r="E24" s="225">
        <v>-8.199999999999999E-3</v>
      </c>
      <c r="F24" s="226">
        <v>1.7033078307830782</v>
      </c>
      <c r="G24" s="226">
        <v>0.96270928462709293</v>
      </c>
      <c r="H24" s="226">
        <v>1.849979633401222</v>
      </c>
      <c r="I24" s="227">
        <v>0.18518518518518506</v>
      </c>
      <c r="J24" s="222">
        <v>2.4300000000000002</v>
      </c>
      <c r="K24" s="222">
        <v>2.88</v>
      </c>
      <c r="L24" s="225">
        <v>0</v>
      </c>
      <c r="M24" s="225">
        <v>-0.15624999999999992</v>
      </c>
      <c r="N24" s="228"/>
      <c r="O24" s="222">
        <f t="shared" si="0"/>
        <v>-1</v>
      </c>
      <c r="P24" s="222">
        <f t="shared" si="1"/>
        <v>0</v>
      </c>
      <c r="Q24" s="222">
        <f t="shared" si="2"/>
        <v>1</v>
      </c>
      <c r="T24" s="12" t="s">
        <v>2503</v>
      </c>
      <c r="U24" s="85">
        <v>-2.2599999999999999E-2</v>
      </c>
      <c r="V24" s="379">
        <v>0.90219397170391624</v>
      </c>
    </row>
    <row r="25" spans="1:24" ht="15.75" customHeight="1" x14ac:dyDescent="0.2">
      <c r="A25" s="347"/>
      <c r="B25" s="222" t="s">
        <v>3152</v>
      </c>
      <c r="C25" s="223">
        <f t="array" ref="C25:M25">tinh_du_lieu_cp(B25)</f>
        <v>12.7</v>
      </c>
      <c r="D25" s="224">
        <v>206.2</v>
      </c>
      <c r="E25" s="225">
        <v>4.0000000000000001E-3</v>
      </c>
      <c r="F25" s="226">
        <v>1.2055915807377484</v>
      </c>
      <c r="G25" s="226">
        <v>0.96670610106472887</v>
      </c>
      <c r="H25" s="226">
        <v>0.93451167006571489</v>
      </c>
      <c r="I25" s="225">
        <v>0.20948616600790515</v>
      </c>
      <c r="J25" s="222">
        <v>12.65</v>
      </c>
      <c r="K25" s="222">
        <v>15.3</v>
      </c>
      <c r="L25" s="225">
        <v>3.9525691699603899E-3</v>
      </c>
      <c r="M25" s="225">
        <v>-0.16993464052287591</v>
      </c>
      <c r="N25" s="228"/>
      <c r="O25" s="222">
        <f t="shared" si="0"/>
        <v>1</v>
      </c>
      <c r="P25" s="222">
        <f t="shared" si="1"/>
        <v>1</v>
      </c>
      <c r="Q25" s="222">
        <f t="shared" si="2"/>
        <v>0</v>
      </c>
      <c r="T25" s="12" t="s">
        <v>2341</v>
      </c>
      <c r="U25" s="85">
        <v>-1.9E-2</v>
      </c>
      <c r="V25" s="379">
        <v>0.4228058936579116</v>
      </c>
    </row>
    <row r="26" spans="1:24" x14ac:dyDescent="0.2">
      <c r="A26" s="347"/>
      <c r="B26" s="222" t="s">
        <v>1473</v>
      </c>
      <c r="C26" s="223" cm="1">
        <f t="array" ref="C26:M26">tinh_du_lieu_cp(B26)</f>
        <v>13.95</v>
      </c>
      <c r="D26" s="224">
        <v>508.6</v>
      </c>
      <c r="E26" s="225">
        <v>-3.5999999999999999E-3</v>
      </c>
      <c r="F26" s="226">
        <v>0.91863844600252864</v>
      </c>
      <c r="G26" s="226">
        <v>0.97083783366764398</v>
      </c>
      <c r="H26" s="226">
        <v>0.86545660805445268</v>
      </c>
      <c r="I26" s="225">
        <v>0.16845878136200729</v>
      </c>
      <c r="J26" s="222">
        <v>13.95</v>
      </c>
      <c r="K26" s="222">
        <v>16.3</v>
      </c>
      <c r="L26" s="225">
        <v>0</v>
      </c>
      <c r="M26" s="225">
        <v>-0.14417177914110438</v>
      </c>
      <c r="N26" s="228"/>
      <c r="O26" s="222">
        <f t="shared" ref="O26:O36" si="3">IF(E26&gt;0,1,IF(E26=0,0,-1))</f>
        <v>-1</v>
      </c>
      <c r="P26" s="222">
        <f t="shared" ref="P26:P36" si="4">IF(O26=1,1,0)</f>
        <v>0</v>
      </c>
      <c r="Q26" s="222">
        <f t="shared" ref="Q26:Q36" si="5">IF(O26&lt;0,1,0)</f>
        <v>1</v>
      </c>
      <c r="T26" s="12" t="s">
        <v>1473</v>
      </c>
      <c r="U26" s="85">
        <v>-1.0700000000000001E-2</v>
      </c>
      <c r="V26" s="379">
        <v>0.29200412559389954</v>
      </c>
    </row>
    <row r="27" spans="1:24" x14ac:dyDescent="0.2">
      <c r="A27" s="347"/>
      <c r="B27" s="222" t="s">
        <v>1906</v>
      </c>
      <c r="C27" s="223" cm="1">
        <f t="array" ref="C27:M27">tinh_du_lieu_cp(B27)</f>
        <v>20.7</v>
      </c>
      <c r="D27" s="224">
        <v>105.8</v>
      </c>
      <c r="E27" s="225">
        <v>2.4799999999999999E-2</v>
      </c>
      <c r="F27" s="226">
        <v>1.0343050124422326</v>
      </c>
      <c r="G27" s="226">
        <v>0.9874254978921353</v>
      </c>
      <c r="H27" s="226">
        <v>1.0748391466305454</v>
      </c>
      <c r="I27" s="225">
        <v>0.20792079207920788</v>
      </c>
      <c r="J27" s="222">
        <v>20.2</v>
      </c>
      <c r="K27" s="222">
        <v>24.4</v>
      </c>
      <c r="L27" s="225">
        <v>2.4752475247524754E-2</v>
      </c>
      <c r="M27" s="225">
        <v>-0.15163934426229506</v>
      </c>
      <c r="N27" s="228"/>
      <c r="O27" s="222">
        <f t="shared" si="3"/>
        <v>1</v>
      </c>
      <c r="P27" s="222">
        <f t="shared" si="4"/>
        <v>1</v>
      </c>
      <c r="Q27" s="222">
        <f t="shared" si="5"/>
        <v>0</v>
      </c>
      <c r="T27" s="12" t="s">
        <v>1990</v>
      </c>
      <c r="U27" s="85">
        <v>-6.8999999999999999E-3</v>
      </c>
      <c r="V27" s="379">
        <v>0.14997727617027723</v>
      </c>
    </row>
    <row r="28" spans="1:24" x14ac:dyDescent="0.2">
      <c r="A28" s="347"/>
      <c r="B28" s="222" t="s">
        <v>1990</v>
      </c>
      <c r="C28" s="223" cm="1">
        <f t="array" ref="C28:M28">tinh_du_lieu_cp(B28)</f>
        <v>35.700000000000003</v>
      </c>
      <c r="D28" s="224">
        <v>38.6</v>
      </c>
      <c r="E28" s="225">
        <v>-1.52E-2</v>
      </c>
      <c r="F28" s="226">
        <v>0.62913024151726182</v>
      </c>
      <c r="G28" s="226">
        <v>0.98033958891867734</v>
      </c>
      <c r="H28" s="226">
        <v>1.180428134556575</v>
      </c>
      <c r="I28" s="225">
        <v>0.16386554621848723</v>
      </c>
      <c r="J28" s="222">
        <v>35.700000000000003</v>
      </c>
      <c r="K28" s="222">
        <v>41.55</v>
      </c>
      <c r="L28" s="225">
        <v>0</v>
      </c>
      <c r="M28" s="225">
        <v>-0.14079422382671467</v>
      </c>
      <c r="N28" s="228"/>
      <c r="O28" s="222">
        <f t="shared" si="3"/>
        <v>-1</v>
      </c>
      <c r="P28" s="222">
        <f t="shared" si="4"/>
        <v>0</v>
      </c>
      <c r="Q28" s="222">
        <f t="shared" si="5"/>
        <v>1</v>
      </c>
      <c r="T28" s="12" t="s">
        <v>433</v>
      </c>
      <c r="U28" s="85">
        <v>-4.0999999999999995E-3</v>
      </c>
      <c r="V28" s="379">
        <v>0.21864647420728822</v>
      </c>
    </row>
    <row r="29" spans="1:24" x14ac:dyDescent="0.2">
      <c r="A29" s="347"/>
      <c r="B29" s="222" t="s">
        <v>2121</v>
      </c>
      <c r="C29" s="223" cm="1">
        <f t="array" ref="C29:M29">tinh_du_lieu_cp(B29)</f>
        <v>13.1</v>
      </c>
      <c r="D29" s="224">
        <v>6.6</v>
      </c>
      <c r="E29" s="225">
        <v>-7.6E-3</v>
      </c>
      <c r="F29" s="226">
        <v>1.3582787652011226</v>
      </c>
      <c r="G29" s="226">
        <v>0.99085590958141667</v>
      </c>
      <c r="H29" s="226">
        <v>2.25</v>
      </c>
      <c r="I29" s="225">
        <v>0.28178902661003719</v>
      </c>
      <c r="J29" s="222">
        <v>11.537000000000001</v>
      </c>
      <c r="K29" s="222">
        <v>14.788</v>
      </c>
      <c r="L29" s="225">
        <v>0.13547716044032232</v>
      </c>
      <c r="M29" s="225">
        <v>-0.11414660535569385</v>
      </c>
      <c r="N29" s="228"/>
      <c r="O29" s="222">
        <f t="shared" si="3"/>
        <v>-1</v>
      </c>
      <c r="P29" s="222">
        <f t="shared" si="4"/>
        <v>0</v>
      </c>
      <c r="Q29" s="222">
        <f t="shared" si="5"/>
        <v>1</v>
      </c>
      <c r="T29" s="12" t="s">
        <v>3153</v>
      </c>
      <c r="U29" s="85">
        <v>-2E-3</v>
      </c>
      <c r="V29" s="379">
        <v>1.7286855482933916</v>
      </c>
    </row>
    <row r="30" spans="1:24" x14ac:dyDescent="0.2">
      <c r="A30" s="347"/>
      <c r="B30" s="222" t="s">
        <v>2341</v>
      </c>
      <c r="C30" s="223" cm="1">
        <f t="array" ref="C30:M30">tinh_du_lieu_cp(B30)</f>
        <v>10.3</v>
      </c>
      <c r="D30" s="224">
        <v>3</v>
      </c>
      <c r="E30" s="225">
        <v>-1.9E-2</v>
      </c>
      <c r="F30" s="226">
        <v>0.4228058936579116</v>
      </c>
      <c r="G30" s="226">
        <v>0.99015804597701151</v>
      </c>
      <c r="H30" s="226">
        <v>3.3962264150943393</v>
      </c>
      <c r="I30" s="225">
        <v>0.10194174757281542</v>
      </c>
      <c r="J30" s="222">
        <v>10.3</v>
      </c>
      <c r="K30" s="222">
        <v>11.35</v>
      </c>
      <c r="L30" s="225">
        <v>0</v>
      </c>
      <c r="M30" s="225">
        <v>-9.2511013215858945E-2</v>
      </c>
      <c r="N30" s="228"/>
      <c r="O30" s="222">
        <f t="shared" si="3"/>
        <v>-1</v>
      </c>
      <c r="P30" s="222">
        <f t="shared" si="4"/>
        <v>0</v>
      </c>
      <c r="Q30" s="222">
        <f t="shared" si="5"/>
        <v>1</v>
      </c>
      <c r="T30" s="12" t="s">
        <v>2551</v>
      </c>
      <c r="U30" s="85">
        <v>0</v>
      </c>
      <c r="V30" s="379">
        <v>0.52834630105478786</v>
      </c>
    </row>
    <row r="31" spans="1:24" x14ac:dyDescent="0.2">
      <c r="A31" s="347"/>
      <c r="B31" s="222" t="s">
        <v>2421</v>
      </c>
      <c r="C31" s="223" cm="1">
        <f t="array" ref="C31:M31">tinh_du_lieu_cp(B31)</f>
        <v>31.5</v>
      </c>
      <c r="D31" s="224">
        <v>25.6</v>
      </c>
      <c r="E31" s="225">
        <v>-3.0800000000000001E-2</v>
      </c>
      <c r="F31" s="226">
        <v>1.4583117555670635</v>
      </c>
      <c r="G31" s="226">
        <v>0.94616664477428947</v>
      </c>
      <c r="H31" s="226">
        <v>1.501466275659824</v>
      </c>
      <c r="I31" s="225">
        <v>0.23485714285714296</v>
      </c>
      <c r="J31" s="222">
        <v>31.5</v>
      </c>
      <c r="K31" s="222">
        <v>38.898000000000003</v>
      </c>
      <c r="L31" s="225">
        <v>0</v>
      </c>
      <c r="M31" s="225">
        <v>-0.19018972697825087</v>
      </c>
      <c r="N31" s="228"/>
      <c r="O31" s="222">
        <f t="shared" si="3"/>
        <v>-1</v>
      </c>
      <c r="P31" s="222">
        <f t="shared" si="4"/>
        <v>0</v>
      </c>
      <c r="Q31" s="222">
        <f t="shared" si="5"/>
        <v>1</v>
      </c>
      <c r="T31" s="12" t="s">
        <v>828</v>
      </c>
      <c r="U31" s="85">
        <v>0</v>
      </c>
      <c r="V31" s="379">
        <v>1.3721063707671706</v>
      </c>
    </row>
    <row r="32" spans="1:24" x14ac:dyDescent="0.2">
      <c r="A32" s="347"/>
      <c r="B32" s="222" t="s">
        <v>2503</v>
      </c>
      <c r="C32" s="223" cm="1">
        <f t="array" ref="C32:M32">tinh_du_lieu_cp(B32)</f>
        <v>10.6</v>
      </c>
      <c r="D32" s="224">
        <v>20.399999999999999</v>
      </c>
      <c r="E32" s="225">
        <v>-1.8500000000000003E-2</v>
      </c>
      <c r="F32" s="226">
        <v>0.8984984984984985</v>
      </c>
      <c r="G32" s="226">
        <v>0.97022266533732138</v>
      </c>
      <c r="H32" s="226">
        <v>1.5223880597014925</v>
      </c>
      <c r="I32" s="225">
        <v>0.22199592668024437</v>
      </c>
      <c r="J32" s="222">
        <v>9.82</v>
      </c>
      <c r="K32" s="222">
        <v>12</v>
      </c>
      <c r="L32" s="225">
        <v>7.9429735234215815E-2</v>
      </c>
      <c r="M32" s="225">
        <v>-0.1166666666666667</v>
      </c>
      <c r="N32" s="228"/>
      <c r="O32" s="222">
        <f t="shared" si="3"/>
        <v>-1</v>
      </c>
      <c r="P32" s="222">
        <f t="shared" si="4"/>
        <v>0</v>
      </c>
      <c r="Q32" s="222">
        <f t="shared" si="5"/>
        <v>1</v>
      </c>
      <c r="T32" s="12" t="s">
        <v>3152</v>
      </c>
      <c r="U32" s="85">
        <v>0</v>
      </c>
      <c r="V32" s="379">
        <v>0.37813639880623412</v>
      </c>
    </row>
    <row r="33" spans="1:22" x14ac:dyDescent="0.2">
      <c r="A33" s="347"/>
      <c r="B33" s="222" t="s">
        <v>2551</v>
      </c>
      <c r="C33" s="223" cm="1">
        <f t="array" ref="C33:M33">tinh_du_lieu_cp(B33)</f>
        <v>2</v>
      </c>
      <c r="D33" s="224">
        <v>487.2</v>
      </c>
      <c r="E33" s="225">
        <v>0</v>
      </c>
      <c r="F33" s="226">
        <v>0.94434410269513047</v>
      </c>
      <c r="G33" s="226">
        <v>0.95908311910882627</v>
      </c>
      <c r="H33" s="226">
        <v>1.1725161445589827</v>
      </c>
      <c r="I33" s="225">
        <v>0.32499999999999996</v>
      </c>
      <c r="J33" s="222">
        <v>2</v>
      </c>
      <c r="K33" s="222">
        <v>2.65</v>
      </c>
      <c r="L33" s="225">
        <v>0</v>
      </c>
      <c r="M33" s="225">
        <v>-0.2452830188679245</v>
      </c>
      <c r="N33" s="228"/>
      <c r="O33" s="222">
        <f t="shared" si="3"/>
        <v>0</v>
      </c>
      <c r="P33" s="222">
        <f t="shared" si="4"/>
        <v>0</v>
      </c>
      <c r="Q33" s="222">
        <f t="shared" si="5"/>
        <v>0</v>
      </c>
      <c r="T33" s="12" t="s">
        <v>2121</v>
      </c>
      <c r="U33" s="85">
        <v>0</v>
      </c>
      <c r="V33" s="379">
        <v>0.10912698412698413</v>
      </c>
    </row>
    <row r="34" spans="1:22" x14ac:dyDescent="0.2">
      <c r="A34" s="347"/>
      <c r="B34" s="222" t="s">
        <v>2717</v>
      </c>
      <c r="C34" s="223" cm="1">
        <f t="array" ref="C34:M34">tinh_du_lieu_cp(B34)</f>
        <v>4.9800000000000004</v>
      </c>
      <c r="D34" s="224">
        <v>12.6</v>
      </c>
      <c r="E34" s="225">
        <v>-4.0000000000000001E-3</v>
      </c>
      <c r="F34" s="226">
        <v>5.8978723404255318</v>
      </c>
      <c r="G34" s="226">
        <v>1.0004072681704261</v>
      </c>
      <c r="H34" s="226">
        <v>4.8152866242038224</v>
      </c>
      <c r="I34" s="225">
        <v>8.4598698481561749E-2</v>
      </c>
      <c r="J34" s="222">
        <v>4.6100000000000003</v>
      </c>
      <c r="K34" s="222">
        <v>5</v>
      </c>
      <c r="L34" s="225">
        <v>8.0260303687635592E-2</v>
      </c>
      <c r="M34" s="225">
        <v>-3.9999999999999151E-3</v>
      </c>
      <c r="N34" s="228"/>
      <c r="O34" s="222">
        <f t="shared" si="3"/>
        <v>-1</v>
      </c>
      <c r="P34" s="222">
        <f t="shared" si="4"/>
        <v>0</v>
      </c>
      <c r="Q34" s="222">
        <f t="shared" si="5"/>
        <v>1</v>
      </c>
      <c r="T34" s="12" t="s">
        <v>1906</v>
      </c>
      <c r="U34" s="85">
        <v>2.4799999999999999E-2</v>
      </c>
      <c r="V34" s="379">
        <v>0.64910851660783786</v>
      </c>
    </row>
    <row r="35" spans="1:22" x14ac:dyDescent="0.2">
      <c r="A35" s="347"/>
      <c r="B35" s="222" t="s">
        <v>3153</v>
      </c>
      <c r="C35" s="223" cm="1">
        <f t="array" ref="C35:M35">tinh_du_lieu_cp(B35)</f>
        <v>50</v>
      </c>
      <c r="D35" s="224">
        <v>60.9</v>
      </c>
      <c r="E35" s="225">
        <v>8.1000000000000013E-3</v>
      </c>
      <c r="F35" s="226">
        <v>1.9269380123687616</v>
      </c>
      <c r="G35" s="226">
        <v>1.0157818339046913</v>
      </c>
      <c r="H35" s="226">
        <v>2.1</v>
      </c>
      <c r="I35" s="225">
        <v>0.10109890109890113</v>
      </c>
      <c r="J35" s="222">
        <v>45.5</v>
      </c>
      <c r="K35" s="222">
        <v>50.1</v>
      </c>
      <c r="L35" s="225">
        <v>9.8901098901098897E-2</v>
      </c>
      <c r="M35" s="225">
        <v>-1.9960079840319646E-3</v>
      </c>
      <c r="N35" s="228"/>
      <c r="O35" s="222">
        <f t="shared" si="3"/>
        <v>1</v>
      </c>
      <c r="P35" s="222">
        <f t="shared" si="4"/>
        <v>1</v>
      </c>
      <c r="Q35" s="222">
        <f t="shared" si="5"/>
        <v>0</v>
      </c>
      <c r="T35" s="12" t="s">
        <v>341</v>
      </c>
      <c r="U35" s="85">
        <v>6.7099999999999993E-2</v>
      </c>
      <c r="V35" s="379">
        <v>2.1469179853824829</v>
      </c>
    </row>
    <row r="36" spans="1:22" x14ac:dyDescent="0.2">
      <c r="A36" s="347"/>
      <c r="B36" s="222" t="s">
        <v>2801</v>
      </c>
      <c r="C36" s="223" cm="1">
        <f t="array" ref="C36:M36">tinh_du_lieu_cp(B36)</f>
        <v>1.96</v>
      </c>
      <c r="D36" s="224">
        <v>157.6</v>
      </c>
      <c r="E36" s="225">
        <v>-2.9700000000000001E-2</v>
      </c>
      <c r="F36" s="226">
        <v>0.53944052027258294</v>
      </c>
      <c r="G36" s="226">
        <v>0.83404305654128219</v>
      </c>
      <c r="H36" s="226">
        <v>0.31507397041183527</v>
      </c>
      <c r="I36" s="225">
        <v>0.97448979591836749</v>
      </c>
      <c r="J36" s="222">
        <v>1.96</v>
      </c>
      <c r="K36" s="222">
        <v>3.87</v>
      </c>
      <c r="L36" s="225">
        <v>0</v>
      </c>
      <c r="M36" s="225">
        <v>-0.49354005167958659</v>
      </c>
      <c r="N36" s="228"/>
      <c r="O36" s="222">
        <f t="shared" si="3"/>
        <v>-1</v>
      </c>
      <c r="P36" s="222">
        <f t="shared" si="4"/>
        <v>0</v>
      </c>
      <c r="Q36" s="222">
        <f t="shared" si="5"/>
        <v>1</v>
      </c>
      <c r="T36" s="12" t="s">
        <v>2969</v>
      </c>
      <c r="U36" s="85">
        <v>-0.1454</v>
      </c>
      <c r="V36" s="379">
        <v>16.435672114990666</v>
      </c>
    </row>
  </sheetData>
  <mergeCells count="18">
    <mergeCell ref="A20:A36"/>
    <mergeCell ref="N18:N19"/>
    <mergeCell ref="H18:H19"/>
    <mergeCell ref="I18:I19"/>
    <mergeCell ref="J18:J19"/>
    <mergeCell ref="K18:K19"/>
    <mergeCell ref="L18:L19"/>
    <mergeCell ref="M18:M19"/>
    <mergeCell ref="A1:F1"/>
    <mergeCell ref="A2:B2"/>
    <mergeCell ref="F14:G14"/>
    <mergeCell ref="A18:A19"/>
    <mergeCell ref="B18:B19"/>
    <mergeCell ref="C18:C19"/>
    <mergeCell ref="D18:D19"/>
    <mergeCell ref="E18:E19"/>
    <mergeCell ref="F18:F19"/>
    <mergeCell ref="G18:G19"/>
  </mergeCells>
  <conditionalFormatting sqref="A14">
    <cfRule type="expression" dxfId="26" priority="170" stopIfTrue="1">
      <formula>A14="giảm"</formula>
    </cfRule>
    <cfRule type="expression" dxfId="25" priority="171" stopIfTrue="1">
      <formula>A14="tăng"</formula>
    </cfRule>
  </conditionalFormatting>
  <conditionalFormatting sqref="C20:C36">
    <cfRule type="expression" dxfId="24" priority="12" stopIfTrue="1">
      <formula>E20&gt;=6.8%</formula>
    </cfRule>
    <cfRule type="expression" dxfId="23" priority="13" stopIfTrue="1">
      <formula>AND(E20&gt;0%,E20&lt;6.8%)</formula>
    </cfRule>
    <cfRule type="expression" dxfId="22" priority="14" stopIfTrue="1">
      <formula>E20=0%</formula>
    </cfRule>
    <cfRule type="expression" dxfId="21" priority="15" stopIfTrue="1">
      <formula>AND(E20&gt;-6.8%, E20&lt;0%)</formula>
    </cfRule>
    <cfRule type="expression" dxfId="20" priority="16" stopIfTrue="1">
      <formula>E20&lt;=-6.8%</formula>
    </cfRule>
  </conditionalFormatting>
  <conditionalFormatting sqref="B20:B36">
    <cfRule type="expression" dxfId="19" priority="22" stopIfTrue="1">
      <formula>E20&gt;=6.8%</formula>
    </cfRule>
    <cfRule type="expression" dxfId="18" priority="23" stopIfTrue="1">
      <formula>AND(E20&gt;0%,E20&lt;6.8%)</formula>
    </cfRule>
    <cfRule type="expression" dxfId="17" priority="24" stopIfTrue="1">
      <formula>E20=0%</formula>
    </cfRule>
    <cfRule type="expression" dxfId="16" priority="25" stopIfTrue="1">
      <formula>AND(E20&gt;-6.8%, E20&lt;0%)</formula>
    </cfRule>
    <cfRule type="expression" dxfId="15" priority="26" stopIfTrue="1">
      <formula>E20&lt;=-6.8%</formula>
    </cfRule>
  </conditionalFormatting>
  <conditionalFormatting sqref="L25:M25 L21:M23">
    <cfRule type="colorScale" priority="15321">
      <colorScale>
        <cfvo type="min"/>
        <cfvo type="percentile" val="50"/>
        <cfvo type="max"/>
        <color rgb="FFFF3829"/>
        <color rgb="FFFFC000"/>
        <color rgb="FF00BC55"/>
      </colorScale>
    </cfRule>
  </conditionalFormatting>
  <conditionalFormatting sqref="F21:F23 F25:F36">
    <cfRule type="colorScale" priority="15896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1:I23 I25:I36">
    <cfRule type="colorScale" priority="15899">
      <colorScale>
        <cfvo type="min"/>
        <cfvo type="percentile" val="50"/>
        <cfvo type="max"/>
        <color rgb="FFFF3829"/>
        <color rgb="FFFFC000"/>
        <color rgb="FF00A400"/>
      </colorScale>
    </cfRule>
  </conditionalFormatting>
  <conditionalFormatting sqref="I20:I36">
    <cfRule type="colorScale" priority="15902">
      <colorScale>
        <cfvo type="min"/>
        <cfvo type="max"/>
        <color theme="0" tint="-4.9989318521683403E-2"/>
        <color rgb="FF00B050"/>
      </colorScale>
    </cfRule>
  </conditionalFormatting>
  <conditionalFormatting sqref="L20:L36">
    <cfRule type="colorScale" priority="15904">
      <colorScale>
        <cfvo type="min"/>
        <cfvo type="max"/>
        <color theme="0" tint="-4.9989318521683403E-2"/>
        <color rgb="FF00B050"/>
      </colorScale>
    </cfRule>
  </conditionalFormatting>
  <conditionalFormatting sqref="M20:M36">
    <cfRule type="colorScale" priority="15906">
      <colorScale>
        <cfvo type="min"/>
        <cfvo type="max"/>
        <color rgb="FFFF7C80"/>
        <color theme="0" tint="-4.9989318521683403E-2"/>
      </colorScale>
    </cfRule>
  </conditionalFormatting>
  <conditionalFormatting sqref="N20:N36">
    <cfRule type="colorScale" priority="15908">
      <colorScale>
        <cfvo type="min"/>
        <cfvo type="max"/>
        <color theme="0" tint="-4.9989318521683403E-2"/>
        <color rgb="FFFF0000"/>
      </colorScale>
    </cfRule>
  </conditionalFormatting>
  <conditionalFormatting sqref="L26:M36">
    <cfRule type="colorScale" priority="15920">
      <colorScale>
        <cfvo type="min"/>
        <cfvo type="percentile" val="50"/>
        <cfvo type="max"/>
        <color rgb="FFFF3829"/>
        <color rgb="FFFFC000"/>
        <color rgb="FF00BC55"/>
      </colorScale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018769-0921-4CA4-9136-741A173B0BD9}">
          <x14:formula1>
            <xm:f>'Nơi chứ dữ liệu'!$I$2:$K$2</xm:f>
          </x14:formula1>
          <xm:sqref>N20:N36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C076A-517E-4ACF-B6AB-317071D596F5}">
  <sheetPr codeName="Sheet18">
    <tabColor rgb="FFC00000"/>
  </sheetPr>
  <dimension ref="A1:X41"/>
  <sheetViews>
    <sheetView zoomScaleNormal="100" workbookViewId="0">
      <selection activeCell="H47" sqref="H47"/>
    </sheetView>
  </sheetViews>
  <sheetFormatPr defaultRowHeight="15" x14ac:dyDescent="0.2"/>
  <cols>
    <col min="1" max="1" width="8" customWidth="1"/>
    <col min="2" max="2" width="9.6640625" customWidth="1"/>
    <col min="3" max="3" width="11.8867187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  <col min="24" max="24" width="15.6640625" bestFit="1" customWidth="1"/>
  </cols>
  <sheetData>
    <row r="1" spans="1:11" ht="15.75" x14ac:dyDescent="0.25">
      <c r="A1" s="332" t="s">
        <v>3140</v>
      </c>
      <c r="B1" s="332"/>
      <c r="C1" s="332"/>
      <c r="D1" s="332"/>
      <c r="E1" s="332"/>
      <c r="F1" s="332"/>
      <c r="K1" s="150"/>
    </row>
    <row r="2" spans="1:11" ht="15.75" x14ac:dyDescent="0.25">
      <c r="A2" s="332" t="s">
        <v>3141</v>
      </c>
      <c r="B2" s="332"/>
      <c r="C2" s="242" t="s">
        <v>3015</v>
      </c>
      <c r="D2" s="242" t="s">
        <v>3142</v>
      </c>
      <c r="E2" s="242" t="s">
        <v>3143</v>
      </c>
      <c r="F2" s="242" t="s">
        <v>3144</v>
      </c>
    </row>
    <row r="12" spans="1:11" ht="18" customHeight="1" x14ac:dyDescent="0.2"/>
    <row r="13" spans="1:11" ht="14.25" customHeight="1" x14ac:dyDescent="0.2"/>
    <row r="14" spans="1:11" ht="15.75" x14ac:dyDescent="0.2">
      <c r="A14" s="155" t="str">
        <f>"Tổng điểm nhóm hôm nay"&amp;" "&amp;SUM($O$20:O34)&amp;" "&amp;"trên tổng"&amp;" "&amp;$O$19</f>
        <v>Tổng điểm nhóm hôm nay 8 trên tổng 20</v>
      </c>
      <c r="B14" s="158"/>
      <c r="C14" s="158"/>
      <c r="D14" s="158"/>
      <c r="E14" s="158"/>
      <c r="F14" s="346" t="s">
        <v>3013</v>
      </c>
      <c r="G14" s="346"/>
    </row>
    <row r="15" spans="1:11" ht="15.75" x14ac:dyDescent="0.2">
      <c r="A15" s="159" t="str">
        <f>"Tổng điểm tăng nhóm hôm nay"&amp;" "&amp;$P$19</f>
        <v>Tổng điểm tăng nhóm hôm nay 11</v>
      </c>
      <c r="B15" s="160"/>
      <c r="C15" s="160"/>
      <c r="D15" s="160"/>
      <c r="E15" s="160"/>
      <c r="F15" s="156" t="s">
        <v>3014</v>
      </c>
      <c r="G15" s="156" t="s">
        <v>3008</v>
      </c>
    </row>
    <row r="16" spans="1:11" ht="15.75" x14ac:dyDescent="0.2">
      <c r="A16" s="159" t="str">
        <f>"Tổng điểm giảm nhóm hôm nay"&amp;" "&amp;$Q$19</f>
        <v>Tổng điểm giảm nhóm hôm nay 3</v>
      </c>
      <c r="B16" s="160"/>
      <c r="C16" s="160"/>
      <c r="D16" s="160"/>
      <c r="E16" s="160"/>
      <c r="F16" s="164">
        <f>AVERAGE(E20:E41)</f>
        <v>4.6545454545454529E-3</v>
      </c>
      <c r="G16" s="162">
        <f>AVERAGE(F20:F41)</f>
        <v>0.98786990666915253</v>
      </c>
    </row>
    <row r="17" spans="1:24" ht="15.75" x14ac:dyDescent="0.2">
      <c r="A17" s="159" t="str">
        <f>"Tổng điểm tham chiếu nhóm hôm nay"&amp;" "&amp;(O19-(P19+Q19))</f>
        <v>Tổng điểm tham chiếu nhóm hôm nay 6</v>
      </c>
      <c r="B17" s="160"/>
      <c r="C17" s="160"/>
      <c r="D17" s="160"/>
      <c r="E17" s="160"/>
      <c r="F17" s="160"/>
      <c r="G17" s="163"/>
    </row>
    <row r="18" spans="1:24" s="86" customFormat="1" ht="15.75" customHeight="1" x14ac:dyDescent="0.25">
      <c r="A18" s="348" t="s">
        <v>127</v>
      </c>
      <c r="B18" s="348" t="s">
        <v>16</v>
      </c>
      <c r="C18" s="348" t="s">
        <v>2949</v>
      </c>
      <c r="D18" s="348" t="s">
        <v>2950</v>
      </c>
      <c r="E18" s="348" t="s">
        <v>2951</v>
      </c>
      <c r="F18" s="345" t="s">
        <v>2952</v>
      </c>
      <c r="G18" s="345" t="s">
        <v>2964</v>
      </c>
      <c r="H18" s="345" t="s">
        <v>2953</v>
      </c>
      <c r="I18" s="345" t="s">
        <v>2954</v>
      </c>
      <c r="J18" s="345" t="s">
        <v>2956</v>
      </c>
      <c r="K18" s="345" t="s">
        <v>2955</v>
      </c>
      <c r="L18" s="345" t="s">
        <v>2957</v>
      </c>
      <c r="M18" s="345" t="s">
        <v>2963</v>
      </c>
      <c r="N18" s="345" t="s">
        <v>2958</v>
      </c>
      <c r="O18" s="169" t="s">
        <v>2959</v>
      </c>
      <c r="P18" s="137" t="s">
        <v>2972</v>
      </c>
      <c r="Q18" s="137" t="s">
        <v>2973</v>
      </c>
      <c r="T18" s="82" t="s">
        <v>2968</v>
      </c>
      <c r="U18" t="s">
        <v>2974</v>
      </c>
      <c r="V18" t="s">
        <v>2975</v>
      </c>
      <c r="X18"/>
    </row>
    <row r="19" spans="1:24" s="86" customFormat="1" ht="15.75" x14ac:dyDescent="0.25">
      <c r="A19" s="344"/>
      <c r="B19" s="344"/>
      <c r="C19" s="344"/>
      <c r="D19" s="344"/>
      <c r="E19" s="344"/>
      <c r="F19" s="343"/>
      <c r="G19" s="343"/>
      <c r="H19" s="343"/>
      <c r="I19" s="343"/>
      <c r="J19" s="343"/>
      <c r="K19" s="343"/>
      <c r="L19" s="343"/>
      <c r="M19" s="343"/>
      <c r="N19" s="343"/>
      <c r="O19" s="137">
        <f>COUNT(O20:O39)</f>
        <v>20</v>
      </c>
      <c r="P19" s="137">
        <f>SUM(P20:P39)</f>
        <v>11</v>
      </c>
      <c r="Q19" s="137">
        <f>SUM(Q20:Q39)</f>
        <v>3</v>
      </c>
      <c r="T19" s="12" t="s">
        <v>547</v>
      </c>
      <c r="U19" s="98">
        <v>-4.6600000000000003E-2</v>
      </c>
      <c r="V19" s="99">
        <v>3.650880626223092</v>
      </c>
      <c r="X19"/>
    </row>
    <row r="20" spans="1:24" ht="15.75" customHeight="1" x14ac:dyDescent="0.2">
      <c r="A20" s="353" t="s">
        <v>3154</v>
      </c>
      <c r="B20" s="222" t="s">
        <v>547</v>
      </c>
      <c r="C20" s="223" cm="1">
        <f t="array" ref="C20:M20">tinh_du_lieu_cp(B20)</f>
        <v>9.3000000000000007</v>
      </c>
      <c r="D20" s="224">
        <v>73.400000000000006</v>
      </c>
      <c r="E20" s="225">
        <v>1.09E-2</v>
      </c>
      <c r="F20" s="226">
        <v>2.7755242351323481</v>
      </c>
      <c r="G20" s="226">
        <v>1.0140627791039443</v>
      </c>
      <c r="H20" s="226">
        <v>1.3365705614567527</v>
      </c>
      <c r="I20" s="227">
        <v>0.1888888888888888</v>
      </c>
      <c r="J20" s="222">
        <v>9</v>
      </c>
      <c r="K20" s="222">
        <v>10.7</v>
      </c>
      <c r="L20" s="225">
        <v>3.3333333333333409E-2</v>
      </c>
      <c r="M20" s="225">
        <v>-0.13084112149532698</v>
      </c>
      <c r="N20" s="228"/>
      <c r="O20" s="222">
        <f t="shared" ref="O20:O26" si="0">IF(E20&gt;0,1,IF(E20=0,0,-1))</f>
        <v>1</v>
      </c>
      <c r="P20" s="222">
        <f t="shared" ref="P20:P26" si="1">IF(O20=1,1,0)</f>
        <v>1</v>
      </c>
      <c r="Q20" s="222">
        <f t="shared" ref="Q20:Q26" si="2">IF(O20&lt;0,1,0)</f>
        <v>0</v>
      </c>
      <c r="T20" s="12" t="s">
        <v>3151</v>
      </c>
      <c r="U20" s="98">
        <v>-2.1700000000000001E-2</v>
      </c>
      <c r="V20" s="99">
        <v>3.4955752212389379</v>
      </c>
    </row>
    <row r="21" spans="1:24" ht="15.75" customHeight="1" x14ac:dyDescent="0.2">
      <c r="A21" s="354"/>
      <c r="B21" s="222" t="s">
        <v>549</v>
      </c>
      <c r="C21" s="223" cm="1">
        <f t="array" ref="C21:M21">tinh_du_lieu_cp(B21)</f>
        <v>6.4</v>
      </c>
      <c r="D21" s="224">
        <v>152.6</v>
      </c>
      <c r="E21" s="225">
        <v>0</v>
      </c>
      <c r="F21" s="226">
        <v>0.76444201562037484</v>
      </c>
      <c r="G21" s="226">
        <v>0.98029782359679274</v>
      </c>
      <c r="H21" s="226">
        <v>0.71548019066968815</v>
      </c>
      <c r="I21" s="225">
        <v>0.15625</v>
      </c>
      <c r="J21" s="222">
        <v>6.4</v>
      </c>
      <c r="K21" s="222">
        <v>7.4</v>
      </c>
      <c r="L21" s="225">
        <v>0</v>
      </c>
      <c r="M21" s="225">
        <v>-0.13513513513513511</v>
      </c>
      <c r="N21" s="228"/>
      <c r="O21" s="222">
        <f t="shared" si="0"/>
        <v>0</v>
      </c>
      <c r="P21" s="222">
        <f t="shared" si="1"/>
        <v>0</v>
      </c>
      <c r="Q21" s="222">
        <f t="shared" si="2"/>
        <v>0</v>
      </c>
      <c r="T21" s="12" t="s">
        <v>3146</v>
      </c>
      <c r="U21" s="98">
        <v>-2.0799999999999999E-2</v>
      </c>
      <c r="V21" s="99">
        <v>0.15444553498512786</v>
      </c>
    </row>
    <row r="22" spans="1:24" ht="15.75" customHeight="1" x14ac:dyDescent="0.2">
      <c r="A22" s="354"/>
      <c r="B22" s="222" t="s">
        <v>636</v>
      </c>
      <c r="C22" s="223" cm="1">
        <f t="array" ref="C22:M22">tinh_du_lieu_cp(B22)</f>
        <v>16.5</v>
      </c>
      <c r="D22" s="224">
        <v>6151</v>
      </c>
      <c r="E22" s="225">
        <v>1.8500000000000003E-2</v>
      </c>
      <c r="F22" s="226">
        <v>0.62838637296585442</v>
      </c>
      <c r="G22" s="226">
        <v>0.9590341235156491</v>
      </c>
      <c r="H22" s="226">
        <v>0.89305418433126194</v>
      </c>
      <c r="I22" s="225">
        <v>0.21981424148606818</v>
      </c>
      <c r="J22" s="222">
        <v>16.149999999999999</v>
      </c>
      <c r="K22" s="222">
        <v>19.7</v>
      </c>
      <c r="L22" s="225">
        <v>2.1671826625387088E-2</v>
      </c>
      <c r="M22" s="225">
        <v>-0.16243654822335021</v>
      </c>
      <c r="N22" s="228"/>
      <c r="O22" s="222">
        <f t="shared" si="0"/>
        <v>1</v>
      </c>
      <c r="P22" s="222">
        <f t="shared" si="1"/>
        <v>1</v>
      </c>
      <c r="Q22" s="222">
        <f t="shared" si="2"/>
        <v>0</v>
      </c>
      <c r="T22" s="12" t="s">
        <v>1355</v>
      </c>
      <c r="U22" s="98">
        <v>-1.9900000000000001E-2</v>
      </c>
      <c r="V22" s="99">
        <v>0.52016904245768458</v>
      </c>
    </row>
    <row r="23" spans="1:24" ht="15.75" customHeight="1" x14ac:dyDescent="0.2">
      <c r="A23" s="354"/>
      <c r="B23" s="222" t="s">
        <v>739</v>
      </c>
      <c r="C23" s="223" cm="1">
        <f t="array" ref="C23:M23">tinh_du_lieu_cp(B23)</f>
        <v>19.600000000000001</v>
      </c>
      <c r="D23" s="224">
        <v>121.1</v>
      </c>
      <c r="E23" s="225">
        <v>2.5999999999999999E-3</v>
      </c>
      <c r="F23" s="226">
        <v>0.43932523127154</v>
      </c>
      <c r="G23" s="226">
        <v>0.97963109652597036</v>
      </c>
      <c r="H23" s="226">
        <v>0.24742057411380119</v>
      </c>
      <c r="I23" s="225">
        <v>0.14615384615384622</v>
      </c>
      <c r="J23" s="222">
        <v>19.5</v>
      </c>
      <c r="K23" s="222">
        <v>22.35</v>
      </c>
      <c r="L23" s="225">
        <v>5.1282051282052011E-3</v>
      </c>
      <c r="M23" s="225">
        <v>-0.12304250559284116</v>
      </c>
      <c r="N23" s="228"/>
      <c r="O23" s="222">
        <f t="shared" si="0"/>
        <v>1</v>
      </c>
      <c r="P23" s="222">
        <f t="shared" si="1"/>
        <v>1</v>
      </c>
      <c r="Q23" s="222">
        <f t="shared" si="2"/>
        <v>0</v>
      </c>
      <c r="T23" s="12" t="s">
        <v>739</v>
      </c>
      <c r="U23" s="98">
        <v>-1.5300000000000001E-2</v>
      </c>
      <c r="V23" s="99">
        <v>0.22133386634685853</v>
      </c>
    </row>
    <row r="24" spans="1:24" ht="15.75" customHeight="1" x14ac:dyDescent="0.2">
      <c r="A24" s="354"/>
      <c r="B24" s="222" t="s">
        <v>733</v>
      </c>
      <c r="C24" s="223" cm="1">
        <f t="array" ref="C24:M24">tinh_du_lieu_cp(B24)</f>
        <v>67.5</v>
      </c>
      <c r="D24" s="224">
        <v>473.9</v>
      </c>
      <c r="E24" s="225">
        <v>-1.5E-3</v>
      </c>
      <c r="F24" s="226">
        <v>0.9062997122664882</v>
      </c>
      <c r="G24" s="226">
        <v>0.97234083232426238</v>
      </c>
      <c r="H24" s="226">
        <v>0.77472617296060164</v>
      </c>
      <c r="I24" s="225">
        <v>0.29185185185185192</v>
      </c>
      <c r="J24" s="222">
        <v>67.5</v>
      </c>
      <c r="K24" s="222">
        <v>87.2</v>
      </c>
      <c r="L24" s="225">
        <v>0</v>
      </c>
      <c r="M24" s="225">
        <v>-0.22591743119266058</v>
      </c>
      <c r="N24" s="228"/>
      <c r="O24" s="222">
        <f t="shared" si="0"/>
        <v>-1</v>
      </c>
      <c r="P24" s="222">
        <f t="shared" si="1"/>
        <v>0</v>
      </c>
      <c r="Q24" s="222">
        <f t="shared" si="2"/>
        <v>1</v>
      </c>
      <c r="T24" s="12" t="s">
        <v>1748</v>
      </c>
      <c r="U24" s="98">
        <v>-1.38E-2</v>
      </c>
      <c r="V24" s="99">
        <v>5.5143372769199922E-2</v>
      </c>
    </row>
    <row r="25" spans="1:24" ht="15.75" customHeight="1" x14ac:dyDescent="0.2">
      <c r="A25" s="354"/>
      <c r="B25" s="222" t="s">
        <v>890</v>
      </c>
      <c r="C25" s="223" cm="1">
        <f t="array" ref="C25:M25">tinh_du_lieu_cp(B25)</f>
        <v>33.65</v>
      </c>
      <c r="D25" s="224">
        <v>238.1</v>
      </c>
      <c r="E25" s="225">
        <v>1.9699999999999999E-2</v>
      </c>
      <c r="F25" s="226">
        <v>0.52224803341940762</v>
      </c>
      <c r="G25" s="226">
        <v>0.90599599722256252</v>
      </c>
      <c r="H25" s="226">
        <v>0.63254372371042722</v>
      </c>
      <c r="I25" s="225">
        <v>0.33975683890577524</v>
      </c>
      <c r="J25" s="222">
        <v>32.9</v>
      </c>
      <c r="K25" s="222">
        <v>44.078000000000003</v>
      </c>
      <c r="L25" s="225">
        <v>2.2796352583586626E-2</v>
      </c>
      <c r="M25" s="225">
        <v>-0.23658060710558565</v>
      </c>
      <c r="N25" s="228"/>
      <c r="O25" s="222">
        <f t="shared" si="0"/>
        <v>1</v>
      </c>
      <c r="P25" s="222">
        <f t="shared" si="1"/>
        <v>1</v>
      </c>
      <c r="Q25" s="222">
        <f t="shared" si="2"/>
        <v>0</v>
      </c>
      <c r="T25" s="12" t="s">
        <v>733</v>
      </c>
      <c r="U25" s="98">
        <v>-1.18E-2</v>
      </c>
      <c r="V25" s="99">
        <v>0.56607573469009198</v>
      </c>
    </row>
    <row r="26" spans="1:24" ht="15.75" customHeight="1" x14ac:dyDescent="0.2">
      <c r="A26" s="354"/>
      <c r="B26" s="222" t="s">
        <v>1010</v>
      </c>
      <c r="C26" s="223" cm="1">
        <f t="array" ref="C26:M26">tinh_du_lieu_cp(B26)</f>
        <v>11.3</v>
      </c>
      <c r="D26" s="224">
        <v>204.2</v>
      </c>
      <c r="E26" s="225">
        <v>8.8999999999999999E-3</v>
      </c>
      <c r="F26" s="226">
        <v>0.61276154622582324</v>
      </c>
      <c r="G26" s="226">
        <v>0.96613533064464507</v>
      </c>
      <c r="H26" s="226">
        <v>0.69867700729927007</v>
      </c>
      <c r="I26" s="225">
        <v>0.2366071428571429</v>
      </c>
      <c r="J26" s="222">
        <v>11.2</v>
      </c>
      <c r="K26" s="222">
        <v>13.85</v>
      </c>
      <c r="L26" s="225">
        <v>8.9285714285715564E-3</v>
      </c>
      <c r="M26" s="225">
        <v>-0.1841155234657039</v>
      </c>
      <c r="N26" s="228"/>
      <c r="O26" s="222">
        <f t="shared" si="0"/>
        <v>1</v>
      </c>
      <c r="P26" s="222">
        <f t="shared" si="1"/>
        <v>1</v>
      </c>
      <c r="Q26" s="222">
        <f t="shared" si="2"/>
        <v>0</v>
      </c>
      <c r="T26" s="12" t="s">
        <v>3149</v>
      </c>
      <c r="U26" s="98">
        <v>-1.1599999999999999E-2</v>
      </c>
      <c r="V26" s="99">
        <v>3.0669144981412638E-2</v>
      </c>
    </row>
    <row r="27" spans="1:24" ht="15.75" customHeight="1" x14ac:dyDescent="0.2">
      <c r="A27" s="354"/>
      <c r="B27" s="222" t="s">
        <v>3145</v>
      </c>
      <c r="C27" s="223" cm="1">
        <f t="array" ref="C27:M27">tinh_du_lieu_cp(B27)</f>
        <v>9.6999999999999993</v>
      </c>
      <c r="D27" s="224">
        <v>67.3</v>
      </c>
      <c r="E27" s="225">
        <v>0</v>
      </c>
      <c r="F27" s="226">
        <v>1.2028596961572833</v>
      </c>
      <c r="G27" s="226">
        <v>0.99121611388762665</v>
      </c>
      <c r="H27" s="226">
        <v>1.1468332859982959</v>
      </c>
      <c r="I27" s="225">
        <v>0.22680412371134034</v>
      </c>
      <c r="J27" s="222">
        <v>9.6999999999999993</v>
      </c>
      <c r="K27" s="222">
        <v>11.9</v>
      </c>
      <c r="L27" s="225">
        <v>0</v>
      </c>
      <c r="M27" s="225">
        <v>-0.18487394957983203</v>
      </c>
      <c r="N27" s="228"/>
      <c r="O27" s="222">
        <f t="shared" ref="O27:O41" si="3">IF(E27&gt;0,1,IF(E27=0,0,-1))</f>
        <v>0</v>
      </c>
      <c r="P27" s="222">
        <f t="shared" ref="P27:P34" si="4">IF(O27=1,1,0)</f>
        <v>0</v>
      </c>
      <c r="Q27" s="222">
        <f t="shared" ref="Q27:Q34" si="5">IF(O27&lt;0,1,0)</f>
        <v>0</v>
      </c>
      <c r="T27" s="12" t="s">
        <v>3148</v>
      </c>
      <c r="U27" s="98">
        <v>-5.0000000000000001E-3</v>
      </c>
      <c r="V27" s="99">
        <v>1.4400382226469182</v>
      </c>
    </row>
    <row r="28" spans="1:24" ht="15.75" customHeight="1" x14ac:dyDescent="0.2">
      <c r="A28" s="354"/>
      <c r="B28" s="222" t="s">
        <v>3146</v>
      </c>
      <c r="C28" s="223" cm="1">
        <f t="array" ref="C28:M28">tinh_du_lieu_cp(B28)</f>
        <v>4.8</v>
      </c>
      <c r="D28" s="224">
        <v>362.9</v>
      </c>
      <c r="E28" s="225">
        <v>0</v>
      </c>
      <c r="F28" s="226">
        <v>0.58634137026945643</v>
      </c>
      <c r="G28" s="226">
        <v>0.97777777777777752</v>
      </c>
      <c r="H28" s="226">
        <v>0.48158715413708447</v>
      </c>
      <c r="I28" s="227">
        <v>0.10416666666666667</v>
      </c>
      <c r="J28" s="222">
        <v>4.8</v>
      </c>
      <c r="K28" s="222">
        <v>5.3</v>
      </c>
      <c r="L28" s="225">
        <v>0</v>
      </c>
      <c r="M28" s="225">
        <v>-9.4339622641509441E-2</v>
      </c>
      <c r="N28" s="228"/>
      <c r="O28" s="222">
        <f t="shared" si="3"/>
        <v>0</v>
      </c>
      <c r="P28" s="222">
        <f t="shared" si="4"/>
        <v>0</v>
      </c>
      <c r="Q28" s="222">
        <f t="shared" si="5"/>
        <v>0</v>
      </c>
      <c r="T28" s="12" t="s">
        <v>1241</v>
      </c>
      <c r="U28" s="98">
        <v>-4.7999999999999996E-3</v>
      </c>
      <c r="V28" s="99">
        <v>0.21154740939809613</v>
      </c>
    </row>
    <row r="29" spans="1:24" ht="15.75" customHeight="1" x14ac:dyDescent="0.2">
      <c r="A29" s="354"/>
      <c r="B29" s="222" t="s">
        <v>1241</v>
      </c>
      <c r="C29" s="223" cm="1">
        <f t="array" ref="C29:M29">tinh_du_lieu_cp(B29)</f>
        <v>10.65</v>
      </c>
      <c r="D29" s="224">
        <v>2654.9</v>
      </c>
      <c r="E29" s="225">
        <v>1.9099999999999999E-2</v>
      </c>
      <c r="F29" s="226">
        <v>0.87517055118327569</v>
      </c>
      <c r="G29" s="226">
        <v>0.98570060841903695</v>
      </c>
      <c r="H29" s="226">
        <v>0.9221808656414654</v>
      </c>
      <c r="I29" s="225">
        <v>0.175598086124402</v>
      </c>
      <c r="J29" s="222">
        <v>10.45</v>
      </c>
      <c r="K29" s="222">
        <v>12.285</v>
      </c>
      <c r="L29" s="225">
        <v>1.9138755980861347E-2</v>
      </c>
      <c r="M29" s="225">
        <v>-0.13308913308913306</v>
      </c>
      <c r="N29" s="228"/>
      <c r="O29" s="222">
        <f t="shared" si="3"/>
        <v>1</v>
      </c>
      <c r="P29" s="222">
        <f t="shared" si="4"/>
        <v>1</v>
      </c>
      <c r="Q29" s="222">
        <f t="shared" si="5"/>
        <v>0</v>
      </c>
      <c r="T29" s="12" t="s">
        <v>890</v>
      </c>
      <c r="U29" s="98">
        <v>-4.5000000000000005E-3</v>
      </c>
      <c r="V29" s="99">
        <v>0.19926124576228307</v>
      </c>
    </row>
    <row r="30" spans="1:24" ht="15.75" customHeight="1" x14ac:dyDescent="0.2">
      <c r="A30" s="354"/>
      <c r="B30" s="222" t="s">
        <v>1341</v>
      </c>
      <c r="C30" s="223" cm="1">
        <f t="array" ref="C30:M30">tinh_du_lieu_cp(B30)</f>
        <v>6.84</v>
      </c>
      <c r="D30" s="224">
        <v>86</v>
      </c>
      <c r="E30" s="225">
        <v>-1.5E-3</v>
      </c>
      <c r="F30" s="226">
        <v>0.93469024799920952</v>
      </c>
      <c r="G30" s="226">
        <v>0.98291814946619216</v>
      </c>
      <c r="H30" s="226">
        <v>1.360400738201951</v>
      </c>
      <c r="I30" s="225">
        <v>0.28088235294117664</v>
      </c>
      <c r="J30" s="222">
        <v>6.8</v>
      </c>
      <c r="K30" s="222">
        <v>8.7100000000000009</v>
      </c>
      <c r="L30" s="225">
        <v>5.8823529411764757E-3</v>
      </c>
      <c r="M30" s="225">
        <v>-0.21469575200918495</v>
      </c>
      <c r="N30" s="228"/>
      <c r="O30" s="222">
        <f t="shared" si="3"/>
        <v>-1</v>
      </c>
      <c r="P30" s="222">
        <f t="shared" si="4"/>
        <v>0</v>
      </c>
      <c r="Q30" s="222">
        <f t="shared" si="5"/>
        <v>1</v>
      </c>
      <c r="T30" s="12" t="s">
        <v>1010</v>
      </c>
      <c r="U30" s="98">
        <v>0</v>
      </c>
      <c r="V30" s="99">
        <v>0.21639344262295082</v>
      </c>
    </row>
    <row r="31" spans="1:24" ht="15.75" customHeight="1" x14ac:dyDescent="0.2">
      <c r="A31" s="354"/>
      <c r="B31" s="222" t="s">
        <v>1351</v>
      </c>
      <c r="C31" s="223" cm="1">
        <f t="array" ref="C31:M31">tinh_du_lieu_cp(B31)</f>
        <v>12.7</v>
      </c>
      <c r="D31" s="224">
        <v>0.7</v>
      </c>
      <c r="E31" s="225">
        <v>1.2E-2</v>
      </c>
      <c r="F31" s="226">
        <v>0.17361894024802704</v>
      </c>
      <c r="G31" s="226">
        <v>0.99290654371342435</v>
      </c>
      <c r="H31" s="226">
        <v>0.29577464788732394</v>
      </c>
      <c r="I31" s="225">
        <v>0.19920318725099601</v>
      </c>
      <c r="J31" s="222">
        <v>12.55</v>
      </c>
      <c r="K31" s="222">
        <v>15.05</v>
      </c>
      <c r="L31" s="225">
        <v>1.1952191235059646E-2</v>
      </c>
      <c r="M31" s="225">
        <v>-0.15614617940199343</v>
      </c>
      <c r="N31" s="228"/>
      <c r="O31" s="222">
        <f t="shared" si="3"/>
        <v>1</v>
      </c>
      <c r="P31" s="222">
        <f t="shared" si="4"/>
        <v>1</v>
      </c>
      <c r="Q31" s="222">
        <f t="shared" si="5"/>
        <v>0</v>
      </c>
      <c r="T31" s="12" t="s">
        <v>3145</v>
      </c>
      <c r="U31" s="98">
        <v>0</v>
      </c>
      <c r="V31" s="99">
        <v>0.65844101709045433</v>
      </c>
    </row>
    <row r="32" spans="1:24" ht="15.75" customHeight="1" x14ac:dyDescent="0.2">
      <c r="A32" s="354"/>
      <c r="B32" s="222" t="s">
        <v>1355</v>
      </c>
      <c r="C32" s="223" cm="1">
        <f t="array" ref="C32:M32">tinh_du_lieu_cp(B32)</f>
        <v>15.2</v>
      </c>
      <c r="D32" s="224">
        <v>1459.4</v>
      </c>
      <c r="E32" s="225">
        <v>6.6E-3</v>
      </c>
      <c r="F32" s="226">
        <v>1.3516376189273387</v>
      </c>
      <c r="G32" s="226">
        <v>0.99140231248147037</v>
      </c>
      <c r="H32" s="226">
        <v>1.1506892518758953</v>
      </c>
      <c r="I32" s="225">
        <v>9.933774834437098E-2</v>
      </c>
      <c r="J32" s="222">
        <v>15.1</v>
      </c>
      <c r="K32" s="222">
        <v>16.600000000000001</v>
      </c>
      <c r="L32" s="225">
        <v>6.6225165562913673E-3</v>
      </c>
      <c r="M32" s="225">
        <v>-8.433734939759048E-2</v>
      </c>
      <c r="N32" s="228"/>
      <c r="O32" s="222">
        <f t="shared" si="3"/>
        <v>1</v>
      </c>
      <c r="P32" s="222">
        <f t="shared" si="4"/>
        <v>1</v>
      </c>
      <c r="Q32" s="222">
        <f t="shared" si="5"/>
        <v>0</v>
      </c>
      <c r="T32" s="12" t="s">
        <v>1351</v>
      </c>
      <c r="U32" s="98">
        <v>0</v>
      </c>
      <c r="V32" s="99">
        <v>0.1489841986455982</v>
      </c>
    </row>
    <row r="33" spans="1:22" ht="15.75" customHeight="1" x14ac:dyDescent="0.2">
      <c r="A33" s="354"/>
      <c r="B33" s="222" t="s">
        <v>1523</v>
      </c>
      <c r="C33" s="223" cm="1">
        <f t="array" ref="C33:M33">tinh_du_lieu_cp(B33)</f>
        <v>8.3000000000000007</v>
      </c>
      <c r="D33" s="224">
        <v>358.9</v>
      </c>
      <c r="E33" s="225">
        <v>1.34E-2</v>
      </c>
      <c r="F33" s="226">
        <v>0.4772435320711727</v>
      </c>
      <c r="G33" s="226">
        <v>0.97966179322584579</v>
      </c>
      <c r="H33" s="226">
        <v>0.59474687215179389</v>
      </c>
      <c r="I33" s="225">
        <v>0.14818893783651474</v>
      </c>
      <c r="J33" s="222">
        <v>8.1720000000000006</v>
      </c>
      <c r="K33" s="222">
        <v>9.3829999999999991</v>
      </c>
      <c r="L33" s="225">
        <v>1.5663240332843869E-2</v>
      </c>
      <c r="M33" s="225">
        <v>-0.11542150698070963</v>
      </c>
      <c r="N33" s="228"/>
      <c r="O33" s="222">
        <f t="shared" si="3"/>
        <v>1</v>
      </c>
      <c r="P33" s="222">
        <f t="shared" si="4"/>
        <v>1</v>
      </c>
      <c r="Q33" s="222">
        <f t="shared" si="5"/>
        <v>0</v>
      </c>
      <c r="T33" s="12" t="s">
        <v>3150</v>
      </c>
      <c r="U33" s="98">
        <v>0</v>
      </c>
      <c r="V33" s="99">
        <v>0.32165929955797345</v>
      </c>
    </row>
    <row r="34" spans="1:22" ht="15.75" customHeight="1" x14ac:dyDescent="0.2">
      <c r="A34" s="354"/>
      <c r="B34" s="222" t="s">
        <v>3147</v>
      </c>
      <c r="C34" s="223" cm="1">
        <f t="array" ref="C34:M34">tinh_du_lieu_cp(B34)</f>
        <v>10.1</v>
      </c>
      <c r="D34" s="224">
        <v>2346.6999999999998</v>
      </c>
      <c r="E34" s="225">
        <v>0.01</v>
      </c>
      <c r="F34" s="226">
        <v>1.7535706643388709</v>
      </c>
      <c r="G34" s="226">
        <v>1.043968807035009</v>
      </c>
      <c r="H34" s="226">
        <v>1.1993866859747009</v>
      </c>
      <c r="I34" s="225">
        <v>0.34666666666666662</v>
      </c>
      <c r="J34" s="222">
        <v>7.5</v>
      </c>
      <c r="K34" s="222">
        <v>10.1</v>
      </c>
      <c r="L34" s="225">
        <v>0.34666666666666662</v>
      </c>
      <c r="M34" s="225">
        <v>0</v>
      </c>
      <c r="N34" s="228"/>
      <c r="O34" s="222">
        <f t="shared" si="3"/>
        <v>1</v>
      </c>
      <c r="P34" s="222">
        <f t="shared" si="4"/>
        <v>1</v>
      </c>
      <c r="Q34" s="222">
        <f t="shared" si="5"/>
        <v>0</v>
      </c>
      <c r="T34" s="12" t="s">
        <v>549</v>
      </c>
      <c r="U34" s="98">
        <v>0</v>
      </c>
      <c r="V34" s="99">
        <v>0.53175571464745286</v>
      </c>
    </row>
    <row r="35" spans="1:22" ht="15.75" customHeight="1" x14ac:dyDescent="0.2">
      <c r="A35" s="354"/>
      <c r="B35" s="222" t="s">
        <v>3148</v>
      </c>
      <c r="C35" s="223" cm="1">
        <f t="array" ref="C35:M35">tinh_du_lieu_cp(B35)</f>
        <v>19.899999999999999</v>
      </c>
      <c r="D35" s="224">
        <v>15.1</v>
      </c>
      <c r="E35" s="225">
        <v>-5.0000000000000001E-3</v>
      </c>
      <c r="F35" s="226">
        <v>1.5766492643569054</v>
      </c>
      <c r="G35" s="226">
        <v>1.0072248840215987</v>
      </c>
      <c r="H35" s="226">
        <v>1.1212871287128714</v>
      </c>
      <c r="I35" s="225">
        <v>0.22037837837837848</v>
      </c>
      <c r="J35" s="222">
        <v>18.5</v>
      </c>
      <c r="K35" s="222">
        <v>22.577000000000002</v>
      </c>
      <c r="L35" s="225">
        <v>7.5675675675675597E-2</v>
      </c>
      <c r="M35" s="225">
        <v>-0.1185719980511141</v>
      </c>
      <c r="N35" s="228"/>
      <c r="O35" s="222">
        <f t="shared" si="3"/>
        <v>-1</v>
      </c>
      <c r="P35" s="222">
        <f t="shared" ref="P35:P41" si="6">IF(O35=1,1,0)</f>
        <v>0</v>
      </c>
      <c r="Q35" s="222">
        <f t="shared" ref="Q35:Q41" si="7">IF(O35&lt;0,1,0)</f>
        <v>1</v>
      </c>
      <c r="T35" s="12" t="s">
        <v>2296</v>
      </c>
      <c r="U35" s="98">
        <v>0</v>
      </c>
      <c r="V35" s="99">
        <v>7.3842022823897959E-3</v>
      </c>
    </row>
    <row r="36" spans="1:22" x14ac:dyDescent="0.2">
      <c r="A36" s="354"/>
      <c r="B36" s="222" t="s">
        <v>3149</v>
      </c>
      <c r="C36" s="223" cm="1">
        <f t="array" ref="C36:M36">tinh_du_lieu_cp(B36)</f>
        <v>8.6</v>
      </c>
      <c r="D36" s="224">
        <v>8</v>
      </c>
      <c r="E36" s="225">
        <v>0</v>
      </c>
      <c r="F36" s="226">
        <v>0.20285846011987088</v>
      </c>
      <c r="G36" s="226">
        <v>0.9809523809523808</v>
      </c>
      <c r="H36" s="226">
        <v>0.52459016393442626</v>
      </c>
      <c r="I36" s="225">
        <v>0.19047619047619044</v>
      </c>
      <c r="J36" s="222">
        <v>8.4</v>
      </c>
      <c r="K36" s="222">
        <v>10</v>
      </c>
      <c r="L36" s="225">
        <v>2.3809523809523725E-2</v>
      </c>
      <c r="M36" s="225">
        <v>-0.14000000000000004</v>
      </c>
      <c r="N36" s="228"/>
      <c r="O36" s="222">
        <f t="shared" si="3"/>
        <v>0</v>
      </c>
      <c r="P36" s="222">
        <f t="shared" si="6"/>
        <v>0</v>
      </c>
      <c r="Q36" s="222">
        <f t="shared" si="7"/>
        <v>0</v>
      </c>
      <c r="T36" s="12" t="s">
        <v>2638</v>
      </c>
      <c r="U36" s="98">
        <v>5.0000000000000001E-4</v>
      </c>
      <c r="V36" s="99">
        <v>0.2902223922720828</v>
      </c>
    </row>
    <row r="37" spans="1:22" x14ac:dyDescent="0.2">
      <c r="A37" s="354"/>
      <c r="B37" s="222" t="s">
        <v>3150</v>
      </c>
      <c r="C37" s="223" cm="1">
        <f t="array" ref="C37:M37">tinh_du_lieu_cp(B37)</f>
        <v>10.9</v>
      </c>
      <c r="D37" s="224">
        <v>7.4</v>
      </c>
      <c r="E37" s="225">
        <v>0</v>
      </c>
      <c r="F37" s="226">
        <v>0.54777927321668907</v>
      </c>
      <c r="G37" s="226">
        <v>0.96468079434892717</v>
      </c>
      <c r="H37" s="226">
        <v>0.81318681318681318</v>
      </c>
      <c r="I37" s="225">
        <v>0.28571428571428559</v>
      </c>
      <c r="J37" s="222">
        <v>9.8000000000000007</v>
      </c>
      <c r="K37" s="222">
        <v>12.6</v>
      </c>
      <c r="L37" s="225">
        <v>0.11224489795918363</v>
      </c>
      <c r="M37" s="225">
        <v>-0.13492063492063486</v>
      </c>
      <c r="N37" s="228"/>
      <c r="O37" s="222">
        <f t="shared" si="3"/>
        <v>0</v>
      </c>
      <c r="P37" s="222">
        <f t="shared" si="6"/>
        <v>0</v>
      </c>
      <c r="Q37" s="222">
        <f t="shared" si="7"/>
        <v>0</v>
      </c>
      <c r="T37" s="12" t="s">
        <v>1523</v>
      </c>
      <c r="U37" s="98">
        <v>1.1999999999999999E-3</v>
      </c>
      <c r="V37" s="99">
        <v>0.17408740644150372</v>
      </c>
    </row>
    <row r="38" spans="1:22" x14ac:dyDescent="0.2">
      <c r="A38" s="354"/>
      <c r="B38" s="222" t="s">
        <v>2638</v>
      </c>
      <c r="C38" s="223" cm="1">
        <f t="array" ref="C38:M38">tinh_du_lieu_cp(B38)</f>
        <v>17.600000000000001</v>
      </c>
      <c r="D38" s="224">
        <v>1961</v>
      </c>
      <c r="E38" s="225">
        <v>5.0000000000000001E-4</v>
      </c>
      <c r="F38" s="226">
        <v>0.54832288971119669</v>
      </c>
      <c r="G38" s="226">
        <v>1.004027144625369</v>
      </c>
      <c r="H38" s="226">
        <v>0.5461887136318091</v>
      </c>
      <c r="I38" s="227">
        <v>0.20833577583680157</v>
      </c>
      <c r="J38" s="222">
        <v>17.059000000000001</v>
      </c>
      <c r="K38" s="222">
        <v>20.613</v>
      </c>
      <c r="L38" s="225">
        <v>3.1713465033120364E-2</v>
      </c>
      <c r="M38" s="225">
        <v>-0.14616989278610576</v>
      </c>
      <c r="N38" s="228"/>
      <c r="O38" s="222">
        <f t="shared" si="3"/>
        <v>1</v>
      </c>
      <c r="P38" s="222">
        <f t="shared" si="6"/>
        <v>1</v>
      </c>
      <c r="Q38" s="222">
        <f t="shared" si="7"/>
        <v>0</v>
      </c>
      <c r="T38" s="12" t="s">
        <v>636</v>
      </c>
      <c r="U38" s="98">
        <v>3.0999999999999999E-3</v>
      </c>
      <c r="V38" s="99">
        <v>0.17302164466030559</v>
      </c>
    </row>
    <row r="39" spans="1:22" x14ac:dyDescent="0.2">
      <c r="A39" s="354"/>
      <c r="B39" s="222" t="s">
        <v>3151</v>
      </c>
      <c r="C39" s="223" cm="1">
        <f t="array" ref="C39:M39">tinh_du_lieu_cp(B39)</f>
        <v>4.5999999999999996</v>
      </c>
      <c r="D39" s="224">
        <v>41.8</v>
      </c>
      <c r="E39" s="225">
        <v>0</v>
      </c>
      <c r="F39" s="226">
        <v>3.6652052610601835</v>
      </c>
      <c r="G39" s="226">
        <v>0.98953222113182848</v>
      </c>
      <c r="H39" s="226">
        <v>3.5423728813559321</v>
      </c>
      <c r="I39" s="225">
        <v>0.40476190476190477</v>
      </c>
      <c r="J39" s="222">
        <v>4.2</v>
      </c>
      <c r="K39" s="222">
        <v>5.9</v>
      </c>
      <c r="L39" s="225">
        <v>9.5238095238095108E-2</v>
      </c>
      <c r="M39" s="225">
        <v>-0.22033898305084756</v>
      </c>
      <c r="N39" s="228"/>
      <c r="O39" s="222">
        <f t="shared" si="3"/>
        <v>0</v>
      </c>
      <c r="P39" s="222">
        <f t="shared" si="6"/>
        <v>0</v>
      </c>
      <c r="Q39" s="222">
        <f t="shared" si="7"/>
        <v>0</v>
      </c>
      <c r="T39" s="12" t="s">
        <v>1341</v>
      </c>
      <c r="U39" s="98">
        <v>5.7999999999999996E-3</v>
      </c>
      <c r="V39" s="99">
        <v>0.55218550374729636</v>
      </c>
    </row>
    <row r="40" spans="1:22" x14ac:dyDescent="0.2">
      <c r="B40" s="222" t="s">
        <v>1748</v>
      </c>
      <c r="C40" s="223" cm="1">
        <f t="array" ref="C40:M40">tinh_du_lieu_cp(B40)</f>
        <v>5.0199999999999996</v>
      </c>
      <c r="D40" s="224">
        <v>15.8</v>
      </c>
      <c r="E40" s="225">
        <v>-1.18E-2</v>
      </c>
      <c r="F40" s="226">
        <v>1.1808188278776515</v>
      </c>
      <c r="G40" s="226">
        <v>1.0172181081968408</v>
      </c>
      <c r="H40" s="226">
        <v>1.0509977827050998</v>
      </c>
      <c r="I40" s="225">
        <v>0.16945606694560661</v>
      </c>
      <c r="J40" s="222">
        <v>4.78</v>
      </c>
      <c r="K40" s="222">
        <v>5.59</v>
      </c>
      <c r="L40" s="225">
        <v>5.0209205020920356E-2</v>
      </c>
      <c r="M40" s="225">
        <v>-0.1019677996422183</v>
      </c>
      <c r="N40" s="228"/>
      <c r="O40" s="222">
        <f t="shared" si="3"/>
        <v>-1</v>
      </c>
      <c r="P40" s="222">
        <f t="shared" si="6"/>
        <v>0</v>
      </c>
      <c r="Q40" s="222">
        <f t="shared" si="7"/>
        <v>1</v>
      </c>
      <c r="T40" s="12" t="s">
        <v>3147</v>
      </c>
      <c r="U40" s="98">
        <v>0.01</v>
      </c>
      <c r="V40" s="99">
        <v>1.2992859921097961</v>
      </c>
    </row>
    <row r="41" spans="1:22" x14ac:dyDescent="0.2">
      <c r="B41" s="222" t="s">
        <v>2296</v>
      </c>
      <c r="C41" s="223" cm="1">
        <f t="array" ref="C41:M41">tinh_du_lieu_cp(B41)</f>
        <v>7.5</v>
      </c>
      <c r="D41" s="224">
        <v>0.3</v>
      </c>
      <c r="E41" s="225">
        <v>0</v>
      </c>
      <c r="F41" s="226">
        <v>7.3842022823897959E-3</v>
      </c>
      <c r="G41" s="226">
        <v>0.95609887364010304</v>
      </c>
      <c r="H41" s="226">
        <v>4.5685279187817257E-2</v>
      </c>
      <c r="I41" s="225">
        <v>0.28654970760233933</v>
      </c>
      <c r="J41" s="222">
        <v>6.84</v>
      </c>
      <c r="K41" s="222">
        <v>8.8000000000000007</v>
      </c>
      <c r="L41" s="225">
        <v>9.6491228070175461E-2</v>
      </c>
      <c r="M41" s="225">
        <v>-0.14772727272727279</v>
      </c>
      <c r="N41" s="228"/>
      <c r="O41" s="222">
        <f t="shared" si="3"/>
        <v>0</v>
      </c>
      <c r="P41" s="222">
        <f t="shared" si="6"/>
        <v>0</v>
      </c>
      <c r="Q41" s="222">
        <f t="shared" si="7"/>
        <v>0</v>
      </c>
      <c r="T41" s="12" t="s">
        <v>2969</v>
      </c>
      <c r="U41" s="98">
        <v>-0.1552</v>
      </c>
      <c r="V41" s="99">
        <v>14.918560235577509</v>
      </c>
    </row>
  </sheetData>
  <mergeCells count="18">
    <mergeCell ref="N18:N19"/>
    <mergeCell ref="I18:I19"/>
    <mergeCell ref="J18:J19"/>
    <mergeCell ref="K18:K19"/>
    <mergeCell ref="L18:L19"/>
    <mergeCell ref="M18:M19"/>
    <mergeCell ref="A1:F1"/>
    <mergeCell ref="A2:B2"/>
    <mergeCell ref="A20:A39"/>
    <mergeCell ref="F14:G14"/>
    <mergeCell ref="H18:H19"/>
    <mergeCell ref="A18:A19"/>
    <mergeCell ref="B18:B19"/>
    <mergeCell ref="C18:C19"/>
    <mergeCell ref="D18:D19"/>
    <mergeCell ref="E18:E19"/>
    <mergeCell ref="F18:F19"/>
    <mergeCell ref="G18:G19"/>
  </mergeCells>
  <conditionalFormatting sqref="A14">
    <cfRule type="expression" dxfId="13" priority="272" stopIfTrue="1">
      <formula>A14="giảm"</formula>
    </cfRule>
    <cfRule type="expression" dxfId="12" priority="273" stopIfTrue="1">
      <formula>A14="tăng"</formula>
    </cfRule>
  </conditionalFormatting>
  <conditionalFormatting sqref="C20:C41">
    <cfRule type="expression" dxfId="11" priority="17" stopIfTrue="1">
      <formula>E20&gt;=6.8%</formula>
    </cfRule>
    <cfRule type="expression" dxfId="10" priority="18" stopIfTrue="1">
      <formula>AND(E20&gt;0%,E20&lt;6.8%)</formula>
    </cfRule>
    <cfRule type="expression" dxfId="9" priority="19" stopIfTrue="1">
      <formula>E20=0%</formula>
    </cfRule>
    <cfRule type="expression" dxfId="8" priority="20" stopIfTrue="1">
      <formula>AND(E20&gt;-6.8%, E20&lt;0%)</formula>
    </cfRule>
    <cfRule type="expression" dxfId="7" priority="21" stopIfTrue="1">
      <formula>E20&lt;=-6.8%</formula>
    </cfRule>
  </conditionalFormatting>
  <conditionalFormatting sqref="B20:B41">
    <cfRule type="expression" dxfId="6" priority="27" stopIfTrue="1">
      <formula>E20&gt;=6.8%</formula>
    </cfRule>
    <cfRule type="expression" dxfId="5" priority="28" stopIfTrue="1">
      <formula>AND(E20&gt;0%,E20&lt;6.8%)</formula>
    </cfRule>
    <cfRule type="expression" dxfId="4" priority="29" stopIfTrue="1">
      <formula>E20=0%</formula>
    </cfRule>
    <cfRule type="expression" dxfId="3" priority="30" stopIfTrue="1">
      <formula>AND(E20&gt;-6.8%, E20&lt;0%)</formula>
    </cfRule>
    <cfRule type="expression" dxfId="2" priority="31" stopIfTrue="1">
      <formula>E20&lt;=-6.8%</formula>
    </cfRule>
  </conditionalFormatting>
  <conditionalFormatting sqref="L39:M39 L21:M27 L29:M37">
    <cfRule type="colorScale" priority="15622">
      <colorScale>
        <cfvo type="min"/>
        <cfvo type="percentile" val="50"/>
        <cfvo type="max"/>
        <color rgb="FFFF3829"/>
        <color rgb="FFFFC000"/>
        <color rgb="FF00BC55"/>
      </colorScale>
    </cfRule>
  </conditionalFormatting>
  <conditionalFormatting sqref="F21:F27 F29:F37 F39:F41">
    <cfRule type="colorScale" priority="16083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1:I27 I29:I37 I39:I41">
    <cfRule type="colorScale" priority="16087">
      <colorScale>
        <cfvo type="min"/>
        <cfvo type="percentile" val="50"/>
        <cfvo type="max"/>
        <color rgb="FFFF3829"/>
        <color rgb="FFFFC000"/>
        <color rgb="FF00A400"/>
      </colorScale>
    </cfRule>
  </conditionalFormatting>
  <conditionalFormatting sqref="I20:I41">
    <cfRule type="colorScale" priority="16091">
      <colorScale>
        <cfvo type="min"/>
        <cfvo type="max"/>
        <color theme="0" tint="-4.9989318521683403E-2"/>
        <color rgb="FF00B050"/>
      </colorScale>
    </cfRule>
  </conditionalFormatting>
  <conditionalFormatting sqref="L20:L41">
    <cfRule type="colorScale" priority="16093">
      <colorScale>
        <cfvo type="min"/>
        <cfvo type="max"/>
        <color theme="0" tint="-4.9989318521683403E-2"/>
        <color rgb="FF00B050"/>
      </colorScale>
    </cfRule>
  </conditionalFormatting>
  <conditionalFormatting sqref="M20:M41">
    <cfRule type="colorScale" priority="16095">
      <colorScale>
        <cfvo type="min"/>
        <cfvo type="max"/>
        <color rgb="FFFF7C80"/>
        <color theme="0" tint="-4.9989318521683403E-2"/>
      </colorScale>
    </cfRule>
  </conditionalFormatting>
  <conditionalFormatting sqref="N20:N41">
    <cfRule type="colorScale" priority="16097">
      <colorScale>
        <cfvo type="min"/>
        <cfvo type="max"/>
        <color theme="0" tint="-4.9989318521683403E-2"/>
        <color rgb="FFFF0000"/>
      </colorScale>
    </cfRule>
  </conditionalFormatting>
  <conditionalFormatting sqref="L40:M41">
    <cfRule type="colorScale" priority="16104">
      <colorScale>
        <cfvo type="min"/>
        <cfvo type="percentile" val="50"/>
        <cfvo type="max"/>
        <color rgb="FFFF3829"/>
        <color rgb="FFFFC000"/>
        <color rgb="FF00BC55"/>
      </colorScale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B58B65-7BF0-4A1D-B7AD-1971EBBF5971}">
          <x14:formula1>
            <xm:f>'Nơi chứ dữ liệu'!$I$2:$K$2</xm:f>
          </x14:formula1>
          <xm:sqref>N20:N41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77FD1-5229-415D-82FD-8D32C996C494}">
  <sheetPr codeName="Sheet7"/>
  <dimension ref="A1:Q36"/>
  <sheetViews>
    <sheetView workbookViewId="0">
      <selection activeCell="Q6" sqref="Q6"/>
    </sheetView>
  </sheetViews>
  <sheetFormatPr defaultRowHeight="15" x14ac:dyDescent="0.2"/>
  <cols>
    <col min="1" max="1" width="6" customWidth="1"/>
    <col min="3" max="3" width="10.109375" bestFit="1" customWidth="1"/>
    <col min="4" max="7" width="5.88671875" bestFit="1" customWidth="1"/>
    <col min="8" max="8" width="14" bestFit="1" customWidth="1"/>
    <col min="9" max="9" width="14.33203125" bestFit="1" customWidth="1"/>
    <col min="10" max="10" width="15" bestFit="1" customWidth="1"/>
    <col min="11" max="11" width="15.33203125" bestFit="1" customWidth="1"/>
    <col min="12" max="13" width="11.88671875" customWidth="1"/>
    <col min="14" max="14" width="21.88671875" customWidth="1"/>
    <col min="15" max="15" width="5.77734375" customWidth="1"/>
    <col min="16" max="17" width="22.33203125" customWidth="1"/>
  </cols>
  <sheetData>
    <row r="1" spans="1:17" x14ac:dyDescent="0.2">
      <c r="A1" s="24" t="str" cm="1">
        <f t="array" aca="1" ref="A1:M8" ca="1">get_price_historical_vnd(CANSLIM!$E$1,CANSLIM!$H$1,CANSLIM!$I$1)</f>
        <v/>
      </c>
      <c r="B1" s="24" t="str">
        <f ca="1"/>
        <v>code</v>
      </c>
      <c r="C1" s="24" t="str">
        <f ca="1"/>
        <v>date</v>
      </c>
      <c r="D1" s="24" t="str">
        <f ca="1"/>
        <v>open</v>
      </c>
      <c r="E1" s="24" t="str">
        <f ca="1"/>
        <v>high</v>
      </c>
      <c r="F1" s="24" t="str">
        <f ca="1"/>
        <v>low</v>
      </c>
      <c r="G1" s="24" t="str">
        <f ca="1"/>
        <v>close</v>
      </c>
      <c r="H1" s="24" t="str">
        <f ca="1"/>
        <v>KLGD Khớp lệnh</v>
      </c>
      <c r="I1" s="24" t="str">
        <f ca="1"/>
        <v>GTGD Khớp lệnh</v>
      </c>
      <c r="J1" s="24" t="str">
        <f ca="1"/>
        <v>KLGD Thỏa thuận</v>
      </c>
      <c r="K1" s="24" t="str">
        <f ca="1"/>
        <v>GTGD Thỏa thuận</v>
      </c>
      <c r="L1" s="24" t="str">
        <f ca="1"/>
        <v>tăng/giảm</v>
      </c>
      <c r="M1" s="24" t="str">
        <f ca="1"/>
        <v>% tăng/giảm</v>
      </c>
      <c r="O1" s="24" t="str" cm="1">
        <f t="array" ref="O1:Q12">info_company(CANSLIM!$E$1)</f>
        <v/>
      </c>
      <c r="P1" s="24" t="str">
        <v>ratioCode</v>
      </c>
      <c r="Q1" s="24" t="str">
        <v>value</v>
      </c>
    </row>
    <row r="2" spans="1:17" x14ac:dyDescent="0.2">
      <c r="A2" s="3">
        <f ca="1"/>
        <v>0</v>
      </c>
      <c r="B2" s="3" t="str">
        <f ca="1"/>
        <v>VCK</v>
      </c>
      <c r="C2" s="3" t="str">
        <f ca="1"/>
        <v>2026-07-14</v>
      </c>
      <c r="D2" s="3">
        <f ca="1"/>
        <v>31.9</v>
      </c>
      <c r="E2" s="3">
        <f ca="1"/>
        <v>32.15</v>
      </c>
      <c r="F2" s="3">
        <f ca="1"/>
        <v>31.4</v>
      </c>
      <c r="G2" s="3">
        <f ca="1"/>
        <v>32.1</v>
      </c>
      <c r="H2" s="3">
        <f ca="1"/>
        <v>2000900</v>
      </c>
      <c r="I2" s="3">
        <f ca="1"/>
        <v>63816625000</v>
      </c>
      <c r="J2" s="3">
        <f ca="1"/>
        <v>0</v>
      </c>
      <c r="K2" s="3">
        <f ca="1"/>
        <v>0</v>
      </c>
      <c r="L2" s="3">
        <f ca="1"/>
        <v>0.1</v>
      </c>
      <c r="M2" s="3" t="str">
        <f ca="1"/>
        <v>0.3125%</v>
      </c>
      <c r="O2" s="3">
        <v>0</v>
      </c>
      <c r="P2" s="65" t="str">
        <v>MARKETCAP</v>
      </c>
      <c r="Q2" s="28">
        <v>77917430528000</v>
      </c>
    </row>
    <row r="3" spans="1:17" x14ac:dyDescent="0.2">
      <c r="A3" s="3">
        <f ca="1"/>
        <v>1</v>
      </c>
      <c r="B3" s="3" t="str">
        <f ca="1"/>
        <v>VCK</v>
      </c>
      <c r="C3" s="3" t="str">
        <f ca="1"/>
        <v>2026-07-13</v>
      </c>
      <c r="D3" s="3">
        <f ca="1"/>
        <v>32.25</v>
      </c>
      <c r="E3" s="3">
        <f ca="1"/>
        <v>32.549999999999997</v>
      </c>
      <c r="F3" s="3">
        <f ca="1"/>
        <v>30.9</v>
      </c>
      <c r="G3" s="3">
        <f ca="1"/>
        <v>32</v>
      </c>
      <c r="H3" s="3">
        <f ca="1"/>
        <v>4471700</v>
      </c>
      <c r="I3" s="3">
        <f ca="1"/>
        <v>142599265000</v>
      </c>
      <c r="J3" s="3">
        <f ca="1"/>
        <v>2</v>
      </c>
      <c r="K3" s="3">
        <f ca="1"/>
        <v>64500</v>
      </c>
      <c r="L3" s="3">
        <f ca="1"/>
        <v>-0.75</v>
      </c>
      <c r="M3" s="3" t="str">
        <f ca="1"/>
        <v>-2.2901%</v>
      </c>
      <c r="O3" s="3">
        <v>1</v>
      </c>
      <c r="P3" s="3" t="str">
        <v>NMVOLUME_AVG_CR_10D</v>
      </c>
      <c r="Q3" s="28">
        <v>3619109.1</v>
      </c>
    </row>
    <row r="4" spans="1:17" x14ac:dyDescent="0.2">
      <c r="A4" s="3">
        <f ca="1"/>
        <v>2</v>
      </c>
      <c r="B4" s="3" t="str">
        <f ca="1"/>
        <v>VCK</v>
      </c>
      <c r="C4" s="3" t="str">
        <f ca="1"/>
        <v>2026-07-10</v>
      </c>
      <c r="D4" s="3">
        <f ca="1"/>
        <v>32.85</v>
      </c>
      <c r="E4" s="3">
        <f ca="1"/>
        <v>33</v>
      </c>
      <c r="F4" s="3">
        <f ca="1"/>
        <v>32.450000000000003</v>
      </c>
      <c r="G4" s="3">
        <f ca="1"/>
        <v>32.75</v>
      </c>
      <c r="H4" s="3">
        <f ca="1"/>
        <v>2498300</v>
      </c>
      <c r="I4" s="3">
        <f ca="1"/>
        <v>81707205000</v>
      </c>
      <c r="J4" s="3">
        <f ca="1"/>
        <v>0</v>
      </c>
      <c r="K4" s="3">
        <f ca="1"/>
        <v>0</v>
      </c>
      <c r="L4" s="3">
        <f ca="1"/>
        <v>0</v>
      </c>
      <c r="M4" s="3" t="str">
        <f ca="1"/>
        <v>0.0%</v>
      </c>
      <c r="O4" s="3">
        <v>2</v>
      </c>
      <c r="P4" s="3" t="str">
        <v>PRICE_HIGHEST_CR_52W</v>
      </c>
      <c r="Q4" s="28">
        <v>37900</v>
      </c>
    </row>
    <row r="5" spans="1:17" x14ac:dyDescent="0.2">
      <c r="A5" s="3">
        <f ca="1"/>
        <v>3</v>
      </c>
      <c r="B5" s="3" t="str">
        <f ca="1"/>
        <v>VCK</v>
      </c>
      <c r="C5" s="3" t="str">
        <f ca="1"/>
        <v>2026-07-09</v>
      </c>
      <c r="D5" s="3">
        <f ca="1"/>
        <v>33.200000000000003</v>
      </c>
      <c r="E5" s="3">
        <f ca="1"/>
        <v>33.4</v>
      </c>
      <c r="F5" s="3">
        <f ca="1"/>
        <v>32.700000000000003</v>
      </c>
      <c r="G5" s="3">
        <f ca="1"/>
        <v>32.75</v>
      </c>
      <c r="H5" s="3">
        <f ca="1"/>
        <v>3174900</v>
      </c>
      <c r="I5" s="3">
        <f ca="1"/>
        <v>104413485000</v>
      </c>
      <c r="J5" s="3">
        <f ca="1"/>
        <v>0</v>
      </c>
      <c r="K5" s="3">
        <f ca="1"/>
        <v>0</v>
      </c>
      <c r="L5" s="3">
        <f ca="1"/>
        <v>-0.75</v>
      </c>
      <c r="M5" s="3" t="str">
        <f ca="1"/>
        <v>-2.2388%</v>
      </c>
      <c r="O5" s="3">
        <v>3</v>
      </c>
      <c r="P5" s="3" t="str">
        <v>PRICE_LOWEST_CR_52W</v>
      </c>
      <c r="Q5" s="28">
        <v>26688</v>
      </c>
    </row>
    <row r="6" spans="1:17" x14ac:dyDescent="0.2">
      <c r="A6" s="3">
        <f ca="1"/>
        <v>4</v>
      </c>
      <c r="B6" s="3" t="str">
        <f ca="1"/>
        <v>VCK</v>
      </c>
      <c r="C6" s="3" t="str">
        <f ca="1"/>
        <v>2026-07-08</v>
      </c>
      <c r="D6" s="3">
        <f ca="1"/>
        <v>33.85</v>
      </c>
      <c r="E6" s="3">
        <f ca="1"/>
        <v>34.1</v>
      </c>
      <c r="F6" s="3">
        <f ca="1"/>
        <v>33.5</v>
      </c>
      <c r="G6" s="3">
        <f ca="1"/>
        <v>33.5</v>
      </c>
      <c r="H6" s="3">
        <f ca="1"/>
        <v>3618500</v>
      </c>
      <c r="I6" s="3">
        <f ca="1"/>
        <v>122192720000</v>
      </c>
      <c r="J6" s="3">
        <f ca="1"/>
        <v>0</v>
      </c>
      <c r="K6" s="3">
        <f ca="1"/>
        <v>0</v>
      </c>
      <c r="L6" s="3">
        <f ca="1"/>
        <v>-0.3</v>
      </c>
      <c r="M6" s="3" t="str">
        <f ca="1"/>
        <v>-0.8876%</v>
      </c>
      <c r="O6" s="3">
        <v>4</v>
      </c>
      <c r="P6" s="3" t="str">
        <v>OUTSTANDING_SHARES</v>
      </c>
      <c r="Q6" s="28">
        <v>2434919704</v>
      </c>
    </row>
    <row r="7" spans="1:17" x14ac:dyDescent="0.2">
      <c r="A7" s="3">
        <f ca="1"/>
        <v>5</v>
      </c>
      <c r="B7" s="3" t="str">
        <f ca="1"/>
        <v>VCK</v>
      </c>
      <c r="C7" s="3" t="str">
        <f ca="1"/>
        <v>2026-07-07</v>
      </c>
      <c r="D7" s="3">
        <f ca="1"/>
        <v>33.4</v>
      </c>
      <c r="E7" s="3">
        <f ca="1"/>
        <v>33.799999999999997</v>
      </c>
      <c r="F7" s="3">
        <f ca="1"/>
        <v>33</v>
      </c>
      <c r="G7" s="3">
        <f ca="1"/>
        <v>33.799999999999997</v>
      </c>
      <c r="H7" s="3">
        <f ca="1"/>
        <v>3121400</v>
      </c>
      <c r="I7" s="3">
        <f ca="1"/>
        <v>104135900000</v>
      </c>
      <c r="J7" s="3">
        <f ca="1"/>
        <v>0</v>
      </c>
      <c r="K7" s="3">
        <f ca="1"/>
        <v>0</v>
      </c>
      <c r="L7" s="3">
        <f ca="1"/>
        <v>0.3</v>
      </c>
      <c r="M7" s="3" t="str">
        <f ca="1"/>
        <v>0.8955%</v>
      </c>
      <c r="O7" s="3">
        <v>5</v>
      </c>
      <c r="P7" s="3" t="str">
        <v>FREEFLOAT</v>
      </c>
      <c r="Q7" s="120">
        <v>1</v>
      </c>
    </row>
    <row r="8" spans="1:17" x14ac:dyDescent="0.2">
      <c r="A8" s="3">
        <f ca="1"/>
        <v>6</v>
      </c>
      <c r="B8" s="3" t="str">
        <f ca="1"/>
        <v>VCK</v>
      </c>
      <c r="C8" s="3" t="str">
        <f ca="1"/>
        <v>2026-07-06</v>
      </c>
      <c r="D8" s="3">
        <f ca="1"/>
        <v>34.35</v>
      </c>
      <c r="E8" s="3">
        <f ca="1"/>
        <v>34.35</v>
      </c>
      <c r="F8" s="3">
        <f ca="1"/>
        <v>33</v>
      </c>
      <c r="G8" s="3">
        <f ca="1"/>
        <v>33.5</v>
      </c>
      <c r="H8" s="3">
        <f ca="1"/>
        <v>3114900</v>
      </c>
      <c r="I8" s="3">
        <f ca="1"/>
        <v>105166705000</v>
      </c>
      <c r="J8" s="3">
        <f ca="1"/>
        <v>0</v>
      </c>
      <c r="K8" s="3">
        <f ca="1"/>
        <v>0</v>
      </c>
      <c r="L8" s="3">
        <f ca="1"/>
        <v>-0.7</v>
      </c>
      <c r="M8" s="3" t="str">
        <f ca="1"/>
        <v>-2.0468%</v>
      </c>
      <c r="O8" s="3">
        <v>6</v>
      </c>
      <c r="P8" s="3" t="str">
        <v>BETA</v>
      </c>
      <c r="Q8" s="120">
        <v>0.4915478075392346</v>
      </c>
    </row>
    <row r="9" spans="1:17" x14ac:dyDescent="0.2">
      <c r="O9" s="3">
        <v>7</v>
      </c>
      <c r="P9" s="3" t="str">
        <v>PRICE_TO_EARNINGS</v>
      </c>
      <c r="Q9" s="120">
        <v>19.101483649971694</v>
      </c>
    </row>
    <row r="10" spans="1:17" x14ac:dyDescent="0.2">
      <c r="O10" s="3">
        <v>8</v>
      </c>
      <c r="P10" s="3" t="str">
        <v>PRICE_TO_BOOK</v>
      </c>
      <c r="Q10" s="120">
        <v>2.5888482872786258</v>
      </c>
    </row>
    <row r="11" spans="1:17" x14ac:dyDescent="0.2">
      <c r="O11" s="3">
        <v>9</v>
      </c>
      <c r="P11" s="3" t="str">
        <v>DIVIDEND_YIELD</v>
      </c>
      <c r="Q11" s="120">
        <v>0</v>
      </c>
    </row>
    <row r="12" spans="1:17" x14ac:dyDescent="0.2">
      <c r="O12" s="3">
        <v>10</v>
      </c>
      <c r="P12" s="3" t="str">
        <v>BVPS_CR</v>
      </c>
      <c r="Q12" s="120">
        <v>12360.708874770764</v>
      </c>
    </row>
    <row r="14" spans="1:17" x14ac:dyDescent="0.2">
      <c r="A14" s="100"/>
      <c r="B14" s="100"/>
      <c r="C14" s="100"/>
      <c r="D14" s="100"/>
      <c r="E14" s="100"/>
    </row>
    <row r="15" spans="1:17" x14ac:dyDescent="0.2">
      <c r="A15" s="100"/>
      <c r="B15" s="100"/>
      <c r="C15" s="100"/>
      <c r="D15" s="100"/>
      <c r="E15" s="100"/>
    </row>
    <row r="16" spans="1:17" x14ac:dyDescent="0.2">
      <c r="A16" s="100"/>
      <c r="B16" s="100"/>
      <c r="C16" s="100"/>
      <c r="D16" s="100"/>
      <c r="E16" s="100"/>
      <c r="I16" s="135"/>
      <c r="J16" s="100"/>
    </row>
    <row r="17" spans="1:13" x14ac:dyDescent="0.2">
      <c r="A17" s="100"/>
      <c r="B17" s="100"/>
      <c r="C17" s="100"/>
      <c r="D17" s="100"/>
      <c r="E17" s="100"/>
      <c r="I17" s="135"/>
      <c r="J17" s="100"/>
    </row>
    <row r="18" spans="1:13" x14ac:dyDescent="0.2">
      <c r="A18" s="100"/>
      <c r="B18" s="100"/>
      <c r="C18" s="100"/>
      <c r="D18" s="100"/>
      <c r="E18" s="100"/>
      <c r="I18" s="135"/>
      <c r="J18" s="100"/>
    </row>
    <row r="19" spans="1:13" x14ac:dyDescent="0.2">
      <c r="A19" s="100"/>
      <c r="B19" s="100"/>
      <c r="C19" s="100"/>
      <c r="D19" s="100"/>
      <c r="E19" s="100"/>
      <c r="I19" s="135"/>
      <c r="J19" s="100"/>
    </row>
    <row r="20" spans="1:13" x14ac:dyDescent="0.2">
      <c r="A20" s="100"/>
      <c r="B20" s="100"/>
      <c r="C20" s="100"/>
      <c r="D20" s="100"/>
      <c r="E20" s="100"/>
      <c r="I20" s="135"/>
      <c r="J20" s="100"/>
      <c r="K20" s="100"/>
      <c r="L20" s="100"/>
      <c r="M20" s="100"/>
    </row>
    <row r="21" spans="1:13" x14ac:dyDescent="0.2">
      <c r="A21" s="100"/>
      <c r="B21" s="100"/>
      <c r="C21" s="100"/>
      <c r="D21" s="100"/>
      <c r="E21" s="100"/>
      <c r="I21" s="135"/>
      <c r="J21" s="100"/>
      <c r="K21" s="100"/>
      <c r="L21" s="100"/>
      <c r="M21" s="100"/>
    </row>
    <row r="22" spans="1:13" x14ac:dyDescent="0.2">
      <c r="A22" s="100"/>
      <c r="B22" s="100"/>
      <c r="C22" s="100"/>
      <c r="D22" s="100"/>
      <c r="E22" s="100"/>
      <c r="I22" s="135"/>
      <c r="J22" s="100"/>
      <c r="K22" s="100"/>
      <c r="L22" s="100"/>
      <c r="M22" s="100"/>
    </row>
    <row r="23" spans="1:13" x14ac:dyDescent="0.2">
      <c r="A23" s="100"/>
      <c r="B23" s="100"/>
      <c r="C23" s="100"/>
      <c r="D23" s="100"/>
      <c r="E23" s="100"/>
      <c r="I23" s="135"/>
      <c r="J23" s="100"/>
      <c r="K23" s="100"/>
      <c r="L23" s="100"/>
      <c r="M23" s="100"/>
    </row>
    <row r="24" spans="1:13" x14ac:dyDescent="0.2">
      <c r="A24" s="100"/>
      <c r="B24" s="100"/>
      <c r="C24" s="100"/>
      <c r="D24" s="100"/>
      <c r="E24" s="100"/>
      <c r="I24" s="135"/>
      <c r="J24" s="100"/>
      <c r="K24" s="100"/>
      <c r="L24" s="100"/>
      <c r="M24" s="100"/>
    </row>
    <row r="25" spans="1:13" x14ac:dyDescent="0.2">
      <c r="A25" s="100"/>
      <c r="B25" s="100"/>
      <c r="C25" s="100"/>
      <c r="D25" s="100"/>
      <c r="E25" s="100"/>
      <c r="I25" s="135"/>
      <c r="J25" s="100"/>
      <c r="K25" s="100"/>
      <c r="L25" s="100"/>
      <c r="M25" s="100"/>
    </row>
    <row r="26" spans="1:13" x14ac:dyDescent="0.2">
      <c r="A26" s="100"/>
      <c r="B26" s="100"/>
      <c r="C26" s="100"/>
      <c r="D26" s="100"/>
      <c r="E26" s="100"/>
      <c r="I26" s="135"/>
      <c r="J26" s="100"/>
      <c r="K26" s="100"/>
      <c r="L26" s="100"/>
      <c r="M26" s="100"/>
    </row>
    <row r="27" spans="1:13" x14ac:dyDescent="0.2">
      <c r="A27" s="100"/>
      <c r="B27" s="100"/>
      <c r="C27" s="100"/>
      <c r="D27" s="100"/>
      <c r="E27" s="100"/>
      <c r="I27" s="135"/>
      <c r="J27" s="100"/>
      <c r="K27" s="100"/>
      <c r="L27" s="100"/>
      <c r="M27" s="100"/>
    </row>
    <row r="28" spans="1:13" x14ac:dyDescent="0.2">
      <c r="A28" s="100"/>
      <c r="B28" s="100"/>
      <c r="C28" s="100"/>
      <c r="D28" s="100"/>
      <c r="E28" s="100"/>
      <c r="I28" s="135"/>
      <c r="J28" s="100"/>
      <c r="K28" s="100"/>
      <c r="L28" s="100"/>
      <c r="M28" s="100"/>
    </row>
    <row r="29" spans="1:13" x14ac:dyDescent="0.2">
      <c r="A29" s="100"/>
      <c r="B29" s="100"/>
      <c r="C29" s="100"/>
      <c r="D29" s="100"/>
      <c r="E29" s="100"/>
      <c r="I29" s="135"/>
      <c r="J29" s="100"/>
      <c r="K29" s="100"/>
      <c r="L29" s="100"/>
      <c r="M29" s="100"/>
    </row>
    <row r="30" spans="1:13" x14ac:dyDescent="0.2">
      <c r="A30" s="100"/>
      <c r="B30" s="100"/>
      <c r="C30" s="100"/>
      <c r="D30" s="100"/>
      <c r="E30" s="100"/>
      <c r="I30" s="135"/>
      <c r="J30" s="100"/>
      <c r="K30" s="100"/>
      <c r="L30" s="100"/>
      <c r="M30" s="100"/>
    </row>
    <row r="31" spans="1:13" x14ac:dyDescent="0.2">
      <c r="A31" s="100"/>
      <c r="B31" s="100"/>
      <c r="C31" s="100"/>
      <c r="D31" s="100"/>
      <c r="E31" s="100"/>
      <c r="J31" s="100"/>
      <c r="K31" s="100"/>
      <c r="L31" s="100"/>
      <c r="M31" s="100"/>
    </row>
    <row r="32" spans="1:13" x14ac:dyDescent="0.2">
      <c r="A32" s="100"/>
      <c r="B32" s="100"/>
      <c r="C32" s="100"/>
      <c r="D32" s="100"/>
      <c r="E32" s="100"/>
      <c r="J32" s="100"/>
      <c r="K32" s="100"/>
      <c r="L32" s="100"/>
      <c r="M32" s="100"/>
    </row>
    <row r="33" spans="10:13" x14ac:dyDescent="0.2">
      <c r="J33" s="100"/>
      <c r="K33" s="100"/>
      <c r="L33" s="100"/>
      <c r="M33" s="100"/>
    </row>
    <row r="34" spans="10:13" x14ac:dyDescent="0.2">
      <c r="J34" s="100"/>
      <c r="K34" s="100"/>
      <c r="L34" s="100"/>
      <c r="M34" s="100"/>
    </row>
    <row r="35" spans="10:13" x14ac:dyDescent="0.2">
      <c r="J35" s="100"/>
      <c r="K35" s="100"/>
      <c r="L35" s="100"/>
      <c r="M35" s="100"/>
    </row>
    <row r="36" spans="10:13" x14ac:dyDescent="0.2">
      <c r="J36" s="100"/>
      <c r="K36" s="100"/>
      <c r="L36" s="100"/>
      <c r="M36" s="100"/>
    </row>
  </sheetData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AFAF6-9D4C-4EA8-BEB5-5C00B6CD1FF2}">
  <sheetPr codeName="Sheet9"/>
  <dimension ref="I1:N44"/>
  <sheetViews>
    <sheetView workbookViewId="0">
      <selection activeCell="N22" sqref="N22"/>
    </sheetView>
  </sheetViews>
  <sheetFormatPr defaultRowHeight="15" x14ac:dyDescent="0.2"/>
  <cols>
    <col min="3" max="3" width="10.88671875" customWidth="1"/>
    <col min="5" max="5" width="11.44140625" customWidth="1"/>
    <col min="9" max="10" width="13.6640625" customWidth="1"/>
    <col min="12" max="12" width="10.109375" customWidth="1"/>
    <col min="13" max="13" width="11.77734375" customWidth="1"/>
    <col min="14" max="14" width="17" customWidth="1"/>
  </cols>
  <sheetData>
    <row r="1" spans="9:14" x14ac:dyDescent="0.2">
      <c r="I1" t="s">
        <v>2960</v>
      </c>
    </row>
    <row r="2" spans="9:14" x14ac:dyDescent="0.2">
      <c r="I2" t="s">
        <v>2991</v>
      </c>
      <c r="J2" t="s">
        <v>2961</v>
      </c>
      <c r="K2" t="s">
        <v>2962</v>
      </c>
      <c r="L2" t="s">
        <v>2965</v>
      </c>
      <c r="M2" t="s">
        <v>2966</v>
      </c>
      <c r="N2" t="s">
        <v>2967</v>
      </c>
    </row>
    <row r="6" spans="9:14" x14ac:dyDescent="0.2">
      <c r="I6" s="140"/>
      <c r="J6" s="140"/>
    </row>
    <row r="9" spans="9:14" x14ac:dyDescent="0.2">
      <c r="L9" s="99"/>
      <c r="N9" s="23"/>
    </row>
    <row r="10" spans="9:14" x14ac:dyDescent="0.2">
      <c r="L10" s="99"/>
      <c r="N10" s="23"/>
    </row>
    <row r="11" spans="9:14" x14ac:dyDescent="0.2">
      <c r="L11" s="99"/>
      <c r="N11" s="23"/>
    </row>
    <row r="12" spans="9:14" x14ac:dyDescent="0.2">
      <c r="L12" s="99"/>
      <c r="N12" s="23"/>
    </row>
    <row r="13" spans="9:14" x14ac:dyDescent="0.2">
      <c r="L13" s="99"/>
      <c r="N13" s="23"/>
    </row>
    <row r="14" spans="9:14" x14ac:dyDescent="0.2">
      <c r="L14" s="99"/>
      <c r="N14" s="23"/>
    </row>
    <row r="15" spans="9:14" x14ac:dyDescent="0.2">
      <c r="L15" s="99"/>
      <c r="N15" s="23"/>
    </row>
    <row r="16" spans="9:14" x14ac:dyDescent="0.2">
      <c r="L16" s="99"/>
      <c r="N16" s="23"/>
    </row>
    <row r="17" spans="12:14" x14ac:dyDescent="0.2">
      <c r="L17" s="99"/>
      <c r="N17" s="23"/>
    </row>
    <row r="18" spans="12:14" x14ac:dyDescent="0.2">
      <c r="L18" s="99"/>
      <c r="N18" s="23"/>
    </row>
    <row r="19" spans="12:14" x14ac:dyDescent="0.2">
      <c r="L19" s="99"/>
      <c r="N19" s="23"/>
    </row>
    <row r="20" spans="12:14" x14ac:dyDescent="0.2">
      <c r="L20" s="99"/>
      <c r="N20" s="23"/>
    </row>
    <row r="21" spans="12:14" x14ac:dyDescent="0.2">
      <c r="L21" s="99"/>
      <c r="N21" s="23"/>
    </row>
    <row r="22" spans="12:14" x14ac:dyDescent="0.2">
      <c r="L22" s="99"/>
      <c r="N22" s="23"/>
    </row>
    <row r="23" spans="12:14" x14ac:dyDescent="0.2">
      <c r="L23" s="99"/>
      <c r="N23" s="23"/>
    </row>
    <row r="24" spans="12:14" x14ac:dyDescent="0.2">
      <c r="L24" s="99"/>
      <c r="N24" s="23"/>
    </row>
    <row r="25" spans="12:14" x14ac:dyDescent="0.2">
      <c r="L25" s="99"/>
      <c r="N25" s="23"/>
    </row>
    <row r="26" spans="12:14" x14ac:dyDescent="0.2">
      <c r="L26" s="99"/>
      <c r="N26" s="23"/>
    </row>
    <row r="27" spans="12:14" x14ac:dyDescent="0.2">
      <c r="L27" s="99"/>
      <c r="N27" s="23"/>
    </row>
    <row r="28" spans="12:14" x14ac:dyDescent="0.2">
      <c r="L28" s="99"/>
      <c r="N28" s="23"/>
    </row>
    <row r="29" spans="12:14" x14ac:dyDescent="0.2">
      <c r="L29" s="99"/>
      <c r="N29" s="23"/>
    </row>
    <row r="30" spans="12:14" x14ac:dyDescent="0.2">
      <c r="L30" s="99"/>
      <c r="N30" s="23"/>
    </row>
    <row r="31" spans="12:14" x14ac:dyDescent="0.2">
      <c r="L31" s="99"/>
      <c r="N31" s="23"/>
    </row>
    <row r="32" spans="12:14" x14ac:dyDescent="0.2">
      <c r="L32" s="99"/>
      <c r="N32" s="23"/>
    </row>
    <row r="33" spans="12:14" x14ac:dyDescent="0.2">
      <c r="L33" s="99"/>
      <c r="N33" s="23"/>
    </row>
    <row r="34" spans="12:14" x14ac:dyDescent="0.2">
      <c r="L34" s="99"/>
      <c r="N34" s="23"/>
    </row>
    <row r="35" spans="12:14" x14ac:dyDescent="0.2">
      <c r="L35" s="99"/>
      <c r="N35" s="23"/>
    </row>
    <row r="36" spans="12:14" x14ac:dyDescent="0.2">
      <c r="L36" s="99"/>
      <c r="N36" s="23"/>
    </row>
    <row r="37" spans="12:14" x14ac:dyDescent="0.2">
      <c r="L37" s="99"/>
      <c r="N37" s="23"/>
    </row>
    <row r="38" spans="12:14" x14ac:dyDescent="0.2">
      <c r="L38" s="99"/>
      <c r="N38" s="23"/>
    </row>
    <row r="39" spans="12:14" x14ac:dyDescent="0.2">
      <c r="L39" s="99"/>
      <c r="N39" s="23"/>
    </row>
    <row r="40" spans="12:14" x14ac:dyDescent="0.2">
      <c r="L40" s="99"/>
      <c r="N40" s="23"/>
    </row>
    <row r="41" spans="12:14" x14ac:dyDescent="0.2">
      <c r="L41" s="99"/>
      <c r="N41" s="23"/>
    </row>
    <row r="42" spans="12:14" x14ac:dyDescent="0.2">
      <c r="L42" s="99"/>
      <c r="N42" s="23"/>
    </row>
    <row r="43" spans="12:14" x14ac:dyDescent="0.2">
      <c r="L43" s="99"/>
      <c r="N43" s="23"/>
    </row>
    <row r="44" spans="12:14" x14ac:dyDescent="0.2">
      <c r="L44" s="99"/>
      <c r="N44" s="2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0DB72-E2E7-4AEF-AD07-C81C64EB64E2}">
  <sheetPr codeName="Sheet8"/>
  <dimension ref="A1:F40"/>
  <sheetViews>
    <sheetView workbookViewId="0">
      <selection activeCell="C23" sqref="C23"/>
    </sheetView>
  </sheetViews>
  <sheetFormatPr defaultRowHeight="15" x14ac:dyDescent="0.2"/>
  <cols>
    <col min="1" max="1" width="61.6640625" customWidth="1"/>
    <col min="2" max="2" width="59.44140625" customWidth="1"/>
    <col min="3" max="3" width="8.88671875" customWidth="1"/>
    <col min="6" max="6" width="10.77734375" customWidth="1"/>
  </cols>
  <sheetData>
    <row r="1" spans="1:6" ht="15.75" x14ac:dyDescent="0.25">
      <c r="A1" s="371" t="s">
        <v>102</v>
      </c>
      <c r="B1" s="371"/>
      <c r="C1" s="361" t="s">
        <v>78</v>
      </c>
      <c r="D1" s="362"/>
      <c r="E1" s="362"/>
      <c r="F1" s="363"/>
    </row>
    <row r="2" spans="1:6" ht="15.75" x14ac:dyDescent="0.25">
      <c r="A2" s="4" t="s">
        <v>75</v>
      </c>
      <c r="B2" s="4" t="s">
        <v>99</v>
      </c>
      <c r="C2" s="372" t="s">
        <v>82</v>
      </c>
      <c r="D2" s="373"/>
      <c r="E2" s="373"/>
      <c r="F2" s="374"/>
    </row>
    <row r="3" spans="1:6" ht="15.75" x14ac:dyDescent="0.25">
      <c r="A3" s="6" t="s">
        <v>76</v>
      </c>
      <c r="B3" s="6" t="s">
        <v>100</v>
      </c>
      <c r="C3" s="368" t="s">
        <v>83</v>
      </c>
      <c r="D3" s="369"/>
      <c r="E3" s="369"/>
      <c r="F3" s="370"/>
    </row>
    <row r="4" spans="1:6" ht="15.75" x14ac:dyDescent="0.25">
      <c r="A4" s="7" t="s">
        <v>77</v>
      </c>
      <c r="B4" s="7" t="s">
        <v>101</v>
      </c>
      <c r="C4" s="368" t="s">
        <v>84</v>
      </c>
      <c r="D4" s="369"/>
      <c r="E4" s="369"/>
      <c r="F4" s="370"/>
    </row>
    <row r="5" spans="1:6" ht="15.75" x14ac:dyDescent="0.25">
      <c r="A5" s="4" t="s">
        <v>51</v>
      </c>
      <c r="B5" s="4" t="s">
        <v>28</v>
      </c>
      <c r="C5" s="368" t="s">
        <v>85</v>
      </c>
      <c r="D5" s="369"/>
      <c r="E5" s="369"/>
      <c r="F5" s="370"/>
    </row>
    <row r="6" spans="1:6" ht="15.75" x14ac:dyDescent="0.25">
      <c r="A6" s="6" t="s">
        <v>47</v>
      </c>
      <c r="B6" s="6" t="s">
        <v>29</v>
      </c>
      <c r="C6" s="368" t="s">
        <v>86</v>
      </c>
      <c r="D6" s="369"/>
      <c r="E6" s="369"/>
      <c r="F6" s="370"/>
    </row>
    <row r="7" spans="1:6" ht="15.75" x14ac:dyDescent="0.25">
      <c r="A7" s="7" t="s">
        <v>58</v>
      </c>
      <c r="B7" s="7" t="s">
        <v>59</v>
      </c>
      <c r="C7" s="368" t="s">
        <v>87</v>
      </c>
      <c r="D7" s="369"/>
      <c r="E7" s="369"/>
      <c r="F7" s="370"/>
    </row>
    <row r="8" spans="1:6" ht="15.75" x14ac:dyDescent="0.25">
      <c r="A8" s="4" t="s">
        <v>53</v>
      </c>
      <c r="B8" s="4" t="s">
        <v>49</v>
      </c>
      <c r="C8" s="358" t="s">
        <v>88</v>
      </c>
      <c r="D8" s="359"/>
      <c r="E8" s="359"/>
      <c r="F8" s="360"/>
    </row>
    <row r="9" spans="1:6" ht="15.75" x14ac:dyDescent="0.25">
      <c r="A9" s="6" t="s">
        <v>31</v>
      </c>
      <c r="B9" s="6" t="s">
        <v>50</v>
      </c>
      <c r="C9" s="361" t="s">
        <v>79</v>
      </c>
      <c r="D9" s="362"/>
      <c r="E9" s="362"/>
      <c r="F9" s="363"/>
    </row>
    <row r="10" spans="1:6" ht="15.75" x14ac:dyDescent="0.25">
      <c r="A10" s="7" t="s">
        <v>57</v>
      </c>
      <c r="B10" s="7" t="s">
        <v>60</v>
      </c>
      <c r="C10" s="8" t="s">
        <v>82</v>
      </c>
      <c r="D10" s="9"/>
      <c r="E10" s="9"/>
      <c r="F10" s="11"/>
    </row>
    <row r="11" spans="1:6" ht="15.75" x14ac:dyDescent="0.25">
      <c r="A11" s="4" t="s">
        <v>52</v>
      </c>
      <c r="B11" s="4" t="s">
        <v>48</v>
      </c>
      <c r="C11" s="10" t="s">
        <v>90</v>
      </c>
      <c r="D11" s="12"/>
      <c r="E11" s="12"/>
      <c r="F11" s="13"/>
    </row>
    <row r="12" spans="1:6" ht="15.75" x14ac:dyDescent="0.25">
      <c r="A12" s="6" t="s">
        <v>32</v>
      </c>
      <c r="B12" s="6" t="s">
        <v>30</v>
      </c>
      <c r="C12" s="10" t="s">
        <v>91</v>
      </c>
      <c r="D12" s="12"/>
      <c r="E12" s="12"/>
      <c r="F12" s="13"/>
    </row>
    <row r="13" spans="1:6" ht="15.75" x14ac:dyDescent="0.25">
      <c r="A13" s="7" t="s">
        <v>21</v>
      </c>
      <c r="B13" s="7" t="s">
        <v>61</v>
      </c>
      <c r="C13" s="10" t="s">
        <v>92</v>
      </c>
      <c r="D13" s="12"/>
      <c r="E13" s="12"/>
      <c r="F13" s="13"/>
    </row>
    <row r="14" spans="1:6" ht="15.75" x14ac:dyDescent="0.25">
      <c r="A14" s="4" t="s">
        <v>69</v>
      </c>
      <c r="B14" s="4" t="s">
        <v>33</v>
      </c>
      <c r="C14" s="14" t="s">
        <v>80</v>
      </c>
      <c r="D14" s="15"/>
      <c r="E14" s="15"/>
      <c r="F14" s="16"/>
    </row>
    <row r="15" spans="1:6" ht="15.75" x14ac:dyDescent="0.25">
      <c r="A15" s="6" t="s">
        <v>70</v>
      </c>
      <c r="B15" s="6" t="s">
        <v>34</v>
      </c>
      <c r="C15" s="10" t="s">
        <v>89</v>
      </c>
      <c r="D15" s="12"/>
      <c r="E15" s="12"/>
      <c r="F15" s="13"/>
    </row>
    <row r="16" spans="1:6" ht="15.75" x14ac:dyDescent="0.25">
      <c r="A16" s="7" t="s">
        <v>71</v>
      </c>
      <c r="B16" s="7" t="s">
        <v>62</v>
      </c>
      <c r="C16" s="10" t="s">
        <v>93</v>
      </c>
      <c r="D16" s="12"/>
      <c r="E16" s="12"/>
      <c r="F16" s="13"/>
    </row>
    <row r="17" spans="1:6" ht="15.75" x14ac:dyDescent="0.25">
      <c r="A17" s="4" t="s">
        <v>73</v>
      </c>
      <c r="B17" s="4" t="s">
        <v>35</v>
      </c>
      <c r="C17" s="10" t="s">
        <v>94</v>
      </c>
      <c r="D17" s="12"/>
      <c r="E17" s="12"/>
      <c r="F17" s="13"/>
    </row>
    <row r="18" spans="1:6" ht="15.75" x14ac:dyDescent="0.25">
      <c r="A18" s="6" t="s">
        <v>72</v>
      </c>
      <c r="B18" s="6" t="s">
        <v>36</v>
      </c>
      <c r="C18" s="14" t="s">
        <v>81</v>
      </c>
      <c r="D18" s="15"/>
      <c r="E18" s="15"/>
      <c r="F18" s="16"/>
    </row>
    <row r="19" spans="1:6" ht="15.75" x14ac:dyDescent="0.25">
      <c r="A19" s="7" t="s">
        <v>74</v>
      </c>
      <c r="B19" s="7" t="s">
        <v>63</v>
      </c>
      <c r="C19" s="10" t="s">
        <v>95</v>
      </c>
      <c r="D19" s="12"/>
      <c r="E19" s="12"/>
      <c r="F19" s="13"/>
    </row>
    <row r="20" spans="1:6" ht="15.75" x14ac:dyDescent="0.25">
      <c r="A20" s="4" t="s">
        <v>22</v>
      </c>
      <c r="B20" s="4" t="s">
        <v>37</v>
      </c>
      <c r="C20" s="358" t="s">
        <v>96</v>
      </c>
      <c r="D20" s="359"/>
      <c r="E20" s="359"/>
      <c r="F20" s="360"/>
    </row>
    <row r="21" spans="1:6" x14ac:dyDescent="0.2">
      <c r="A21" s="6" t="s">
        <v>27</v>
      </c>
      <c r="B21" s="6" t="s">
        <v>40</v>
      </c>
      <c r="C21" s="364" t="s">
        <v>97</v>
      </c>
      <c r="D21" s="365"/>
      <c r="E21" s="365"/>
      <c r="F21" s="365"/>
    </row>
    <row r="22" spans="1:6" x14ac:dyDescent="0.2">
      <c r="A22" s="7" t="s">
        <v>54</v>
      </c>
      <c r="B22" s="7" t="s">
        <v>64</v>
      </c>
      <c r="C22" s="366"/>
      <c r="D22" s="367"/>
      <c r="E22" s="367"/>
      <c r="F22" s="367"/>
    </row>
    <row r="23" spans="1:6" ht="90.75" x14ac:dyDescent="0.25">
      <c r="A23" s="4" t="s">
        <v>25</v>
      </c>
      <c r="B23" s="4" t="s">
        <v>38</v>
      </c>
      <c r="C23" s="18" t="s">
        <v>103</v>
      </c>
      <c r="D23" s="19"/>
      <c r="E23" s="19"/>
      <c r="F23" s="19"/>
    </row>
    <row r="24" spans="1:6" x14ac:dyDescent="0.2">
      <c r="A24" s="6" t="s">
        <v>26</v>
      </c>
      <c r="B24" s="6" t="s">
        <v>39</v>
      </c>
      <c r="C24" s="20"/>
      <c r="D24" s="19"/>
      <c r="E24" s="19"/>
      <c r="F24" s="19"/>
    </row>
    <row r="25" spans="1:6" x14ac:dyDescent="0.2">
      <c r="A25" s="6" t="s">
        <v>55</v>
      </c>
      <c r="B25" s="6" t="s">
        <v>65</v>
      </c>
    </row>
    <row r="26" spans="1:6" ht="15.75" x14ac:dyDescent="0.25">
      <c r="A26" s="4" t="s">
        <v>41</v>
      </c>
      <c r="B26" s="4" t="s">
        <v>43</v>
      </c>
    </row>
    <row r="27" spans="1:6" x14ac:dyDescent="0.2">
      <c r="A27" s="6" t="s">
        <v>42</v>
      </c>
      <c r="B27" s="6" t="s">
        <v>44</v>
      </c>
    </row>
    <row r="28" spans="1:6" x14ac:dyDescent="0.2">
      <c r="A28" s="7" t="s">
        <v>66</v>
      </c>
      <c r="B28" s="7" t="s">
        <v>67</v>
      </c>
      <c r="C28" s="17"/>
    </row>
    <row r="29" spans="1:6" ht="15.75" x14ac:dyDescent="0.25">
      <c r="A29" s="4" t="s">
        <v>45</v>
      </c>
      <c r="B29" s="4" t="s">
        <v>24</v>
      </c>
    </row>
    <row r="30" spans="1:6" x14ac:dyDescent="0.2">
      <c r="A30" s="6" t="s">
        <v>46</v>
      </c>
      <c r="B30" s="6" t="s">
        <v>23</v>
      </c>
    </row>
    <row r="31" spans="1:6" x14ac:dyDescent="0.2">
      <c r="A31" s="7" t="s">
        <v>68</v>
      </c>
      <c r="B31" s="7" t="s">
        <v>56</v>
      </c>
    </row>
    <row r="39" ht="16.5" customHeight="1" x14ac:dyDescent="0.2"/>
    <row r="40" ht="16.5" customHeight="1" x14ac:dyDescent="0.2"/>
  </sheetData>
  <mergeCells count="12">
    <mergeCell ref="C5:F5"/>
    <mergeCell ref="C6:F6"/>
    <mergeCell ref="A1:B1"/>
    <mergeCell ref="C1:F1"/>
    <mergeCell ref="C3:F3"/>
    <mergeCell ref="C4:F4"/>
    <mergeCell ref="C2:F2"/>
    <mergeCell ref="C20:F20"/>
    <mergeCell ref="C9:F9"/>
    <mergeCell ref="C21:F22"/>
    <mergeCell ref="C7:F7"/>
    <mergeCell ref="C8:F8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P25" sqref="P25"/>
    </sheetView>
  </sheetViews>
  <sheetFormatPr defaultColWidth="8.88671875" defaultRowHeight="15" x14ac:dyDescent="0.2"/>
  <cols>
    <col min="1" max="1" width="14.77734375" style="1" customWidth="1"/>
    <col min="2" max="2" width="9.21875" style="1" customWidth="1"/>
    <col min="3" max="16384" width="8.88671875" style="1"/>
  </cols>
  <sheetData>
    <row r="1" spans="1:2" x14ac:dyDescent="0.2">
      <c r="A1" s="1" t="s">
        <v>8</v>
      </c>
      <c r="B1" s="1" t="s">
        <v>13</v>
      </c>
    </row>
    <row r="2" spans="1:2" x14ac:dyDescent="0.2">
      <c r="A2" s="1" t="s">
        <v>9</v>
      </c>
    </row>
    <row r="3" spans="1:2" x14ac:dyDescent="0.2">
      <c r="A3" s="1" t="s">
        <v>0</v>
      </c>
    </row>
    <row r="4" spans="1:2" x14ac:dyDescent="0.2">
      <c r="A4" s="1" t="s">
        <v>7</v>
      </c>
    </row>
    <row r="5" spans="1:2" x14ac:dyDescent="0.2">
      <c r="A5" s="1" t="s">
        <v>5</v>
      </c>
    </row>
    <row r="6" spans="1:2" x14ac:dyDescent="0.2">
      <c r="A6" s="1" t="s">
        <v>1</v>
      </c>
    </row>
    <row r="7" spans="1:2" x14ac:dyDescent="0.2">
      <c r="A7" s="1" t="s">
        <v>2</v>
      </c>
      <c r="B7" s="1" t="b">
        <v>0</v>
      </c>
    </row>
    <row r="8" spans="1:2" x14ac:dyDescent="0.2">
      <c r="A8" s="1" t="s">
        <v>3</v>
      </c>
      <c r="B8" s="1" t="b">
        <v>1</v>
      </c>
    </row>
    <row r="9" spans="1:2" x14ac:dyDescent="0.2">
      <c r="A9" s="1" t="s">
        <v>14</v>
      </c>
      <c r="B9" s="1" t="b">
        <v>0</v>
      </c>
    </row>
    <row r="13" spans="1:2" ht="15.75" x14ac:dyDescent="0.2">
      <c r="A13" s="2" t="s">
        <v>4</v>
      </c>
    </row>
    <row r="14" spans="1:2" x14ac:dyDescent="0.2">
      <c r="A14" s="1" t="s">
        <v>10</v>
      </c>
    </row>
    <row r="15" spans="1:2" x14ac:dyDescent="0.2">
      <c r="A15" s="1" t="s">
        <v>11</v>
      </c>
    </row>
    <row r="16" spans="1:2" x14ac:dyDescent="0.2">
      <c r="A16" s="1" t="s">
        <v>6</v>
      </c>
    </row>
    <row r="17" spans="1:1" x14ac:dyDescent="0.2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37</vt:i4>
      </vt:variant>
    </vt:vector>
  </HeadingPairs>
  <TitlesOfParts>
    <vt:vector size="72" baseType="lpstr">
      <vt:lpstr>LIST_COMPANY</vt:lpstr>
      <vt:lpstr>Ratio</vt:lpstr>
      <vt:lpstr>CF_BCTC</vt:lpstr>
      <vt:lpstr>PL_BCTC</vt:lpstr>
      <vt:lpstr>BS_BCTC</vt:lpstr>
      <vt:lpstr>CW</vt:lpstr>
      <vt:lpstr>BCNHANH</vt:lpstr>
      <vt:lpstr>VN30F</vt:lpstr>
      <vt:lpstr>CANSLIM</vt:lpstr>
      <vt:lpstr>Chart</vt:lpstr>
      <vt:lpstr>Tổng Quan</vt:lpstr>
      <vt:lpstr>VN30</vt:lpstr>
      <vt:lpstr>VN100</vt:lpstr>
      <vt:lpstr>NGÂN HÀNG</vt:lpstr>
      <vt:lpstr>VINGROUP</vt:lpstr>
      <vt:lpstr>CHỨNG KHOÁN</vt:lpstr>
      <vt:lpstr> DẦU -KHÍ ĐỐT</vt:lpstr>
      <vt:lpstr>CÔNG NGHỆ</vt:lpstr>
      <vt:lpstr>BẢO HIỂM - DV TÀI CHÍNH</vt:lpstr>
      <vt:lpstr>BÁN LẺ</vt:lpstr>
      <vt:lpstr>DỆT MAY</vt:lpstr>
      <vt:lpstr>THÉP</vt:lpstr>
      <vt:lpstr>NĂNG LƯỢNG - TB ĐIỆN</vt:lpstr>
      <vt:lpstr>CÔNG NGHIỆP - KCN</vt:lpstr>
      <vt:lpstr>HÓA CHẤT -NHỰA</vt:lpstr>
      <vt:lpstr>Y TẾ - DƯỢC</vt:lpstr>
      <vt:lpstr>BĐS</vt:lpstr>
      <vt:lpstr>THỰC PHẨM-THỦY SẢN</vt:lpstr>
      <vt:lpstr>VẬN TẢI - Logistics</vt:lpstr>
      <vt:lpstr>VLXD-NỘI THẤT</vt:lpstr>
      <vt:lpstr>ĐTC</vt:lpstr>
      <vt:lpstr>INFO</vt:lpstr>
      <vt:lpstr>Nơi chứ dữ liệu</vt:lpstr>
      <vt:lpstr>Hướng dẫn</vt:lpstr>
      <vt:lpstr>_xlwings.conf</vt:lpstr>
      <vt:lpstr>LIST_COMPANY!Criteria</vt:lpstr>
      <vt:lpstr>' DẦU -KHÍ ĐỐT'!Extract</vt:lpstr>
      <vt:lpstr>'BÁN LẺ'!Extract</vt:lpstr>
      <vt:lpstr>'BẢO HIỂM - DV TÀI CHÍNH'!Extract</vt:lpstr>
      <vt:lpstr>BĐS!Extract</vt:lpstr>
      <vt:lpstr>'CÔNG NGHỆ'!Extract</vt:lpstr>
      <vt:lpstr>'CÔNG NGHIỆP - KCN'!Extract</vt:lpstr>
      <vt:lpstr>'CHỨNG KHOÁN'!Extract</vt:lpstr>
      <vt:lpstr>'DỆT MAY'!Extract</vt:lpstr>
      <vt:lpstr>ĐTC!Extract</vt:lpstr>
      <vt:lpstr>'HÓA CHẤT -NHỰA'!Extract</vt:lpstr>
      <vt:lpstr>'NĂNG LƯỢNG - TB ĐIỆN'!Extract</vt:lpstr>
      <vt:lpstr>'NGÂN HÀNG'!Extract</vt:lpstr>
      <vt:lpstr>THÉP!Extract</vt:lpstr>
      <vt:lpstr>'THỰC PHẨM-THỦY SẢN'!Extract</vt:lpstr>
      <vt:lpstr>'VẬN TẢI - Logistics'!Extract</vt:lpstr>
      <vt:lpstr>VINGROUP!Extract</vt:lpstr>
      <vt:lpstr>'VLXD-NỘI THẤT'!Extract</vt:lpstr>
      <vt:lpstr>'Y TẾ - DƯỢC'!Extract</vt:lpstr>
      <vt:lpstr>' DẦU -KHÍ ĐỐT'!Print_Area</vt:lpstr>
      <vt:lpstr>'BÁN LẺ'!Print_Area</vt:lpstr>
      <vt:lpstr>'BẢO HIỂM - DV TÀI CHÍNH'!Print_Area</vt:lpstr>
      <vt:lpstr>BĐS!Print_Area</vt:lpstr>
      <vt:lpstr>'CÔNG NGHỆ'!Print_Area</vt:lpstr>
      <vt:lpstr>'CÔNG NGHIỆP - KCN'!Print_Area</vt:lpstr>
      <vt:lpstr>'CHỨNG KHOÁN'!Print_Area</vt:lpstr>
      <vt:lpstr>'DỆT MAY'!Print_Area</vt:lpstr>
      <vt:lpstr>ĐTC!Print_Area</vt:lpstr>
      <vt:lpstr>'HÓA CHẤT -NHỰA'!Print_Area</vt:lpstr>
      <vt:lpstr>'NĂNG LƯỢNG - TB ĐIỆN'!Print_Area</vt:lpstr>
      <vt:lpstr>'NGÂN HÀNG'!Print_Area</vt:lpstr>
      <vt:lpstr>THÉP!Print_Area</vt:lpstr>
      <vt:lpstr>'THỰC PHẨM-THỦY SẢN'!Print_Area</vt:lpstr>
      <vt:lpstr>'VẬN TẢI - Logistics'!Print_Area</vt:lpstr>
      <vt:lpstr>VINGROUP!Print_Area</vt:lpstr>
      <vt:lpstr>'VLXD-NỘI THẤT'!Print_Area</vt:lpstr>
      <vt:lpstr>'Y TẾ - DƯỢC'!Print_Area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Nguyen Binh</cp:lastModifiedBy>
  <dcterms:created xsi:type="dcterms:W3CDTF">2015-01-25T11:31:25Z</dcterms:created>
  <dcterms:modified xsi:type="dcterms:W3CDTF">2026-07-14T13:53:43Z</dcterms:modified>
</cp:coreProperties>
</file>